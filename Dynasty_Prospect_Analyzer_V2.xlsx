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tor\OneDrive\Desktop\NFL Prospect Analyzer\"/>
    </mc:Choice>
  </mc:AlternateContent>
  <xr:revisionPtr revIDLastSave="0" documentId="13_ncr:20001_{477E6FAE-F265-4428-88B5-70F934F2E6B4}" xr6:coauthVersionLast="47" xr6:coauthVersionMax="47" xr10:uidLastSave="{00000000-0000-0000-0000-000000000000}"/>
  <bookViews>
    <workbookView xWindow="-120" yWindow="-120" windowWidth="29040" windowHeight="16440" tabRatio="500" firstSheet="2" activeTab="3" xr2:uid="{00000000-000D-0000-FFFF-FFFF00000000}"/>
  </bookViews>
  <sheets>
    <sheet name="League Draft Order" sheetId="1" r:id="rId1"/>
    <sheet name="QB Model Page" sheetId="2" r:id="rId2"/>
    <sheet name="RB Model Page" sheetId="3" r:id="rId3"/>
    <sheet name="WR Model Page" sheetId="4" r:id="rId4"/>
    <sheet name="TE Model Page" sheetId="5" r:id="rId5"/>
    <sheet name="Vacancy_Calculator" sheetId="6" r:id="rId6"/>
    <sheet name="2026_Rosters" sheetId="7" r:id="rId7"/>
    <sheet name="2025_PlayerStats" sheetId="8" r:id="rId8"/>
    <sheet name="Roster_Puller" sheetId="9" r:id="rId9"/>
    <sheet name="PQ_Setup" sheetId="10" r:id="rId10"/>
  </sheets>
  <definedNames>
    <definedName name="_xlnm._FilterDatabase" localSheetId="1" hidden="1">'QB Model Page'!$B$1:$AB$1</definedName>
    <definedName name="_xlnm._FilterDatabase" localSheetId="2" hidden="1">'RB Model Page'!$J$1:$AF$1</definedName>
    <definedName name="_xlnm._FilterDatabase" localSheetId="4" hidden="1">'TE Model Page'!$I$1:$AF$1</definedName>
    <definedName name="_xlnm._FilterDatabase" localSheetId="3" hidden="1">'WR Model Page'!$I$1:$AD$1</definedName>
    <definedName name="ExternalData_1" localSheetId="8" hidden="1">Roster_Puller!$A$3:$C$614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5" l="1"/>
  <c r="F35" i="5" s="1"/>
  <c r="G35" i="5" s="1"/>
  <c r="E34" i="5"/>
  <c r="F34" i="5" s="1"/>
  <c r="AE31" i="5"/>
  <c r="AF31" i="5" s="1"/>
  <c r="AG33" i="5" s="1"/>
  <c r="AB31" i="5"/>
  <c r="O31" i="5"/>
  <c r="AA31" i="5" s="1"/>
  <c r="G33" i="5"/>
  <c r="F33" i="5"/>
  <c r="E33" i="5"/>
  <c r="AF33" i="5"/>
  <c r="AE33" i="5"/>
  <c r="AB33" i="5"/>
  <c r="O33" i="5"/>
  <c r="AA33" i="5" s="1"/>
  <c r="E32" i="5"/>
  <c r="F32" i="5" s="1"/>
  <c r="G32" i="5" s="1"/>
  <c r="AE26" i="5"/>
  <c r="AF26" i="5" s="1"/>
  <c r="AB26" i="5"/>
  <c r="O26" i="5"/>
  <c r="AA26" i="5" s="1"/>
  <c r="E31" i="5"/>
  <c r="F31" i="5" s="1"/>
  <c r="AE29" i="5"/>
  <c r="AF29" i="5" s="1"/>
  <c r="AB29" i="5"/>
  <c r="O29" i="5"/>
  <c r="AA29" i="5" s="1"/>
  <c r="F30" i="5"/>
  <c r="E30" i="5"/>
  <c r="AE32" i="5"/>
  <c r="AB32" i="5"/>
  <c r="O32" i="5"/>
  <c r="AA32" i="5" s="1"/>
  <c r="G29" i="5"/>
  <c r="F29" i="5"/>
  <c r="E29" i="5"/>
  <c r="AB30" i="5"/>
  <c r="O30" i="5"/>
  <c r="AA30" i="5" s="1"/>
  <c r="E28" i="5"/>
  <c r="F28" i="5" s="1"/>
  <c r="G28" i="5" s="1"/>
  <c r="AB28" i="5"/>
  <c r="AA28" i="5"/>
  <c r="O28" i="5"/>
  <c r="E27" i="5"/>
  <c r="F27" i="5" s="1"/>
  <c r="AB27" i="5"/>
  <c r="AA27" i="5"/>
  <c r="O27" i="5"/>
  <c r="F26" i="5"/>
  <c r="E26" i="5"/>
  <c r="AB25" i="5"/>
  <c r="O25" i="5"/>
  <c r="AA25" i="5" s="1"/>
  <c r="G25" i="5"/>
  <c r="F25" i="5"/>
  <c r="E25" i="5"/>
  <c r="AE24" i="5"/>
  <c r="AB24" i="5"/>
  <c r="O24" i="5"/>
  <c r="AA24" i="5" s="1"/>
  <c r="E24" i="5"/>
  <c r="F24" i="5" s="1"/>
  <c r="AB23" i="5"/>
  <c r="O23" i="5"/>
  <c r="AA23" i="5" s="1"/>
  <c r="E23" i="5"/>
  <c r="F23" i="5" s="1"/>
  <c r="G23" i="5" s="1"/>
  <c r="AB22" i="5"/>
  <c r="O22" i="5"/>
  <c r="AA22" i="5" s="1"/>
  <c r="F22" i="5"/>
  <c r="E22" i="5"/>
  <c r="AB21" i="5"/>
  <c r="O21" i="5"/>
  <c r="AA21" i="5" s="1"/>
  <c r="G21" i="5"/>
  <c r="F21" i="5"/>
  <c r="E21" i="5"/>
  <c r="AB20" i="5"/>
  <c r="O20" i="5"/>
  <c r="AA20" i="5" s="1"/>
  <c r="E20" i="5"/>
  <c r="F20" i="5" s="1"/>
  <c r="AB19" i="5"/>
  <c r="AA19" i="5"/>
  <c r="O19" i="5"/>
  <c r="E19" i="5"/>
  <c r="F19" i="5" s="1"/>
  <c r="AB18" i="5"/>
  <c r="AA18" i="5"/>
  <c r="O18" i="5"/>
  <c r="F18" i="5"/>
  <c r="G18" i="5" s="1"/>
  <c r="E18" i="5"/>
  <c r="AB17" i="5"/>
  <c r="O17" i="5"/>
  <c r="AA17" i="5" s="1"/>
  <c r="G17" i="5"/>
  <c r="F17" i="5"/>
  <c r="AE10" i="5" s="1"/>
  <c r="E17" i="5"/>
  <c r="AB16" i="5"/>
  <c r="O16" i="5"/>
  <c r="AA16" i="5" s="1"/>
  <c r="E16" i="5"/>
  <c r="F16" i="5" s="1"/>
  <c r="AB15" i="5"/>
  <c r="O15" i="5"/>
  <c r="AA15" i="5" s="1"/>
  <c r="E15" i="5"/>
  <c r="F15" i="5" s="1"/>
  <c r="AB14" i="5"/>
  <c r="O14" i="5"/>
  <c r="AA14" i="5" s="1"/>
  <c r="F14" i="5"/>
  <c r="AE25" i="5" s="1"/>
  <c r="E14" i="5"/>
  <c r="AE13" i="5"/>
  <c r="AB13" i="5"/>
  <c r="O13" i="5"/>
  <c r="AA13" i="5" s="1"/>
  <c r="G13" i="5"/>
  <c r="F13" i="5"/>
  <c r="AE27" i="5" s="1"/>
  <c r="E13" i="5"/>
  <c r="AB12" i="5"/>
  <c r="O12" i="5"/>
  <c r="AA12" i="5" s="1"/>
  <c r="E12" i="5"/>
  <c r="F12" i="5" s="1"/>
  <c r="AB11" i="5"/>
  <c r="O11" i="5"/>
  <c r="AA11" i="5" s="1"/>
  <c r="E11" i="5"/>
  <c r="F11" i="5" s="1"/>
  <c r="AB10" i="5"/>
  <c r="O10" i="5"/>
  <c r="AF10" i="5" s="1"/>
  <c r="AG10" i="5" s="1"/>
  <c r="F10" i="5"/>
  <c r="G10" i="5" s="1"/>
  <c r="E10" i="5"/>
  <c r="AB9" i="5"/>
  <c r="O9" i="5"/>
  <c r="AA9" i="5" s="1"/>
  <c r="G9" i="5"/>
  <c r="F9" i="5"/>
  <c r="E9" i="5"/>
  <c r="AB8" i="5"/>
  <c r="O8" i="5"/>
  <c r="AA8" i="5" s="1"/>
  <c r="E8" i="5"/>
  <c r="F8" i="5" s="1"/>
  <c r="G8" i="5" s="1"/>
  <c r="AB7" i="5"/>
  <c r="AA7" i="5"/>
  <c r="O7" i="5"/>
  <c r="E7" i="5"/>
  <c r="F7" i="5" s="1"/>
  <c r="AE9" i="5" s="1"/>
  <c r="AB6" i="5"/>
  <c r="AA6" i="5"/>
  <c r="O6" i="5"/>
  <c r="F6" i="5"/>
  <c r="G6" i="5" s="1"/>
  <c r="E6" i="5"/>
  <c r="AB5" i="5"/>
  <c r="O5" i="5"/>
  <c r="AA5" i="5" s="1"/>
  <c r="G5" i="5"/>
  <c r="F5" i="5"/>
  <c r="E5" i="5"/>
  <c r="AB4" i="5"/>
  <c r="O4" i="5"/>
  <c r="AA4" i="5" s="1"/>
  <c r="AE3" i="5"/>
  <c r="AB3" i="5"/>
  <c r="AA3" i="5"/>
  <c r="O3" i="5"/>
  <c r="AB2" i="5"/>
  <c r="O2" i="5"/>
  <c r="AA2" i="5" s="1"/>
  <c r="AC63" i="4"/>
  <c r="Z63" i="4"/>
  <c r="N63" i="4"/>
  <c r="AC56" i="4"/>
  <c r="Z56" i="4"/>
  <c r="N56" i="4"/>
  <c r="AC49" i="4"/>
  <c r="Z49" i="4"/>
  <c r="N49" i="4"/>
  <c r="AC44" i="4"/>
  <c r="Z44" i="4"/>
  <c r="N44" i="4"/>
  <c r="AC51" i="4"/>
  <c r="Z51" i="4"/>
  <c r="N51" i="4"/>
  <c r="AC39" i="4"/>
  <c r="Z39" i="4"/>
  <c r="N39" i="4"/>
  <c r="AC32" i="4"/>
  <c r="Z32" i="4"/>
  <c r="N32" i="4"/>
  <c r="AC37" i="4"/>
  <c r="Z37" i="4"/>
  <c r="N37" i="4"/>
  <c r="AC25" i="4"/>
  <c r="Z25" i="4"/>
  <c r="N25" i="4"/>
  <c r="AC34" i="4"/>
  <c r="Z34" i="4"/>
  <c r="N34" i="4"/>
  <c r="Z62" i="4"/>
  <c r="N62" i="4"/>
  <c r="Z61" i="4"/>
  <c r="N61" i="4"/>
  <c r="Z60" i="4"/>
  <c r="N60" i="4"/>
  <c r="Z59" i="4"/>
  <c r="N59" i="4"/>
  <c r="Z58" i="4"/>
  <c r="N58" i="4"/>
  <c r="Z57" i="4"/>
  <c r="N57" i="4"/>
  <c r="Z55" i="4"/>
  <c r="N55" i="4"/>
  <c r="Z54" i="4"/>
  <c r="N54" i="4"/>
  <c r="Z53" i="4"/>
  <c r="N53" i="4"/>
  <c r="Z52" i="4"/>
  <c r="Y52" i="4"/>
  <c r="N52" i="4"/>
  <c r="AF44" i="4" s="1"/>
  <c r="AG44" i="4" s="1"/>
  <c r="AC50" i="4"/>
  <c r="Z50" i="4"/>
  <c r="N50" i="4"/>
  <c r="AF43" i="4" s="1"/>
  <c r="Z48" i="4"/>
  <c r="N48" i="4"/>
  <c r="Z47" i="4"/>
  <c r="N47" i="4"/>
  <c r="AF41" i="4" s="1"/>
  <c r="AG41" i="4" s="1"/>
  <c r="Z46" i="4"/>
  <c r="N46" i="4"/>
  <c r="Z45" i="4"/>
  <c r="N45" i="4"/>
  <c r="AF39" i="4" s="1"/>
  <c r="Z43" i="4"/>
  <c r="N43" i="4"/>
  <c r="Z42" i="4"/>
  <c r="N42" i="4"/>
  <c r="Z41" i="4"/>
  <c r="N41" i="4"/>
  <c r="E36" i="4"/>
  <c r="F36" i="4" s="1"/>
  <c r="AF35" i="4"/>
  <c r="AG35" i="4" s="1"/>
  <c r="Z40" i="4"/>
  <c r="N40" i="4"/>
  <c r="Y40" i="4" s="1"/>
  <c r="G35" i="4"/>
  <c r="F35" i="4"/>
  <c r="AC54" i="4" s="1"/>
  <c r="E35" i="4"/>
  <c r="Z38" i="4"/>
  <c r="N38" i="4"/>
  <c r="AF34" i="4" s="1"/>
  <c r="F34" i="4"/>
  <c r="G34" i="4" s="1"/>
  <c r="E34" i="4"/>
  <c r="Z36" i="4"/>
  <c r="N36" i="4"/>
  <c r="AF33" i="4" s="1"/>
  <c r="E33" i="4"/>
  <c r="F33" i="4" s="1"/>
  <c r="G33" i="4" s="1"/>
  <c r="Z35" i="4"/>
  <c r="N35" i="4"/>
  <c r="E32" i="4"/>
  <c r="F32" i="4" s="1"/>
  <c r="G32" i="4" s="1"/>
  <c r="Z33" i="4"/>
  <c r="N33" i="4"/>
  <c r="Y33" i="4" s="1"/>
  <c r="G31" i="4"/>
  <c r="F31" i="4"/>
  <c r="AC62" i="4" s="1"/>
  <c r="E31" i="4"/>
  <c r="Z31" i="4"/>
  <c r="N31" i="4"/>
  <c r="Y31" i="4" s="1"/>
  <c r="F30" i="4"/>
  <c r="G30" i="4" s="1"/>
  <c r="E30" i="4"/>
  <c r="Z30" i="4"/>
  <c r="N30" i="4"/>
  <c r="AF29" i="4" s="1"/>
  <c r="E29" i="4"/>
  <c r="F29" i="4" s="1"/>
  <c r="Z29" i="4"/>
  <c r="N29" i="4"/>
  <c r="G28" i="4"/>
  <c r="E28" i="4"/>
  <c r="F28" i="4" s="1"/>
  <c r="AC15" i="4" s="1"/>
  <c r="AC28" i="4"/>
  <c r="Z28" i="4"/>
  <c r="N28" i="4"/>
  <c r="Y28" i="4" s="1"/>
  <c r="F27" i="4"/>
  <c r="E27" i="4"/>
  <c r="Z26" i="4"/>
  <c r="N26" i="4"/>
  <c r="E26" i="4"/>
  <c r="F26" i="4" s="1"/>
  <c r="G26" i="4" s="1"/>
  <c r="Z24" i="4"/>
  <c r="N24" i="4"/>
  <c r="AF25" i="4" s="1"/>
  <c r="AG25" i="4" s="1"/>
  <c r="E25" i="4"/>
  <c r="F25" i="4" s="1"/>
  <c r="G25" i="4" s="1"/>
  <c r="Z23" i="4"/>
  <c r="N23" i="4"/>
  <c r="G24" i="4"/>
  <c r="E24" i="4"/>
  <c r="F24" i="4" s="1"/>
  <c r="AC22" i="4"/>
  <c r="Z22" i="4"/>
  <c r="N22" i="4"/>
  <c r="Y22" i="4" s="1"/>
  <c r="F23" i="4"/>
  <c r="E23" i="4"/>
  <c r="Z21" i="4"/>
  <c r="N21" i="4"/>
  <c r="AF22" i="4" s="1"/>
  <c r="E22" i="4"/>
  <c r="F22" i="4" s="1"/>
  <c r="Z19" i="4"/>
  <c r="N19" i="4"/>
  <c r="E21" i="4"/>
  <c r="F21" i="4" s="1"/>
  <c r="Z20" i="4"/>
  <c r="N20" i="4"/>
  <c r="G20" i="4"/>
  <c r="E20" i="4"/>
  <c r="F20" i="4" s="1"/>
  <c r="AC38" i="4" s="1"/>
  <c r="AC18" i="4"/>
  <c r="Z18" i="4"/>
  <c r="N18" i="4"/>
  <c r="Y18" i="4" s="1"/>
  <c r="F19" i="4"/>
  <c r="E19" i="4"/>
  <c r="Z15" i="4"/>
  <c r="N15" i="4"/>
  <c r="Y15" i="4" s="1"/>
  <c r="E18" i="4"/>
  <c r="F18" i="4" s="1"/>
  <c r="Z27" i="4"/>
  <c r="N27" i="4"/>
  <c r="E17" i="4"/>
  <c r="F17" i="4" s="1"/>
  <c r="Z14" i="4"/>
  <c r="N14" i="4"/>
  <c r="G16" i="4"/>
  <c r="E16" i="4"/>
  <c r="F16" i="4" s="1"/>
  <c r="AC52" i="4" s="1"/>
  <c r="AC17" i="4"/>
  <c r="Z17" i="4"/>
  <c r="N17" i="4"/>
  <c r="Y17" i="4" s="1"/>
  <c r="F15" i="4"/>
  <c r="E15" i="4"/>
  <c r="AF14" i="4"/>
  <c r="Z16" i="4"/>
  <c r="N16" i="4"/>
  <c r="Y16" i="4" s="1"/>
  <c r="E14" i="4"/>
  <c r="F14" i="4" s="1"/>
  <c r="Z13" i="4"/>
  <c r="N13" i="4"/>
  <c r="AF13" i="4" s="1"/>
  <c r="AG13" i="4" s="1"/>
  <c r="E13" i="4"/>
  <c r="F13" i="4" s="1"/>
  <c r="AC47" i="4" s="1"/>
  <c r="Z10" i="4"/>
  <c r="N10" i="4"/>
  <c r="G12" i="4"/>
  <c r="E12" i="4"/>
  <c r="F12" i="4" s="1"/>
  <c r="AC9" i="4"/>
  <c r="Z9" i="4"/>
  <c r="N9" i="4"/>
  <c r="Y9" i="4" s="1"/>
  <c r="F11" i="4"/>
  <c r="E11" i="4"/>
  <c r="AF10" i="4"/>
  <c r="Z12" i="4"/>
  <c r="N12" i="4"/>
  <c r="Y12" i="4" s="1"/>
  <c r="E10" i="4"/>
  <c r="F10" i="4" s="1"/>
  <c r="Z11" i="4"/>
  <c r="N11" i="4"/>
  <c r="E9" i="4"/>
  <c r="F9" i="4" s="1"/>
  <c r="AC8" i="4"/>
  <c r="Z8" i="4"/>
  <c r="N8" i="4"/>
  <c r="AF8" i="4" s="1"/>
  <c r="E8" i="4"/>
  <c r="F8" i="4" s="1"/>
  <c r="AC16" i="4" s="1"/>
  <c r="AC6" i="4"/>
  <c r="Z6" i="4"/>
  <c r="N6" i="4"/>
  <c r="Y6" i="4" s="1"/>
  <c r="G7" i="4"/>
  <c r="F7" i="4"/>
  <c r="AC21" i="4" s="1"/>
  <c r="E7" i="4"/>
  <c r="AC7" i="4"/>
  <c r="Z7" i="4"/>
  <c r="N7" i="4"/>
  <c r="Y7" i="4" s="1"/>
  <c r="E6" i="4"/>
  <c r="F6" i="4" s="1"/>
  <c r="AC5" i="4"/>
  <c r="Z5" i="4"/>
  <c r="N5" i="4"/>
  <c r="Y5" i="4" s="1"/>
  <c r="E5" i="4"/>
  <c r="F5" i="4" s="1"/>
  <c r="AC4" i="4"/>
  <c r="Z4" i="4"/>
  <c r="N4" i="4"/>
  <c r="AC3" i="4"/>
  <c r="Z3" i="4"/>
  <c r="N3" i="4"/>
  <c r="AF3" i="4" s="1"/>
  <c r="AG3" i="4" s="1"/>
  <c r="AC2" i="4"/>
  <c r="Z2" i="4"/>
  <c r="N2" i="4"/>
  <c r="AF2" i="4" s="1"/>
  <c r="AG2" i="4" s="1"/>
  <c r="F36" i="3"/>
  <c r="AE11" i="3" s="1"/>
  <c r="E36" i="3"/>
  <c r="F35" i="3"/>
  <c r="E35" i="3"/>
  <c r="G34" i="3"/>
  <c r="E34" i="3"/>
  <c r="F34" i="3" s="1"/>
  <c r="G33" i="3"/>
  <c r="F33" i="3"/>
  <c r="E33" i="3"/>
  <c r="G32" i="3"/>
  <c r="F32" i="3"/>
  <c r="AE3" i="3" s="1"/>
  <c r="E31" i="3"/>
  <c r="F31" i="3" s="1"/>
  <c r="G31" i="3" s="1"/>
  <c r="AB30" i="3"/>
  <c r="AA30" i="3"/>
  <c r="Y30" i="3"/>
  <c r="O30" i="3"/>
  <c r="M30" i="3"/>
  <c r="G30" i="3"/>
  <c r="F30" i="3"/>
  <c r="E30" i="3"/>
  <c r="AF29" i="3"/>
  <c r="AG29" i="3" s="1"/>
  <c r="AE29" i="3"/>
  <c r="AB29" i="3"/>
  <c r="Y29" i="3"/>
  <c r="O29" i="3"/>
  <c r="AA29" i="3" s="1"/>
  <c r="M29" i="3"/>
  <c r="F29" i="3"/>
  <c r="G29" i="3" s="1"/>
  <c r="E29" i="3"/>
  <c r="AE28" i="3"/>
  <c r="AB28" i="3"/>
  <c r="O28" i="3"/>
  <c r="AA28" i="3" s="1"/>
  <c r="M28" i="3"/>
  <c r="F28" i="3"/>
  <c r="G28" i="3" s="1"/>
  <c r="E28" i="3"/>
  <c r="AE27" i="3"/>
  <c r="AB27" i="3"/>
  <c r="O27" i="3"/>
  <c r="AA27" i="3" s="1"/>
  <c r="M27" i="3"/>
  <c r="G27" i="3"/>
  <c r="E27" i="3"/>
  <c r="F27" i="3" s="1"/>
  <c r="AB26" i="3"/>
  <c r="AA26" i="3"/>
  <c r="O26" i="3"/>
  <c r="M26" i="3"/>
  <c r="Y26" i="3" s="1"/>
  <c r="F26" i="3"/>
  <c r="AE26" i="3" s="1"/>
  <c r="AE25" i="3"/>
  <c r="AB25" i="3"/>
  <c r="O25" i="3"/>
  <c r="AA25" i="3" s="1"/>
  <c r="M25" i="3"/>
  <c r="Y25" i="3" s="1"/>
  <c r="E25" i="3"/>
  <c r="F25" i="3" s="1"/>
  <c r="AE24" i="3"/>
  <c r="AB24" i="3"/>
  <c r="AA24" i="3"/>
  <c r="O24" i="3"/>
  <c r="M24" i="3"/>
  <c r="E24" i="3"/>
  <c r="F24" i="3" s="1"/>
  <c r="G24" i="3" s="1"/>
  <c r="AF23" i="3"/>
  <c r="AG23" i="3" s="1"/>
  <c r="AE23" i="3"/>
  <c r="AB23" i="3"/>
  <c r="AA23" i="3"/>
  <c r="Y23" i="3"/>
  <c r="O23" i="3"/>
  <c r="M23" i="3"/>
  <c r="F23" i="3"/>
  <c r="AE4" i="3" s="1"/>
  <c r="E23" i="3"/>
  <c r="AE22" i="3"/>
  <c r="AB22" i="3"/>
  <c r="O22" i="3"/>
  <c r="AA22" i="3" s="1"/>
  <c r="M22" i="3"/>
  <c r="E22" i="3"/>
  <c r="F22" i="3" s="1"/>
  <c r="G22" i="3" s="1"/>
  <c r="AB21" i="3"/>
  <c r="Y21" i="3"/>
  <c r="O21" i="3"/>
  <c r="AA21" i="3" s="1"/>
  <c r="M21" i="3"/>
  <c r="F21" i="3"/>
  <c r="G21" i="3" s="1"/>
  <c r="AB20" i="3"/>
  <c r="AA20" i="3"/>
  <c r="Y20" i="3"/>
  <c r="O20" i="3"/>
  <c r="M20" i="3"/>
  <c r="AF20" i="3" s="1"/>
  <c r="AG20" i="3" s="1"/>
  <c r="F20" i="3"/>
  <c r="AE30" i="3" s="1"/>
  <c r="AF30" i="3" s="1"/>
  <c r="AG30" i="3" s="1"/>
  <c r="AE19" i="3"/>
  <c r="AB19" i="3"/>
  <c r="Y19" i="3"/>
  <c r="O19" i="3"/>
  <c r="AA19" i="3" s="1"/>
  <c r="M19" i="3"/>
  <c r="AF19" i="3" s="1"/>
  <c r="AG19" i="3" s="1"/>
  <c r="F19" i="3"/>
  <c r="G19" i="3" s="1"/>
  <c r="AE18" i="3"/>
  <c r="AB18" i="3"/>
  <c r="AA18" i="3"/>
  <c r="O18" i="3"/>
  <c r="M18" i="3"/>
  <c r="AF18" i="3" s="1"/>
  <c r="AG18" i="3" s="1"/>
  <c r="G18" i="3"/>
  <c r="F18" i="3"/>
  <c r="E18" i="3"/>
  <c r="AF17" i="3"/>
  <c r="AG17" i="3" s="1"/>
  <c r="AE17" i="3"/>
  <c r="AB17" i="3"/>
  <c r="AA17" i="3"/>
  <c r="Y17" i="3"/>
  <c r="O17" i="3"/>
  <c r="M17" i="3"/>
  <c r="F17" i="3"/>
  <c r="AE20" i="3" s="1"/>
  <c r="E17" i="3"/>
  <c r="AE16" i="3"/>
  <c r="AB16" i="3"/>
  <c r="O16" i="3"/>
  <c r="AA16" i="3" s="1"/>
  <c r="M16" i="3"/>
  <c r="Y16" i="3" s="1"/>
  <c r="F16" i="3"/>
  <c r="G16" i="3" s="1"/>
  <c r="E16" i="3"/>
  <c r="AB15" i="3"/>
  <c r="O15" i="3"/>
  <c r="AA15" i="3" s="1"/>
  <c r="M15" i="3"/>
  <c r="G15" i="3"/>
  <c r="F15" i="3"/>
  <c r="AE14" i="3"/>
  <c r="AB14" i="3"/>
  <c r="O14" i="3"/>
  <c r="AA14" i="3" s="1"/>
  <c r="M14" i="3"/>
  <c r="E14" i="3"/>
  <c r="F14" i="3" s="1"/>
  <c r="AB13" i="3"/>
  <c r="Y13" i="3"/>
  <c r="O13" i="3"/>
  <c r="AA13" i="3" s="1"/>
  <c r="M13" i="3"/>
  <c r="E13" i="3"/>
  <c r="F13" i="3" s="1"/>
  <c r="G13" i="3" s="1"/>
  <c r="AE12" i="3"/>
  <c r="AB12" i="3"/>
  <c r="AA12" i="3"/>
  <c r="O12" i="3"/>
  <c r="M12" i="3"/>
  <c r="E12" i="3"/>
  <c r="F12" i="3" s="1"/>
  <c r="G12" i="3" s="1"/>
  <c r="AB11" i="3"/>
  <c r="AA11" i="3"/>
  <c r="O11" i="3"/>
  <c r="M11" i="3"/>
  <c r="Y11" i="3" s="1"/>
  <c r="G11" i="3"/>
  <c r="F11" i="3"/>
  <c r="E11" i="3"/>
  <c r="AB10" i="3"/>
  <c r="AA10" i="3"/>
  <c r="Y10" i="3"/>
  <c r="O10" i="3"/>
  <c r="M10" i="3"/>
  <c r="F10" i="3"/>
  <c r="G10" i="3" s="1"/>
  <c r="E10" i="3"/>
  <c r="AE9" i="3"/>
  <c r="AB9" i="3"/>
  <c r="O9" i="3"/>
  <c r="AA9" i="3" s="1"/>
  <c r="M9" i="3"/>
  <c r="Y9" i="3" s="1"/>
  <c r="F9" i="3"/>
  <c r="G9" i="3" s="1"/>
  <c r="E9" i="3"/>
  <c r="AB8" i="3"/>
  <c r="O8" i="3"/>
  <c r="AA8" i="3" s="1"/>
  <c r="M8" i="3"/>
  <c r="G8" i="3"/>
  <c r="E8" i="3"/>
  <c r="F8" i="3" s="1"/>
  <c r="AE13" i="3" s="1"/>
  <c r="AB7" i="3"/>
  <c r="AA7" i="3"/>
  <c r="O7" i="3"/>
  <c r="M7" i="3"/>
  <c r="Y7" i="3" s="1"/>
  <c r="F7" i="3"/>
  <c r="AE10" i="3" s="1"/>
  <c r="AF10" i="3" s="1"/>
  <c r="AG10" i="3" s="1"/>
  <c r="E7" i="3"/>
  <c r="AE6" i="3"/>
  <c r="AB6" i="3"/>
  <c r="AA6" i="3"/>
  <c r="O6" i="3"/>
  <c r="AF6" i="3" s="1"/>
  <c r="AG6" i="3" s="1"/>
  <c r="M6" i="3"/>
  <c r="E6" i="3"/>
  <c r="F6" i="3" s="1"/>
  <c r="G6" i="3" s="1"/>
  <c r="AB5" i="3"/>
  <c r="O5" i="3"/>
  <c r="AA5" i="3" s="1"/>
  <c r="M5" i="3"/>
  <c r="Y5" i="3" s="1"/>
  <c r="F5" i="3"/>
  <c r="AB4" i="3"/>
  <c r="AA4" i="3"/>
  <c r="O4" i="3"/>
  <c r="M4" i="3"/>
  <c r="Y4" i="3" s="1"/>
  <c r="AB3" i="3"/>
  <c r="AA3" i="3"/>
  <c r="O3" i="3"/>
  <c r="M3" i="3"/>
  <c r="Y3" i="3" s="1"/>
  <c r="AB2" i="3"/>
  <c r="AA2" i="3"/>
  <c r="Y2" i="3"/>
  <c r="O2" i="3"/>
  <c r="M2" i="3"/>
  <c r="Z22" i="2"/>
  <c r="AA22" i="2"/>
  <c r="AB22" i="2" s="1"/>
  <c r="V22" i="2"/>
  <c r="F22" i="2"/>
  <c r="U22" i="2" s="1"/>
  <c r="Z21" i="2"/>
  <c r="AA21" i="2"/>
  <c r="AB21" i="2" s="1"/>
  <c r="V21" i="2"/>
  <c r="F21" i="2"/>
  <c r="U21" i="2" s="1"/>
  <c r="Z20" i="2"/>
  <c r="AA20" i="2" s="1"/>
  <c r="AB20" i="2" s="1"/>
  <c r="V20" i="2"/>
  <c r="F20" i="2"/>
  <c r="U20" i="2" s="1"/>
  <c r="Z19" i="2"/>
  <c r="AA19" i="2" s="1"/>
  <c r="AB19" i="2" s="1"/>
  <c r="V19" i="2"/>
  <c r="F19" i="2"/>
  <c r="U19" i="2" s="1"/>
  <c r="Z18" i="2"/>
  <c r="AA18" i="2" s="1"/>
  <c r="AB18" i="2" s="1"/>
  <c r="V18" i="2"/>
  <c r="F18" i="2"/>
  <c r="U18" i="2" s="1"/>
  <c r="Z17" i="2"/>
  <c r="AA17" i="2"/>
  <c r="AB17" i="2" s="1"/>
  <c r="V17" i="2"/>
  <c r="F17" i="2"/>
  <c r="U17" i="2" s="1"/>
  <c r="Z16" i="2"/>
  <c r="AA16" i="2" s="1"/>
  <c r="AB16" i="2"/>
  <c r="V16" i="2"/>
  <c r="F16" i="2"/>
  <c r="U16" i="2" s="1"/>
  <c r="Z15" i="2"/>
  <c r="AA15" i="2" s="1"/>
  <c r="AB15" i="2" s="1"/>
  <c r="V15" i="2"/>
  <c r="F15" i="2"/>
  <c r="U15" i="2" s="1"/>
  <c r="Z14" i="2"/>
  <c r="AA14" i="2" s="1"/>
  <c r="AB14" i="2" s="1"/>
  <c r="V14" i="2"/>
  <c r="F14" i="2"/>
  <c r="U14" i="2" s="1"/>
  <c r="Z12" i="2"/>
  <c r="AA12" i="2"/>
  <c r="AB12" i="2" s="1"/>
  <c r="V12" i="2"/>
  <c r="F12" i="2"/>
  <c r="U12" i="2" s="1"/>
  <c r="Z13" i="2"/>
  <c r="AA13" i="2"/>
  <c r="AB13" i="2" s="1"/>
  <c r="V13" i="2"/>
  <c r="F13" i="2"/>
  <c r="U13" i="2" s="1"/>
  <c r="Z11" i="2"/>
  <c r="AA11" i="2" s="1"/>
  <c r="AB11" i="2" s="1"/>
  <c r="V11" i="2"/>
  <c r="U11" i="2"/>
  <c r="F11" i="2"/>
  <c r="Z10" i="2"/>
  <c r="AA10" i="2"/>
  <c r="AB10" i="2" s="1"/>
  <c r="V10" i="2"/>
  <c r="F10" i="2"/>
  <c r="U10" i="2" s="1"/>
  <c r="Z9" i="2"/>
  <c r="AA9" i="2" s="1"/>
  <c r="AB9" i="2" s="1"/>
  <c r="V9" i="2"/>
  <c r="U9" i="2"/>
  <c r="F9" i="2"/>
  <c r="Z7" i="2"/>
  <c r="AA7" i="2"/>
  <c r="AB7" i="2" s="1"/>
  <c r="V7" i="2"/>
  <c r="F7" i="2"/>
  <c r="U7" i="2" s="1"/>
  <c r="Z8" i="2"/>
  <c r="AA8" i="2" s="1"/>
  <c r="AB8" i="2" s="1"/>
  <c r="V8" i="2"/>
  <c r="U8" i="2"/>
  <c r="F8" i="2"/>
  <c r="Z6" i="2"/>
  <c r="AA6" i="2"/>
  <c r="AB6" i="2" s="1"/>
  <c r="V6" i="2"/>
  <c r="F6" i="2"/>
  <c r="U6" i="2" s="1"/>
  <c r="Z5" i="2"/>
  <c r="AA5" i="2" s="1"/>
  <c r="AB5" i="2" s="1"/>
  <c r="V5" i="2"/>
  <c r="U5" i="2"/>
  <c r="F5" i="2"/>
  <c r="Z4" i="2"/>
  <c r="AA4" i="2"/>
  <c r="AB4" i="2" s="1"/>
  <c r="V4" i="2"/>
  <c r="F4" i="2"/>
  <c r="U4" i="2" s="1"/>
  <c r="Z3" i="2"/>
  <c r="AA3" i="2" s="1"/>
  <c r="AB3" i="2" s="1"/>
  <c r="V3" i="2"/>
  <c r="F3" i="2"/>
  <c r="U3" i="2" s="1"/>
  <c r="Z2" i="2"/>
  <c r="AA2" i="2" s="1"/>
  <c r="AB2" i="2" s="1"/>
  <c r="V2" i="2"/>
  <c r="F2" i="2"/>
  <c r="U2" i="2" s="1"/>
  <c r="AF40" i="4" l="1"/>
  <c r="AG40" i="4" s="1"/>
  <c r="AD44" i="4"/>
  <c r="AD25" i="4"/>
  <c r="AF30" i="4"/>
  <c r="Y50" i="4"/>
  <c r="Y38" i="4"/>
  <c r="AF26" i="4"/>
  <c r="AG31" i="5"/>
  <c r="AA10" i="5"/>
  <c r="AF3" i="5"/>
  <c r="AG3" i="5" s="1"/>
  <c r="AF24" i="5"/>
  <c r="AG24" i="5" s="1"/>
  <c r="AF21" i="4"/>
  <c r="AG21" i="4" s="1"/>
  <c r="AF6" i="4"/>
  <c r="Y45" i="4"/>
  <c r="Y3" i="4"/>
  <c r="AF31" i="4"/>
  <c r="AG31" i="4" s="1"/>
  <c r="Y2" i="4"/>
  <c r="AF5" i="4"/>
  <c r="AF9" i="4"/>
  <c r="AG9" i="4" s="1"/>
  <c r="AF17" i="4"/>
  <c r="AG17" i="4" s="1"/>
  <c r="Y11" i="4"/>
  <c r="AF11" i="4"/>
  <c r="AG11" i="4" s="1"/>
  <c r="Y13" i="4"/>
  <c r="AF15" i="4"/>
  <c r="AG15" i="4" s="1"/>
  <c r="Y27" i="4"/>
  <c r="AF19" i="4"/>
  <c r="AG19" i="4" s="1"/>
  <c r="Y19" i="4"/>
  <c r="Y21" i="4"/>
  <c r="AF23" i="4"/>
  <c r="AG23" i="4" s="1"/>
  <c r="Y24" i="4"/>
  <c r="Y26" i="4"/>
  <c r="AF27" i="4"/>
  <c r="AG27" i="4" s="1"/>
  <c r="Y30" i="4"/>
  <c r="Y36" i="4"/>
  <c r="AG8" i="4"/>
  <c r="AD8" i="4" s="1"/>
  <c r="AE8" i="4" s="1"/>
  <c r="Y8" i="4"/>
  <c r="AF18" i="4"/>
  <c r="AG18" i="4" s="1"/>
  <c r="AD15" i="4" s="1"/>
  <c r="Y46" i="4"/>
  <c r="AF13" i="3"/>
  <c r="AG13" i="3" s="1"/>
  <c r="G14" i="3"/>
  <c r="AE5" i="3"/>
  <c r="G25" i="3"/>
  <c r="AE15" i="3"/>
  <c r="AC35" i="4"/>
  <c r="AC24" i="4"/>
  <c r="G5" i="4"/>
  <c r="AF24" i="3"/>
  <c r="AG24" i="3" s="1"/>
  <c r="Y24" i="3"/>
  <c r="AC33" i="4"/>
  <c r="AC40" i="4"/>
  <c r="G9" i="4"/>
  <c r="AC14" i="4"/>
  <c r="G17" i="4"/>
  <c r="AC29" i="4"/>
  <c r="AG30" i="4"/>
  <c r="AF37" i="4"/>
  <c r="Y42" i="4"/>
  <c r="AE20" i="5"/>
  <c r="G20" i="5"/>
  <c r="AE8" i="5"/>
  <c r="AF8" i="5" s="1"/>
  <c r="AG8" i="5" s="1"/>
  <c r="G26" i="5"/>
  <c r="G27" i="5"/>
  <c r="AE15" i="5"/>
  <c r="AF15" i="5" s="1"/>
  <c r="AG15" i="5" s="1"/>
  <c r="AE2" i="5"/>
  <c r="AF2" i="5" s="1"/>
  <c r="AG2" i="5" s="1"/>
  <c r="G30" i="5"/>
  <c r="AE21" i="5"/>
  <c r="AF4" i="3"/>
  <c r="AG4" i="3" s="1"/>
  <c r="AF5" i="3"/>
  <c r="AG5" i="3" s="1"/>
  <c r="Y8" i="3"/>
  <c r="AE8" i="3"/>
  <c r="AF8" i="3" s="1"/>
  <c r="AG8" i="3" s="1"/>
  <c r="Y14" i="3"/>
  <c r="AF14" i="3"/>
  <c r="AG14" i="3" s="1"/>
  <c r="AF15" i="3"/>
  <c r="AG15" i="3" s="1"/>
  <c r="Y15" i="3"/>
  <c r="G17" i="3"/>
  <c r="G20" i="3"/>
  <c r="Y22" i="3"/>
  <c r="AF22" i="3"/>
  <c r="AG22" i="3" s="1"/>
  <c r="G23" i="3"/>
  <c r="AF25" i="3"/>
  <c r="AG25" i="3" s="1"/>
  <c r="AF26" i="3"/>
  <c r="AG26" i="3" s="1"/>
  <c r="AF27" i="3"/>
  <c r="AG27" i="3" s="1"/>
  <c r="Y27" i="3"/>
  <c r="G36" i="3"/>
  <c r="AD3" i="4"/>
  <c r="AE3" i="4" s="1"/>
  <c r="G6" i="4"/>
  <c r="G8" i="4"/>
  <c r="AC45" i="4"/>
  <c r="G10" i="4"/>
  <c r="AG10" i="4"/>
  <c r="AC42" i="4"/>
  <c r="G15" i="4"/>
  <c r="AC48" i="4"/>
  <c r="G18" i="4"/>
  <c r="AC30" i="4"/>
  <c r="AC27" i="4"/>
  <c r="G23" i="4"/>
  <c r="AG26" i="4"/>
  <c r="G36" i="4"/>
  <c r="AC57" i="4"/>
  <c r="AC26" i="4"/>
  <c r="AF61" i="4"/>
  <c r="AG61" i="4" s="1"/>
  <c r="Y49" i="4"/>
  <c r="AF3" i="3"/>
  <c r="AG3" i="3" s="1"/>
  <c r="AF9" i="3"/>
  <c r="AG9" i="3" s="1"/>
  <c r="AF11" i="3"/>
  <c r="AG11" i="3" s="1"/>
  <c r="AF12" i="3"/>
  <c r="AG12" i="3" s="1"/>
  <c r="Y12" i="3"/>
  <c r="AF16" i="3"/>
  <c r="AG16" i="3" s="1"/>
  <c r="AE21" i="3"/>
  <c r="AF21" i="3" s="1"/>
  <c r="AG21" i="3" s="1"/>
  <c r="AF28" i="3"/>
  <c r="AG28" i="3" s="1"/>
  <c r="G35" i="3"/>
  <c r="AE7" i="3"/>
  <c r="AF7" i="3" s="1"/>
  <c r="AG7" i="3" s="1"/>
  <c r="G13" i="4"/>
  <c r="AC12" i="4"/>
  <c r="G21" i="4"/>
  <c r="AC55" i="4"/>
  <c r="AC59" i="4"/>
  <c r="G29" i="4"/>
  <c r="G5" i="3"/>
  <c r="AE2" i="3"/>
  <c r="AF2" i="3" s="1"/>
  <c r="AG2" i="3" s="1"/>
  <c r="Y6" i="3"/>
  <c r="G7" i="3"/>
  <c r="Y18" i="3"/>
  <c r="G26" i="3"/>
  <c r="Y28" i="3"/>
  <c r="AD2" i="4"/>
  <c r="AE2" i="4" s="1"/>
  <c r="AF4" i="4"/>
  <c r="Y4" i="4"/>
  <c r="AG5" i="4"/>
  <c r="AD5" i="4" s="1"/>
  <c r="AE5" i="4" s="1"/>
  <c r="AG6" i="4"/>
  <c r="AC43" i="4"/>
  <c r="G11" i="4"/>
  <c r="AC31" i="4"/>
  <c r="G14" i="4"/>
  <c r="AG14" i="4"/>
  <c r="AC36" i="4"/>
  <c r="G19" i="4"/>
  <c r="AC46" i="4"/>
  <c r="G22" i="4"/>
  <c r="AG22" i="4"/>
  <c r="AD21" i="4" s="1"/>
  <c r="AC41" i="4"/>
  <c r="G27" i="4"/>
  <c r="AF53" i="4"/>
  <c r="Y62" i="4"/>
  <c r="AD9" i="4"/>
  <c r="AF12" i="4"/>
  <c r="Y10" i="4"/>
  <c r="AD17" i="4"/>
  <c r="AE15" i="4" s="1"/>
  <c r="AF16" i="4"/>
  <c r="Y14" i="4"/>
  <c r="AD18" i="4"/>
  <c r="AF20" i="4"/>
  <c r="Y20" i="4"/>
  <c r="AF24" i="4"/>
  <c r="Y23" i="4"/>
  <c r="AF28" i="4"/>
  <c r="Y29" i="4"/>
  <c r="AF36" i="4"/>
  <c r="Y41" i="4"/>
  <c r="AF49" i="4"/>
  <c r="Y58" i="4"/>
  <c r="AC60" i="4"/>
  <c r="G12" i="5"/>
  <c r="AE17" i="5"/>
  <c r="G24" i="5"/>
  <c r="AE19" i="5"/>
  <c r="AF19" i="5" s="1"/>
  <c r="AG19" i="5" s="1"/>
  <c r="AE18" i="5"/>
  <c r="AF18" i="5" s="1"/>
  <c r="AG18" i="5" s="1"/>
  <c r="AF32" i="4"/>
  <c r="Y35" i="4"/>
  <c r="AG33" i="4"/>
  <c r="AD33" i="4" s="1"/>
  <c r="AD40" i="4"/>
  <c r="AF42" i="4"/>
  <c r="Y48" i="4"/>
  <c r="AF45" i="4"/>
  <c r="Y53" i="4"/>
  <c r="AF7" i="4"/>
  <c r="AC53" i="4"/>
  <c r="AC19" i="4"/>
  <c r="AC10" i="4"/>
  <c r="AC20" i="4"/>
  <c r="AC58" i="4"/>
  <c r="AC11" i="4"/>
  <c r="AD11" i="4" s="1"/>
  <c r="AE9" i="4" s="1"/>
  <c r="AC61" i="4"/>
  <c r="AC23" i="4"/>
  <c r="AG29" i="4"/>
  <c r="AD30" i="4" s="1"/>
  <c r="AG34" i="4"/>
  <c r="AD34" i="4" s="1"/>
  <c r="AF38" i="4"/>
  <c r="Y43" i="4"/>
  <c r="AF57" i="4"/>
  <c r="AG57" i="4" s="1"/>
  <c r="Y32" i="4"/>
  <c r="G16" i="5"/>
  <c r="AE22" i="5"/>
  <c r="AF22" i="5" s="1"/>
  <c r="AG22" i="5" s="1"/>
  <c r="AG39" i="4"/>
  <c r="AD39" i="4" s="1"/>
  <c r="AG43" i="4"/>
  <c r="AF46" i="4"/>
  <c r="Y54" i="4"/>
  <c r="AF50" i="4"/>
  <c r="Y59" i="4"/>
  <c r="AF54" i="4"/>
  <c r="AG54" i="4" s="1"/>
  <c r="Y34" i="4"/>
  <c r="AF58" i="4"/>
  <c r="AG58" i="4" s="1"/>
  <c r="Y39" i="4"/>
  <c r="AF62" i="4"/>
  <c r="AG62" i="4" s="1"/>
  <c r="Y56" i="4"/>
  <c r="AE5" i="5"/>
  <c r="AF5" i="5" s="1"/>
  <c r="AG5" i="5" s="1"/>
  <c r="AF27" i="5"/>
  <c r="AG26" i="5" s="1"/>
  <c r="AC13" i="4"/>
  <c r="AD13" i="4" s="1"/>
  <c r="AE13" i="4" s="1"/>
  <c r="Y47" i="4"/>
  <c r="AF47" i="4"/>
  <c r="Y55" i="4"/>
  <c r="AF51" i="4"/>
  <c r="Y60" i="4"/>
  <c r="AF55" i="4"/>
  <c r="AG55" i="4" s="1"/>
  <c r="Y25" i="4"/>
  <c r="AF59" i="4"/>
  <c r="AG59" i="4" s="1"/>
  <c r="Y51" i="4"/>
  <c r="AF63" i="4"/>
  <c r="AG63" i="4" s="1"/>
  <c r="Y63" i="4"/>
  <c r="G34" i="5"/>
  <c r="AE14" i="5"/>
  <c r="AF14" i="5" s="1"/>
  <c r="AG14" i="5" s="1"/>
  <c r="AF48" i="4"/>
  <c r="Y57" i="4"/>
  <c r="AF52" i="4"/>
  <c r="Y61" i="4"/>
  <c r="AF56" i="4"/>
  <c r="AG56" i="4" s="1"/>
  <c r="Y37" i="4"/>
  <c r="AF60" i="4"/>
  <c r="AG60" i="4" s="1"/>
  <c r="Y44" i="4"/>
  <c r="AE12" i="5"/>
  <c r="AF12" i="5" s="1"/>
  <c r="AG12" i="5" s="1"/>
  <c r="G7" i="5"/>
  <c r="AE16" i="5"/>
  <c r="AF16" i="5" s="1"/>
  <c r="AG16" i="5" s="1"/>
  <c r="G11" i="5"/>
  <c r="AE7" i="5"/>
  <c r="AF7" i="5" s="1"/>
  <c r="AG7" i="5" s="1"/>
  <c r="G14" i="5"/>
  <c r="AE28" i="5"/>
  <c r="AF28" i="5" s="1"/>
  <c r="AG27" i="5" s="1"/>
  <c r="G15" i="5"/>
  <c r="G19" i="5"/>
  <c r="AE11" i="5"/>
  <c r="AF11" i="5" s="1"/>
  <c r="AG11" i="5" s="1"/>
  <c r="AE6" i="5"/>
  <c r="AF6" i="5" s="1"/>
  <c r="AG6" i="5" s="1"/>
  <c r="AF20" i="5"/>
  <c r="AG20" i="5" s="1"/>
  <c r="AE30" i="5"/>
  <c r="AF30" i="5" s="1"/>
  <c r="AE4" i="5"/>
  <c r="AF4" i="5" s="1"/>
  <c r="AG4" i="5" s="1"/>
  <c r="G22" i="5"/>
  <c r="G31" i="5"/>
  <c r="AE23" i="5"/>
  <c r="AF23" i="5" s="1"/>
  <c r="AG23" i="5" s="1"/>
  <c r="AF9" i="5"/>
  <c r="AG9" i="5" s="1"/>
  <c r="AF13" i="5"/>
  <c r="AG13" i="5" s="1"/>
  <c r="AF17" i="5"/>
  <c r="AG17" i="5" s="1"/>
  <c r="AF21" i="5"/>
  <c r="AG21" i="5" s="1"/>
  <c r="AF25" i="5"/>
  <c r="AG25" i="5" s="1"/>
  <c r="AF32" i="5"/>
  <c r="AG29" i="5" s="1"/>
  <c r="AD63" i="4" l="1"/>
  <c r="AE63" i="4" s="1"/>
  <c r="AD56" i="4"/>
  <c r="AD22" i="4"/>
  <c r="AD27" i="4"/>
  <c r="AE18" i="4" s="1"/>
  <c r="AG28" i="5"/>
  <c r="AG32" i="5"/>
  <c r="AG30" i="5"/>
  <c r="AD26" i="4"/>
  <c r="AE26" i="4" s="1"/>
  <c r="AD31" i="4"/>
  <c r="AE30" i="4" s="1"/>
  <c r="AE17" i="4"/>
  <c r="AE11" i="4"/>
  <c r="AG52" i="4"/>
  <c r="AD61" i="4" s="1"/>
  <c r="AG51" i="4"/>
  <c r="AD60" i="4" s="1"/>
  <c r="AG45" i="4"/>
  <c r="AG28" i="4"/>
  <c r="AG12" i="4"/>
  <c r="AD12" i="4" s="1"/>
  <c r="AE10" i="4" s="1"/>
  <c r="AD10" i="4"/>
  <c r="AG46" i="4"/>
  <c r="AD54" i="4" s="1"/>
  <c r="AG38" i="4"/>
  <c r="AD43" i="4" s="1"/>
  <c r="AG16" i="4"/>
  <c r="AD16" i="4" s="1"/>
  <c r="AD14" i="4"/>
  <c r="AG48" i="4"/>
  <c r="AD57" i="4" s="1"/>
  <c r="AG47" i="4"/>
  <c r="AD55" i="4" s="1"/>
  <c r="AE55" i="4" s="1"/>
  <c r="AG36" i="4"/>
  <c r="AD41" i="4" s="1"/>
  <c r="AG20" i="4"/>
  <c r="AD19" i="4" s="1"/>
  <c r="AE21" i="4" s="1"/>
  <c r="AD20" i="4"/>
  <c r="AG50" i="4"/>
  <c r="AD59" i="4" s="1"/>
  <c r="AG7" i="4"/>
  <c r="AD7" i="4" s="1"/>
  <c r="AD6" i="4"/>
  <c r="AG42" i="4"/>
  <c r="AD48" i="4"/>
  <c r="AG32" i="4"/>
  <c r="AD35" i="4" s="1"/>
  <c r="AE35" i="4" s="1"/>
  <c r="AG49" i="4"/>
  <c r="AD58" i="4" s="1"/>
  <c r="AG24" i="4"/>
  <c r="AD23" i="4" s="1"/>
  <c r="AG53" i="4"/>
  <c r="AD62" i="4" s="1"/>
  <c r="AG4" i="4"/>
  <c r="AD4" i="4" s="1"/>
  <c r="AE4" i="4" s="1"/>
  <c r="AG37" i="4"/>
  <c r="AD42" i="4" s="1"/>
  <c r="AE48" i="4" l="1"/>
  <c r="AD53" i="4"/>
  <c r="AE62" i="4"/>
  <c r="AD45" i="4"/>
  <c r="AE39" i="4" s="1"/>
  <c r="AD47" i="4"/>
  <c r="AE41" i="4" s="1"/>
  <c r="AE31" i="4"/>
  <c r="AD52" i="4"/>
  <c r="AE44" i="4" s="1"/>
  <c r="AD51" i="4"/>
  <c r="AE59" i="4" s="1"/>
  <c r="AD38" i="4"/>
  <c r="AE34" i="4" s="1"/>
  <c r="AD36" i="4"/>
  <c r="AE33" i="4" s="1"/>
  <c r="AD49" i="4"/>
  <c r="AE61" i="4" s="1"/>
  <c r="AE58" i="4"/>
  <c r="AD37" i="4"/>
  <c r="AE56" i="4" s="1"/>
  <c r="AE32" i="4"/>
  <c r="AE53" i="4"/>
  <c r="AE42" i="4"/>
  <c r="AE47" i="4"/>
  <c r="AE38" i="4"/>
  <c r="AD29" i="4"/>
  <c r="AD28" i="4"/>
  <c r="AE27" i="4" s="1"/>
  <c r="AD50" i="4"/>
  <c r="AE43" i="4" s="1"/>
  <c r="AE60" i="4"/>
  <c r="AD32" i="4"/>
  <c r="AE57" i="4" s="1"/>
  <c r="AE54" i="4"/>
  <c r="AD46" i="4"/>
  <c r="AE40" i="4" s="1"/>
  <c r="AE23" i="4"/>
  <c r="AE6" i="4"/>
  <c r="AE19" i="4"/>
  <c r="AD24" i="4"/>
  <c r="AE25" i="4" s="1"/>
  <c r="AE22" i="4"/>
  <c r="AE14" i="4"/>
  <c r="AE12" i="4"/>
  <c r="AE20" i="4"/>
  <c r="AE16" i="4"/>
  <c r="AE7" i="4"/>
  <c r="AE37" i="4" l="1"/>
  <c r="AE45" i="4"/>
  <c r="AE50" i="4"/>
  <c r="AE28" i="4"/>
  <c r="AE29" i="4"/>
  <c r="AE52" i="4"/>
  <c r="AE51" i="4"/>
  <c r="AE46" i="4"/>
  <c r="AE36" i="4"/>
  <c r="AE49" i="4"/>
  <c r="AE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100-000001000000}">
      <text>
        <r>
          <rPr>
            <sz val="10"/>
            <rFont val="Arial"/>
            <family val="2"/>
          </rPr>
          <t xml:space="preserve">ESPN College Football SOS Rankings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200-000001000000}">
      <text>
        <r>
          <rPr>
            <sz val="10"/>
            <rFont val="Arial"/>
            <family val="2"/>
          </rPr>
          <t xml:space="preserve">BMI = (Mass (lbs)/Height (in)^2) X703
</t>
        </r>
      </text>
    </comment>
    <comment ref="P1" authorId="0" shapeId="0" xr:uid="{00000000-0006-0000-0200-000002000000}">
      <text>
        <r>
          <rPr>
            <sz val="10"/>
            <rFont val="Arial"/>
            <family val="2"/>
          </rPr>
          <t xml:space="preserve">Scrimmage Yards Per Play (ESPN?)
</t>
        </r>
      </text>
    </comment>
    <comment ref="S1" authorId="0" shapeId="0" xr:uid="{00000000-0006-0000-0200-000003000000}">
      <text>
        <r>
          <rPr>
            <sz val="10"/>
            <rFont val="Arial"/>
            <family val="2"/>
          </rPr>
          <t xml:space="preserve">https://ras.football/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1" authorId="0" shapeId="0" xr:uid="{00000000-0006-0000-0300-000001000000}">
      <text>
        <r>
          <rPr>
            <sz val="10"/>
            <rFont val="Arial"/>
            <family val="2"/>
          </rPr>
          <t xml:space="preserve">https://ras.football/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P1" authorId="0" shapeId="0" xr:uid="{00000000-0006-0000-0400-000001000000}">
      <text>
        <r>
          <rPr>
            <sz val="10"/>
            <rFont val="Arial"/>
            <family val="2"/>
          </rPr>
          <t xml:space="preserve">https://ras.football/
</t>
        </r>
      </text>
    </comment>
  </commentList>
</comments>
</file>

<file path=xl/sharedStrings.xml><?xml version="1.0" encoding="utf-8"?>
<sst xmlns="http://schemas.openxmlformats.org/spreadsheetml/2006/main" count="21222" uniqueCount="8862">
  <si>
    <t>Owner</t>
  </si>
  <si>
    <t>Team Pick From</t>
  </si>
  <si>
    <t>Pick</t>
  </si>
  <si>
    <t>Needs</t>
  </si>
  <si>
    <t>CBS ADP</t>
  </si>
  <si>
    <t>Projected Pick</t>
  </si>
  <si>
    <t>Barry Sanders</t>
  </si>
  <si>
    <t>RB/QB</t>
  </si>
  <si>
    <t>Jeremiyah Love</t>
  </si>
  <si>
    <t>Natural Born Spillers</t>
  </si>
  <si>
    <t>WR</t>
  </si>
  <si>
    <t>Carnell Tate</t>
  </si>
  <si>
    <t>Flexorcist</t>
  </si>
  <si>
    <t>Run Jalen Run</t>
  </si>
  <si>
    <t>RB/WR</t>
  </si>
  <si>
    <t>Makai Lemon</t>
  </si>
  <si>
    <t>Hitmen</t>
  </si>
  <si>
    <t>Jordan Tyson</t>
  </si>
  <si>
    <t>Furies</t>
  </si>
  <si>
    <t>Hot Tub</t>
  </si>
  <si>
    <t>Jordyn Tyson/Kenyon Sadiq</t>
  </si>
  <si>
    <t>House Pain</t>
  </si>
  <si>
    <t>Kenyon Sadiq/Jadarian Price/Jonah Coleman</t>
  </si>
  <si>
    <t>Jadarian Price</t>
  </si>
  <si>
    <t>V-Rilla</t>
  </si>
  <si>
    <t>WR/BPA</t>
  </si>
  <si>
    <t>Omar Cooper</t>
  </si>
  <si>
    <t>Hurts So Good</t>
  </si>
  <si>
    <t>Denzel Boston</t>
  </si>
  <si>
    <t>Prestige</t>
  </si>
  <si>
    <t>TE/Flex</t>
  </si>
  <si>
    <t>Eli Stowers</t>
  </si>
  <si>
    <t>Flint Tropic</t>
  </si>
  <si>
    <t>Mike Washington</t>
  </si>
  <si>
    <t>Eli Stowers/Jonah Coleman/Nick Singleton?/Denzel Boston/K.C. Concepcion/Antonio Williams/</t>
  </si>
  <si>
    <t>K.C. Concepcion</t>
  </si>
  <si>
    <t>Fernando Mendoza</t>
  </si>
  <si>
    <t>Jonah Coleman</t>
  </si>
  <si>
    <t>Flex</t>
  </si>
  <si>
    <t>Emmett Johnson</t>
  </si>
  <si>
    <t>RB/BPA</t>
  </si>
  <si>
    <t>Nick Singleton</t>
  </si>
  <si>
    <t>Ty Simpson</t>
  </si>
  <si>
    <t>Chris Bell</t>
  </si>
  <si>
    <t>Chris Brazzell II</t>
  </si>
  <si>
    <t>Germie Bernard*</t>
  </si>
  <si>
    <t>Elijah Sarratt</t>
  </si>
  <si>
    <t>Zachariah Branch</t>
  </si>
  <si>
    <t>Leveon Moss***/Kaytron Allen***/Demond Clairborne/Kaelen Black (SF)/Eli Heidenreich***/Chris Bell**/Caleb Douglas (Sleeper!!)</t>
  </si>
  <si>
    <t>Malachi Fields</t>
  </si>
  <si>
    <t>BPA</t>
  </si>
  <si>
    <t>Kaytron Allen</t>
  </si>
  <si>
    <t>Skyler Bell</t>
  </si>
  <si>
    <t>Demond Claiborne</t>
  </si>
  <si>
    <t>Bryce Lance</t>
  </si>
  <si>
    <t>Ted Hurst</t>
  </si>
  <si>
    <t>Deion Burks</t>
  </si>
  <si>
    <t>Max Klare</t>
  </si>
  <si>
    <t>Eli Raridon (NE)***/Caleb Douglas (Sleeper***)/Bryce Lance (N.O.)***/Cyrus Allen?</t>
  </si>
  <si>
    <t>Seth McGowan</t>
  </si>
  <si>
    <t>Draft  A Bum</t>
  </si>
  <si>
    <t>Quarterbacks</t>
  </si>
  <si>
    <t>Ht.
Inches</t>
  </si>
  <si>
    <t>Weight</t>
  </si>
  <si>
    <t>40 Yard
Dash</t>
  </si>
  <si>
    <t>Ht. Adj.
Speed</t>
  </si>
  <si>
    <t>Rush Yds
Per Game</t>
  </si>
  <si>
    <t>Rush TDs
Game</t>
  </si>
  <si>
    <t>ANY/A</t>
  </si>
  <si>
    <t>Yards/
DB</t>
  </si>
  <si>
    <t>EPA/
DB</t>
  </si>
  <si>
    <t>Passing
TD%</t>
  </si>
  <si>
    <t>Passing
Int%</t>
  </si>
  <si>
    <t>BTT
Rate%</t>
  </si>
  <si>
    <t>TWP
Rate%</t>
  </si>
  <si>
    <t>Adj.
Accuracy%</t>
  </si>
  <si>
    <t>PFF Pass
Grade</t>
  </si>
  <si>
    <t>Avg Time
To Throw</t>
  </si>
  <si>
    <t>Sack%</t>
  </si>
  <si>
    <t>S.O.S</t>
  </si>
  <si>
    <t>Upside
Score</t>
  </si>
  <si>
    <t>Safety
Score</t>
  </si>
  <si>
    <t>Draft
Age</t>
  </si>
  <si>
    <t>Draft
Position</t>
  </si>
  <si>
    <t>Team</t>
  </si>
  <si>
    <t>Final
Ranking</t>
  </si>
  <si>
    <t>Tier</t>
  </si>
  <si>
    <t>Landing
Bonus</t>
  </si>
  <si>
    <t>Fernando Mendoza (Indiana)</t>
  </si>
  <si>
    <t>LV</t>
  </si>
  <si>
    <t>ARI</t>
  </si>
  <si>
    <t>Ty Simpson (Alabama)</t>
  </si>
  <si>
    <t>LAR</t>
  </si>
  <si>
    <t>ATL</t>
  </si>
  <si>
    <t>Haynes King (Georgia Tech)</t>
  </si>
  <si>
    <t>UDFA</t>
  </si>
  <si>
    <t>CAR</t>
  </si>
  <si>
    <t>BAL</t>
  </si>
  <si>
    <t>Diego Pavia (Vanderbilt)</t>
  </si>
  <si>
    <t>BUF</t>
  </si>
  <si>
    <t>Cade Klubnik (Clemson)</t>
  </si>
  <si>
    <t>NYJ</t>
  </si>
  <si>
    <t>Drew Allar (Penn St.)</t>
  </si>
  <si>
    <t>PIT</t>
  </si>
  <si>
    <t>CHI</t>
  </si>
  <si>
    <t>Joey Aguilar (Tennessee)</t>
  </si>
  <si>
    <t>JAX</t>
  </si>
  <si>
    <t>CIN</t>
  </si>
  <si>
    <t>Carson Beck (Miami)</t>
  </si>
  <si>
    <t>CLE</t>
  </si>
  <si>
    <t>Luke Altmyer (Illinois)</t>
  </si>
  <si>
    <t>DET</t>
  </si>
  <si>
    <t>DAL</t>
  </si>
  <si>
    <t>Behren Morton (Texas Tech)</t>
  </si>
  <si>
    <t>NE</t>
  </si>
  <si>
    <t>DEN</t>
  </si>
  <si>
    <t>Taylen Green (Arkansas)</t>
  </si>
  <si>
    <t>Joe Fagnano (Connecticut); Sleeper***</t>
  </si>
  <si>
    <t>GB</t>
  </si>
  <si>
    <t>Cole Payton (NDSU)</t>
  </si>
  <si>
    <t>PHI</t>
  </si>
  <si>
    <t>HOU</t>
  </si>
  <si>
    <t>Garrett Nussmeier (LSU)</t>
  </si>
  <si>
    <t>KC</t>
  </si>
  <si>
    <t>IND</t>
  </si>
  <si>
    <t>Jalon Daniels (Kansas)</t>
  </si>
  <si>
    <t>TB</t>
  </si>
  <si>
    <t>JAC</t>
  </si>
  <si>
    <t>Sawyer Robertson (Baylor)</t>
  </si>
  <si>
    <t>Miller Moss (Louisville)</t>
  </si>
  <si>
    <t>Kyron Drones (Virginia Tech)</t>
  </si>
  <si>
    <t>LAC</t>
  </si>
  <si>
    <t>Mark Gronowksi (Iowa)</t>
  </si>
  <si>
    <t>MIA</t>
  </si>
  <si>
    <t>Jack Strand (MSU Moorhead)</t>
  </si>
  <si>
    <t>Kaidon Salter (Colorado)</t>
  </si>
  <si>
    <t>N/A</t>
  </si>
  <si>
    <t>MIN</t>
  </si>
  <si>
    <t>NO</t>
  </si>
  <si>
    <t>NYG</t>
  </si>
  <si>
    <t>SEA</t>
  </si>
  <si>
    <t>SF</t>
  </si>
  <si>
    <t>TEN</t>
  </si>
  <si>
    <t>WAS</t>
  </si>
  <si>
    <t>RB LANDING SPOT TABLE — 2026 SEASON</t>
  </si>
  <si>
    <t xml:space="preserve">Running Backs </t>
  </si>
  <si>
    <t>Ht Inches</t>
  </si>
  <si>
    <t>BMI</t>
  </si>
  <si>
    <t>40-Yd Dash</t>
  </si>
  <si>
    <t>Wt. Adj. Speed</t>
  </si>
  <si>
    <t>SYPP</t>
  </si>
  <si>
    <t>Rec/G</t>
  </si>
  <si>
    <t>Fumble
Rate %</t>
  </si>
  <si>
    <t>YAC/Att</t>
  </si>
  <si>
    <t>RAS</t>
  </si>
  <si>
    <t>Dom.
%</t>
  </si>
  <si>
    <t>Breakaway
Run %</t>
  </si>
  <si>
    <t>Target
Share %</t>
  </si>
  <si>
    <t>Athletic
Score</t>
  </si>
  <si>
    <t>SOS
Mult.</t>
  </si>
  <si>
    <t>Landing Spot
Mult.</t>
  </si>
  <si>
    <t>INSTRUCTIONS: After NFL Draft (April 25), enter the drafting team abbreviation in the Team column on Sheet1. Then fill in Touch Vacancy Score (col E below) for each relevant team. Multiplier auto-calculates. Formula: (Vacancy×0.50) + (OL Grade×0.30) + (Usage×0.20) → mapped to multiplier.</t>
  </si>
  <si>
    <t>Jeremiyah Love (Notre Dame); Generational RB</t>
  </si>
  <si>
    <t>Running Backs</t>
  </si>
  <si>
    <t>Round</t>
  </si>
  <si>
    <t>RB1%</t>
  </si>
  <si>
    <t>RB2%</t>
  </si>
  <si>
    <t>RB3%</t>
  </si>
  <si>
    <t>RB4%</t>
  </si>
  <si>
    <t>OL Run Block
Grade (0-10)</t>
  </si>
  <si>
    <t>Scheme
(Zone/Gap/Mix)</t>
  </si>
  <si>
    <t>OC RB Usage
Tendency (0-10)</t>
  </si>
  <si>
    <t>Touch Vacancy
Score (0-10)
[Fill Post-Draft]</t>
  </si>
  <si>
    <t>Landing Spot
Multiplier</t>
  </si>
  <si>
    <t>Label</t>
  </si>
  <si>
    <t>Jadarian Price (Notre Dame)</t>
  </si>
  <si>
    <t>1st Rd</t>
  </si>
  <si>
    <t>Scale guide →</t>
  </si>
  <si>
    <t>10=Elite (top 3)
7=Above avg
5=Average
3=Below avg
1=Poor (btm 3)</t>
  </si>
  <si>
    <t>Zone=outside zone
Gap=power/inside
Mix=both</t>
  </si>
  <si>
    <t>10=Heavy usage
7=Featured
5=Rotational
3=Committee
1=Minimal RB use</t>
  </si>
  <si>
    <t>10=250+ vacated
8=180-249
6=120-179
4=60-119
2=&lt;60
0=None (full backfield)</t>
  </si>
  <si>
    <t>Auto-calculated
from formula</t>
  </si>
  <si>
    <t>Auto-populated
from score</t>
  </si>
  <si>
    <t>Notes</t>
  </si>
  <si>
    <t>Mike Washington, Jr. (Arkansas)</t>
  </si>
  <si>
    <t>2nd Rd</t>
  </si>
  <si>
    <t>Zone</t>
  </si>
  <si>
    <t>James Conner Back</t>
  </si>
  <si>
    <t>Jonah Coleman (Wash)</t>
  </si>
  <si>
    <t>3rd Rd</t>
  </si>
  <si>
    <t>Strong OL; Bijan Robinson presence limits vacancy</t>
  </si>
  <si>
    <t>Kaelon Black (Indiana)</t>
  </si>
  <si>
    <t>4th Rd</t>
  </si>
  <si>
    <t>Elite OL; Derrick Henry; limited vacancy</t>
  </si>
  <si>
    <t>Nick Singleton (PSU)</t>
  </si>
  <si>
    <t>5th Rd</t>
  </si>
  <si>
    <t>Mix</t>
  </si>
  <si>
    <t>Josh Allen usage limits RB role; some vacancy</t>
  </si>
  <si>
    <t>Emmett Johnson (Nebraska)</t>
  </si>
  <si>
    <t>6th Rd</t>
  </si>
  <si>
    <t>Gap</t>
  </si>
  <si>
    <t>Improved OL; moderate RB usage</t>
  </si>
  <si>
    <t>Eli Heidenreich (Navy)</t>
  </si>
  <si>
    <t>Elite OL post-rebuild; D'Andre Swift role to watch</t>
  </si>
  <si>
    <t>Adam Randall (Clemson)</t>
  </si>
  <si>
    <t>* Only draft RBs that were selected in 1st or 2nd round of actual NFL Draft (3rd round and back are extreme long shots</t>
  </si>
  <si>
    <t>Poor OL historically; some vacancy</t>
  </si>
  <si>
    <t>Kaytron Allen (PSU)</t>
  </si>
  <si>
    <t>* Rd1 RBs average around 246 touches in rookie season and 70% chance to finish RB2 or better.  Top 12 RB at a 75% rate w/in 1st the seasons.  Rd 2 RB drops to 26% hit rate.</t>
  </si>
  <si>
    <t>Average OL; rebuilding backfield</t>
  </si>
  <si>
    <t>Seth McGowan (Kentucky)</t>
  </si>
  <si>
    <t>Strong OL; Pollard gone; moderate vacancy</t>
  </si>
  <si>
    <t>Desmond Reid (Pitt)</t>
  </si>
  <si>
    <t>Best pass-blocking OL; strong run game</t>
  </si>
  <si>
    <t>Chip Trayanum (Toledo)</t>
  </si>
  <si>
    <t>Elite OL; Gibbs still there; Montgomery gone</t>
  </si>
  <si>
    <t>Demond Claiborne (Wake Forest)</t>
  </si>
  <si>
    <t>Good OL; Josh Jacobs aging</t>
  </si>
  <si>
    <t>Jamal Haynes (Georgia Tech)</t>
  </si>
  <si>
    <t>Improved OL; Joe Mixon aging</t>
  </si>
  <si>
    <t>Rahsul Faison (S. Carolina)</t>
  </si>
  <si>
    <t>Elite interior OL; strong RB usage history</t>
  </si>
  <si>
    <t>Elijah Howard (Hower?) (Central Conn. St.)</t>
  </si>
  <si>
    <t>Average OL; Trevor Lawrence-led offense limits RB role</t>
  </si>
  <si>
    <t>Jordan Vaughn (Abilene Christian)</t>
  </si>
  <si>
    <t>Good OL; Mahomes-centric; Pacheco role to watch</t>
  </si>
  <si>
    <t>Noah Whittington (Oregon)</t>
  </si>
  <si>
    <t>Good OL; Harmon Gafford building</t>
  </si>
  <si>
    <t>Robert Henry Jr. (UTSA)</t>
  </si>
  <si>
    <t>Strong OL; heavy run game; Kyren Williams dependency</t>
  </si>
  <si>
    <t>Kentrel Bullock (South Alabama)</t>
  </si>
  <si>
    <t>Below avg OL; heavy vacancy possible</t>
  </si>
  <si>
    <t>Trey Cooley (Troy/UW - DNP 2025)</t>
  </si>
  <si>
    <t>Average OL; De'Von Achane dynamic but injury risk</t>
  </si>
  <si>
    <t>Le'veon Moss (Texas A&amp;M)</t>
  </si>
  <si>
    <t>Elite OL; Aaron Jones aging; strong vacancy potential</t>
  </si>
  <si>
    <t>Roydell Williams (FSU)</t>
  </si>
  <si>
    <t>Rebuilding OL; Holgorsen RB-friendly OC; high vacancy</t>
  </si>
  <si>
    <t>Jam Miller (Alabama)</t>
  </si>
  <si>
    <t>Good OL; RB-friendly scheme historically</t>
  </si>
  <si>
    <t>Terion Stewart (Virginia Tech)</t>
  </si>
  <si>
    <t>Below avg OL; rebuilding</t>
  </si>
  <si>
    <t>Byron Cardwell (San Diego State)</t>
  </si>
  <si>
    <t>Average OL; Breece Hall dependency</t>
  </si>
  <si>
    <t>J'Mari Taylor (Virginia)</t>
  </si>
  <si>
    <t>Elite OL; Saquon Barkley dominant; limited vacancy</t>
  </si>
  <si>
    <t>Jaydn Ott (Oklahoma)</t>
  </si>
  <si>
    <t>Strong interior OL; Najee departure = high vacancy</t>
  </si>
  <si>
    <t>Below avg run success; poor rushing numbers</t>
  </si>
  <si>
    <t>Elite scheme; McCaffrey health risk = high vacancy</t>
  </si>
  <si>
    <t>Strong OL; Rachaad White aging</t>
  </si>
  <si>
    <t>Below avg OL; rebuilding; Tony Pollard role to watch</t>
  </si>
  <si>
    <t>Elite rush success rate; Brian Robinson aging</t>
  </si>
  <si>
    <t>MULTIPLIER LEGEND</t>
  </si>
  <si>
    <t>1.25</t>
  </si>
  <si>
    <t>Workhorse Situation</t>
  </si>
  <si>
    <t>Clear depth chart + run-heavy OC + depleted backfield + top-10 OL</t>
  </si>
  <si>
    <t>1.15</t>
  </si>
  <si>
    <t>Featured Role</t>
  </si>
  <si>
    <t>Starter but some competition; good OL; pass game involved</t>
  </si>
  <si>
    <t>1.05</t>
  </si>
  <si>
    <t>Contributor</t>
  </si>
  <si>
    <t>Rotational starter; solid scheme fit; some target share</t>
  </si>
  <si>
    <t>1.00</t>
  </si>
  <si>
    <t>Neutral</t>
  </si>
  <si>
    <t>Unknown/balanced situation — DEFAULT until draft</t>
  </si>
  <si>
    <t>0.90</t>
  </si>
  <si>
    <t>Competition Risk</t>
  </si>
  <si>
    <t>Crowded backfield; veteran starter ahead</t>
  </si>
  <si>
    <t>0.80</t>
  </si>
  <si>
    <t>Poor Fit</t>
  </si>
  <si>
    <t>Wrong scheme; weak OL; limited role</t>
  </si>
  <si>
    <t>0.75</t>
  </si>
  <si>
    <t>Landmine</t>
  </si>
  <si>
    <t>Bad OL; no pass-catching role; OC historically ignores RBs</t>
  </si>
  <si>
    <t>WR LANDING SPOT TABLE — 2026 SEASON</t>
  </si>
  <si>
    <t>Wide Receivers (7-Yrs)</t>
  </si>
  <si>
    <t>Height Inches</t>
  </si>
  <si>
    <t>Vert. Jump</t>
  </si>
  <si>
    <t>Ht. Adj. Speed</t>
  </si>
  <si>
    <t>Hands (9.625+)</t>
  </si>
  <si>
    <t>YPRR</t>
  </si>
  <si>
    <t>Drop Rate %</t>
  </si>
  <si>
    <t>Dominator
%</t>
  </si>
  <si>
    <t>Contested
Catch %</t>
  </si>
  <si>
    <t xml:space="preserve">aDOT
</t>
  </si>
  <si>
    <t>Route
Part. %</t>
  </si>
  <si>
    <t>SOS Mult.</t>
  </si>
  <si>
    <t>Physical
Base Score</t>
  </si>
  <si>
    <t>Floor
Score</t>
  </si>
  <si>
    <t>Base
Score</t>
  </si>
  <si>
    <t>Talent
Score</t>
  </si>
  <si>
    <t>INSTRUCTIONS: Enter team abbreviation in Team column on Sheet1. Fill in Target Vacancy Score (col E) post-draft. Multiplier auto-calculates. Formula: (Vacancy×0.50)+(OL×0.30)+(Usage×0.20)</t>
  </si>
  <si>
    <t>Brenen Thompson</t>
  </si>
  <si>
    <t>WR1%</t>
  </si>
  <si>
    <t>WR2%</t>
  </si>
  <si>
    <t>WR3%</t>
  </si>
  <si>
    <t>WR4%</t>
  </si>
  <si>
    <t>WR Usage
Tendency (0-10)</t>
  </si>
  <si>
    <t>Target Vacancy
Score (0-10)
← Power Query fills this</t>
  </si>
  <si>
    <t>Makai Lemon (USC); League Winner***</t>
  </si>
  <si>
    <t>Scale →</t>
  </si>
  <si>
    <t>10=Elite top 3
1=Poor btm 3</t>
  </si>
  <si>
    <t>Zone/Gap/Mix</t>
  </si>
  <si>
    <t>10=Heavy usage
1=Minimal RB use</t>
  </si>
  <si>
    <t>10=250+ vacated
8=180-249
6=120-179
4=60-119
2=&lt;60
0=None</t>
  </si>
  <si>
    <t>Auto-calc</t>
  </si>
  <si>
    <t>Auto-text</t>
  </si>
  <si>
    <t>Jordyn Tyson (Arizona St.)</t>
  </si>
  <si>
    <t>Carnell Tate (Ohio St.)</t>
  </si>
  <si>
    <t>Eric Rivers (Georgia Tech)</t>
  </si>
  <si>
    <t>Omar Cooper (Indiana)</t>
  </si>
  <si>
    <t>Ted Hurst (Georgia St.)</t>
  </si>
  <si>
    <t>Chris Bell (Louisville)</t>
  </si>
  <si>
    <t>Anthony Smith</t>
  </si>
  <si>
    <t>De'Zhaun Stribling (Ole Miss)</t>
  </si>
  <si>
    <t>Denzel Boston (Washington)</t>
  </si>
  <si>
    <t>Germie Bernard (Alabama)</t>
  </si>
  <si>
    <t>Skyler Bell (Uconn; Sleeper</t>
  </si>
  <si>
    <t>Elijah Sarratt (Indiana)</t>
  </si>
  <si>
    <t>Chase Roberts (BYU)</t>
  </si>
  <si>
    <t>Malachi Fields (Notre Dame)</t>
  </si>
  <si>
    <t>Bryce Lance (NDSU)</t>
  </si>
  <si>
    <t>Emmanuel Henderson Jr.</t>
  </si>
  <si>
    <t>K.C. Concepcion (Texas A&amp;M)</t>
  </si>
  <si>
    <t>Ja'Kobi Lane (USC)</t>
  </si>
  <si>
    <t>Caleb Douglas (Texas Tech)</t>
  </si>
  <si>
    <t>Kevin Coleman (Missouri)</t>
  </si>
  <si>
    <t>Reggie Virgil (Texas Tech)</t>
  </si>
  <si>
    <t>Antonio Williams (Clemson)</t>
  </si>
  <si>
    <t>Jeff Caldwell (Cincy)</t>
  </si>
  <si>
    <t>Jalen Walthall (Incarnate Works (FCS))</t>
  </si>
  <si>
    <t>Malik Benson (Oregon)</t>
  </si>
  <si>
    <t>Dane Key (Kentucky)</t>
  </si>
  <si>
    <t>Zachariah Branch (Alabama)</t>
  </si>
  <si>
    <t>Harrison Wallace III (Ole Miss)</t>
  </si>
  <si>
    <t>Josh Cameron (Baylor)</t>
  </si>
  <si>
    <t>Cyrus Allen (Cincy); Good Separator; Sleeper*********</t>
  </si>
  <si>
    <t>Vinny Anthony II (Wisconsin)</t>
  </si>
  <si>
    <t>Barion Brown (LSU)</t>
  </si>
  <si>
    <t>Kendrick Law</t>
  </si>
  <si>
    <t>Colby Young (Georgia)</t>
  </si>
  <si>
    <t>Zavion Thomas (LSU)</t>
  </si>
  <si>
    <t>CJ Daniels (Miami)</t>
  </si>
  <si>
    <t>Jordan Hudson (SMU)</t>
  </si>
  <si>
    <t>Deion Burks (Oklahoma)</t>
  </si>
  <si>
    <t>Trebor Pena (Penn St.)</t>
  </si>
  <si>
    <t>Michael Sturdivant (Florida)</t>
  </si>
  <si>
    <t>Aaron Anderson (LSU)</t>
  </si>
  <si>
    <t>Tyren Montgomery (John Carroll Univ.)</t>
  </si>
  <si>
    <t>Jerand Bradley (Kansas St.)</t>
  </si>
  <si>
    <t>Chris Hilton (LSU)</t>
  </si>
  <si>
    <t>Romello Brinson (SMU)</t>
  </si>
  <si>
    <t>Caullin Lacy (Louisville)</t>
  </si>
  <si>
    <t xml:space="preserve">Levi Wentz (Kansas) </t>
  </si>
  <si>
    <t>Caden Wetjen (Iowa)</t>
  </si>
  <si>
    <t>Hykeem Williams (Colorado)</t>
  </si>
  <si>
    <t>Eric McAlister (TCU)</t>
  </si>
  <si>
    <t>Lewis Bond (Florida St)</t>
  </si>
  <si>
    <t>Gage Florence (Minnesota St. Moorehead)</t>
  </si>
  <si>
    <t>Michael Wortham (Montana)</t>
  </si>
  <si>
    <t>Shaquille Knox (Maryland)</t>
  </si>
  <si>
    <t>Chaz Middleton (RMU)</t>
  </si>
  <si>
    <t>Tyler Pezza (Brown)</t>
  </si>
  <si>
    <t>Malik McClain (Arizona St.)</t>
  </si>
  <si>
    <t>Jaquaize Pettaway (?)</t>
  </si>
  <si>
    <t>TE LANDING SPOT TABLE — 2026 SEASON</t>
  </si>
  <si>
    <t>Tight Ends</t>
  </si>
  <si>
    <t>Ht. Inches</t>
  </si>
  <si>
    <t>Vertical Jump</t>
  </si>
  <si>
    <t>Broad Jump</t>
  </si>
  <si>
    <t>40-Yard Dash</t>
  </si>
  <si>
    <t>Ht Adj. Speed</t>
  </si>
  <si>
    <t>Hand Size</t>
  </si>
  <si>
    <t>Contested Catch %</t>
  </si>
  <si>
    <t>Dom. %</t>
  </si>
  <si>
    <t>YAC /
Rec.</t>
  </si>
  <si>
    <t>Rt. Part. %</t>
  </si>
  <si>
    <t>PFF Block
Grade (0-10)</t>
  </si>
  <si>
    <t>Red Zone
Target %</t>
  </si>
  <si>
    <t>SOS
Multiplier</t>
  </si>
  <si>
    <t>Eli Stowers (Vandy)</t>
  </si>
  <si>
    <t>TE Usage
Tendency (0-10)</t>
  </si>
  <si>
    <t>Kenyon Sadiq (Oregon)</t>
  </si>
  <si>
    <t>Max Klare (Ohio St.)</t>
  </si>
  <si>
    <t>Sam Roush (Stanford)</t>
  </si>
  <si>
    <t>Tanner Koziol (Houston)</t>
  </si>
  <si>
    <t>Justin Joly (NC State)</t>
  </si>
  <si>
    <t>Eli Raridon (Notre Dame)</t>
  </si>
  <si>
    <t>Matthew Hibner (SMU)</t>
  </si>
  <si>
    <t>Marlin Klein (Michigan)</t>
  </si>
  <si>
    <t>Nate Boerkircher (Texas A&amp;M)</t>
  </si>
  <si>
    <t>Josh Cuevas (Alabama)</t>
  </si>
  <si>
    <t>Michael Trigg (Baylor)</t>
  </si>
  <si>
    <t>Jaren Kanak</t>
  </si>
  <si>
    <t>Oscar Delp (Georgia)</t>
  </si>
  <si>
    <t>Jack Endries (Texas)</t>
  </si>
  <si>
    <t>Joe Royer (Cincy)</t>
  </si>
  <si>
    <t>Will Kacmarek</t>
  </si>
  <si>
    <t>Seydou Traore</t>
  </si>
  <si>
    <t>J.M. Gyllenborg (Wyoming)</t>
  </si>
  <si>
    <t>Dae'Quan Wright (Ole Miss)</t>
  </si>
  <si>
    <t>RJ Maryland***</t>
  </si>
  <si>
    <t>Riley Nowakowski</t>
  </si>
  <si>
    <t>Bauer Sharp (LSU)</t>
  </si>
  <si>
    <t>Dallen Bentley (Utah)</t>
  </si>
  <si>
    <t>DJ Rogers (TCU)</t>
  </si>
  <si>
    <t>Miles Kitselman (Tennessee)</t>
  </si>
  <si>
    <t>Dan Villari (Syracuse)</t>
  </si>
  <si>
    <t>Khalil Dinkins (Penn St.)</t>
  </si>
  <si>
    <t>Jaleel Skinner (Louisville)</t>
  </si>
  <si>
    <t>Luke Hasz (Ole Miss)</t>
  </si>
  <si>
    <t>Drew Biber (Minnesota)</t>
  </si>
  <si>
    <t>Lawson Luckie (Georgia)</t>
  </si>
  <si>
    <t>VACANCY CALCULATOR — True 2026 Net Vacancy by Team</t>
  </si>
  <si>
    <t>RB Score</t>
  </si>
  <si>
    <t>WR Score</t>
  </si>
  <si>
    <t>TE Score</t>
  </si>
  <si>
    <t>RB Net Touches</t>
  </si>
  <si>
    <t>WR Net Targets</t>
  </si>
  <si>
    <t>TE Net Targets</t>
  </si>
  <si>
    <t>Score Key</t>
  </si>
  <si>
    <t xml:space="preserve">RB: 10=250+ net touches;  8=180+;  6=120+;  4=60+;  2=1+ </t>
  </si>
  <si>
    <t xml:space="preserve">WR: 10=150+ net targets;  8=110+;  6=75+; 4=40+ </t>
  </si>
  <si>
    <t>TE: 10=100+; 8=70+;  6=45+;  4=20+</t>
  </si>
  <si>
    <t>NET vacancy = 2025 departed touches/targets minus 2026 incoming. Name suffixes (Jr/Sr/III) resolved automatically. Refresh after draft: re-paste updated 2026_Rosters data.</t>
  </si>
  <si>
    <t>player_name_2026</t>
  </si>
  <si>
    <t>team_2026</t>
  </si>
  <si>
    <t>position</t>
  </si>
  <si>
    <t>Tyler Allgeier</t>
  </si>
  <si>
    <t>RB</t>
  </si>
  <si>
    <t>Andre Baccellia</t>
  </si>
  <si>
    <t>Trey Benson</t>
  </si>
  <si>
    <t>Kendrick Bourne</t>
  </si>
  <si>
    <t>Jalen Brooks</t>
  </si>
  <si>
    <t>James Conner</t>
  </si>
  <si>
    <t>Devin Duvernay</t>
  </si>
  <si>
    <t>Rivaldo Fairweather</t>
  </si>
  <si>
    <t>TE</t>
  </si>
  <si>
    <t>Simi Fehoko</t>
  </si>
  <si>
    <t>Bryson Green</t>
  </si>
  <si>
    <t>Marvin Harrison Jr.</t>
  </si>
  <si>
    <t>Elijah Higgins</t>
  </si>
  <si>
    <t>Corey Kiner</t>
  </si>
  <si>
    <t>Bam Knight</t>
  </si>
  <si>
    <t>Trey McBride</t>
  </si>
  <si>
    <t>Tejhaun Palmer</t>
  </si>
  <si>
    <t>Teagan Quitoriano</t>
  </si>
  <si>
    <t>Tip Reiman</t>
  </si>
  <si>
    <t>Ihmir Smith-Marsette</t>
  </si>
  <si>
    <t>Travis Vokolek</t>
  </si>
  <si>
    <t>Xavier Weaver</t>
  </si>
  <si>
    <t>Michael Wilson</t>
  </si>
  <si>
    <t>Chris Blair</t>
  </si>
  <si>
    <t>Nathan Carter</t>
  </si>
  <si>
    <t>Jahan Dotson</t>
  </si>
  <si>
    <t>Dylan Drummond</t>
  </si>
  <si>
    <t>Malik Heath</t>
  </si>
  <si>
    <t>Austin Hooper</t>
  </si>
  <si>
    <t>Drake London</t>
  </si>
  <si>
    <t>Kyle Pitts Sr.</t>
  </si>
  <si>
    <t>Bijan Robinson</t>
  </si>
  <si>
    <t>Brian Robinson Jr.</t>
  </si>
  <si>
    <t>David Sills V</t>
  </si>
  <si>
    <t>Joshua Simon</t>
  </si>
  <si>
    <t>Deven Thompkins</t>
  </si>
  <si>
    <t>Casey Washington</t>
  </si>
  <si>
    <t>Carlos Washington Jr.</t>
  </si>
  <si>
    <t>Charlie Woerner</t>
  </si>
  <si>
    <t>Olamide Zaccheaus</t>
  </si>
  <si>
    <t>Rasheen Ali</t>
  </si>
  <si>
    <t>Mark Andrews</t>
  </si>
  <si>
    <t>Rashod Bateman</t>
  </si>
  <si>
    <t>Zay Flowers</t>
  </si>
  <si>
    <t>Derrick Henry</t>
  </si>
  <si>
    <t>Justice Hill</t>
  </si>
  <si>
    <t>Cornelius Johnson</t>
  </si>
  <si>
    <t>Durham Smythe</t>
  </si>
  <si>
    <t>Dayton Wade</t>
  </si>
  <si>
    <t>Devontez Walker</t>
  </si>
  <si>
    <t>LaJohntay Wester</t>
  </si>
  <si>
    <t>Keon Coleman</t>
  </si>
  <si>
    <t>James Cook III</t>
  </si>
  <si>
    <t>Ray Davis</t>
  </si>
  <si>
    <t>Frank Gore Jr.</t>
  </si>
  <si>
    <t>Stephen Gosnell</t>
  </si>
  <si>
    <t>Mecole Hardman Jr.</t>
  </si>
  <si>
    <t>Jackson Hawes</t>
  </si>
  <si>
    <t>Ty Johnson</t>
  </si>
  <si>
    <t>Dalton Kincaid</t>
  </si>
  <si>
    <t>Dawson Knox</t>
  </si>
  <si>
    <t>Keleki Latu</t>
  </si>
  <si>
    <t>DJ Moore</t>
  </si>
  <si>
    <t>Joshua Palmer</t>
  </si>
  <si>
    <t>Khalil Shakir</t>
  </si>
  <si>
    <t>Tyrell Shavers</t>
  </si>
  <si>
    <t>Jalen Virgil</t>
  </si>
  <si>
    <t>Jonathon Brooks</t>
  </si>
  <si>
    <t>Dan Chisena</t>
  </si>
  <si>
    <t>Jalen Coker</t>
  </si>
  <si>
    <t>AJ Dillon</t>
  </si>
  <si>
    <t>Trevor Etienne</t>
  </si>
  <si>
    <t>Mitchell Evans</t>
  </si>
  <si>
    <t>Feleipe Franks</t>
  </si>
  <si>
    <t>Jimmy Horn Jr.</t>
  </si>
  <si>
    <t>Chuba Hubbard</t>
  </si>
  <si>
    <t>Montrell Johnson Jr.</t>
  </si>
  <si>
    <t>Xavier Legette</t>
  </si>
  <si>
    <t>Tetairoa McMillan</t>
  </si>
  <si>
    <t>John Metchie III</t>
  </si>
  <si>
    <t>James Mitchell</t>
  </si>
  <si>
    <t>David Moore</t>
  </si>
  <si>
    <t>Bryce Pierre</t>
  </si>
  <si>
    <t>Ja'seem Reed</t>
  </si>
  <si>
    <t>Ja'Tavion Sanders</t>
  </si>
  <si>
    <t>Ainias Smith</t>
  </si>
  <si>
    <t>Brycen Tremayne</t>
  </si>
  <si>
    <t>Tommy Tremble</t>
  </si>
  <si>
    <t>Anthony Tyus III</t>
  </si>
  <si>
    <t>Maurice Alexander</t>
  </si>
  <si>
    <t>Brittain Brown</t>
  </si>
  <si>
    <t>Luther Burden III</t>
  </si>
  <si>
    <t>Stephen Carlson</t>
  </si>
  <si>
    <t>Deion Hankins</t>
  </si>
  <si>
    <t>Qadir Ismail</t>
  </si>
  <si>
    <t>Roschon Johnson</t>
  </si>
  <si>
    <t>Nikola Kalinic</t>
  </si>
  <si>
    <t>Cole Kmet</t>
  </si>
  <si>
    <t>Colston Loveland</t>
  </si>
  <si>
    <t>Kyle Monangai</t>
  </si>
  <si>
    <t>Rome Odunze</t>
  </si>
  <si>
    <t>Kalif Raymond</t>
  </si>
  <si>
    <t>JP Richardson</t>
  </si>
  <si>
    <t>D'Andre Swift</t>
  </si>
  <si>
    <t>Jahdae Walker</t>
  </si>
  <si>
    <t>Erick All Jr.</t>
  </si>
  <si>
    <t>Gary Brightwell</t>
  </si>
  <si>
    <t>Tahj Brooks</t>
  </si>
  <si>
    <t>Chase Brown</t>
  </si>
  <si>
    <t>Ja'Marr Chase</t>
  </si>
  <si>
    <t>Mike Gesicki</t>
  </si>
  <si>
    <t>Cam Grandy</t>
  </si>
  <si>
    <t>Tee Higgins</t>
  </si>
  <si>
    <t>Tanner Hudson</t>
  </si>
  <si>
    <t>Andrei Iosivas</t>
  </si>
  <si>
    <t>Xavier Johnson</t>
  </si>
  <si>
    <t>Charlie Jones</t>
  </si>
  <si>
    <t>Dohnte Meyers</t>
  </si>
  <si>
    <t>Kendall Milton</t>
  </si>
  <si>
    <t>Jordan Moore</t>
  </si>
  <si>
    <t>Samaje Perine</t>
  </si>
  <si>
    <t>Kendric Pryor</t>
  </si>
  <si>
    <t>Drew Sample</t>
  </si>
  <si>
    <t>Mitchell Tinsley</t>
  </si>
  <si>
    <t>Ke'Shawn Williams</t>
  </si>
  <si>
    <t>Brenden Bates</t>
  </si>
  <si>
    <t>Isaiah Bond</t>
  </si>
  <si>
    <t>Sal Cannella</t>
  </si>
  <si>
    <t>Malachi Corley</t>
  </si>
  <si>
    <t>Harold Fannin Jr.</t>
  </si>
  <si>
    <t>Luke Floriea</t>
  </si>
  <si>
    <t>Jerry Jeudy</t>
  </si>
  <si>
    <t>Quinshon Judkins</t>
  </si>
  <si>
    <t>Gage Larvadain</t>
  </si>
  <si>
    <t>Ahmani Marshall</t>
  </si>
  <si>
    <t>Caden Prieskorn</t>
  </si>
  <si>
    <t>Dylan Sampson</t>
  </si>
  <si>
    <t>Raheim Sanders</t>
  </si>
  <si>
    <t>Jack Stoll</t>
  </si>
  <si>
    <t>Jamari Thrash</t>
  </si>
  <si>
    <t>Cedric Tillman</t>
  </si>
  <si>
    <t>Tylan Wallace</t>
  </si>
  <si>
    <t>Blake Whiteheart</t>
  </si>
  <si>
    <t>Isaiah Wooden</t>
  </si>
  <si>
    <t>Israel Abanikanda</t>
  </si>
  <si>
    <t>Jaydon Blue</t>
  </si>
  <si>
    <t>Parris Campbell</t>
  </si>
  <si>
    <t>Malik Davis</t>
  </si>
  <si>
    <t>Princeton Fant</t>
  </si>
  <si>
    <t>Jake Ferguson</t>
  </si>
  <si>
    <t>Ryan Flournoy</t>
  </si>
  <si>
    <t>Traeshon Holden</t>
  </si>
  <si>
    <t>CeeDee Lamb</t>
  </si>
  <si>
    <t>Hunter Luepke</t>
  </si>
  <si>
    <t>Phil Mafah</t>
  </si>
  <si>
    <t>Jonathan Mingo</t>
  </si>
  <si>
    <t>George Pickens</t>
  </si>
  <si>
    <t>Luke Schoonmaker</t>
  </si>
  <si>
    <t>Brevyn Spann-Ford</t>
  </si>
  <si>
    <t>KaVontae Turpin</t>
  </si>
  <si>
    <t>Javonte Williams</t>
  </si>
  <si>
    <t>Nate Adkins</t>
  </si>
  <si>
    <t>Tyler Badie</t>
  </si>
  <si>
    <t>Michael Bandy</t>
  </si>
  <si>
    <t>Pat Bryant</t>
  </si>
  <si>
    <t>J.K. Dobbins</t>
  </si>
  <si>
    <t>Evan Engram</t>
  </si>
  <si>
    <t>Troy Franklin</t>
  </si>
  <si>
    <t>RJ Harvey</t>
  </si>
  <si>
    <t>Lil'Jordan Humphrey</t>
  </si>
  <si>
    <t>Lucas Krull</t>
  </si>
  <si>
    <t>Caleb Lohner</t>
  </si>
  <si>
    <t>Jaleel McLaughlin</t>
  </si>
  <si>
    <t>Marvin Mims Jr.</t>
  </si>
  <si>
    <t>Cody Schrader</t>
  </si>
  <si>
    <t>Courtland Sutton</t>
  </si>
  <si>
    <t>Adam Trautman</t>
  </si>
  <si>
    <t>Deuce Vaughn</t>
  </si>
  <si>
    <t>Jaylen Waddle</t>
  </si>
  <si>
    <t>Tyler Conklin</t>
  </si>
  <si>
    <t>Malik Cunningham</t>
  </si>
  <si>
    <t>Greg Dortch</t>
  </si>
  <si>
    <t>Jahmyr Gibbs</t>
  </si>
  <si>
    <t>Thomas Gordon</t>
  </si>
  <si>
    <t>Zach Horton</t>
  </si>
  <si>
    <t>Justin Jackson</t>
  </si>
  <si>
    <t>Tom Kennedy</t>
  </si>
  <si>
    <t>Sam LaPorta</t>
  </si>
  <si>
    <t>Dominic Lovett</t>
  </si>
  <si>
    <t>Jackson Meeks</t>
  </si>
  <si>
    <t>Isiah Pacheco</t>
  </si>
  <si>
    <t>Kye Robichaux</t>
  </si>
  <si>
    <t>Jacob Saylors</t>
  </si>
  <si>
    <t>Jabari Small</t>
  </si>
  <si>
    <t>Amon-Ra St. Brown</t>
  </si>
  <si>
    <t>Isaac TeSlaa</t>
  </si>
  <si>
    <t>Sione Vaki</t>
  </si>
  <si>
    <t>Jameson Williams</t>
  </si>
  <si>
    <t>Brock Wright</t>
  </si>
  <si>
    <t>Chris Brooks</t>
  </si>
  <si>
    <t>McCallan Castles</t>
  </si>
  <si>
    <t>Drake Dabney</t>
  </si>
  <si>
    <t>Matthew Golden</t>
  </si>
  <si>
    <t>Josh Jacobs</t>
  </si>
  <si>
    <t>Jakobie Keeney-James</t>
  </si>
  <si>
    <t>Tucker Kraft</t>
  </si>
  <si>
    <t>MarShawn Lloyd</t>
  </si>
  <si>
    <t>Damien Martinez</t>
  </si>
  <si>
    <t>Skyy Moore</t>
  </si>
  <si>
    <t>Luke Musgrave</t>
  </si>
  <si>
    <t>Isaiah Neyor</t>
  </si>
  <si>
    <t>Jayden Reed</t>
  </si>
  <si>
    <t>Will Sheppard</t>
  </si>
  <si>
    <t>Pierre Strong Jr.</t>
  </si>
  <si>
    <t>Messiah Swinson</t>
  </si>
  <si>
    <t>Christian Watson</t>
  </si>
  <si>
    <t>Josh Whyle</t>
  </si>
  <si>
    <t>Dontayvion Wicks</t>
  </si>
  <si>
    <t>Savion Williams</t>
  </si>
  <si>
    <t>British Brooks</t>
  </si>
  <si>
    <t>Nico Collins</t>
  </si>
  <si>
    <t>Tank Dell</t>
  </si>
  <si>
    <t>Jayden Higgins</t>
  </si>
  <si>
    <t>Xavier Hutchinson</t>
  </si>
  <si>
    <t>Brevin Jordan</t>
  </si>
  <si>
    <t>Jawhar Jordan</t>
  </si>
  <si>
    <t>Josh Kelly</t>
  </si>
  <si>
    <t>Luke Lachey</t>
  </si>
  <si>
    <t>Woody Marks</t>
  </si>
  <si>
    <t>David Montgomery</t>
  </si>
  <si>
    <t>Foster Moreau</t>
  </si>
  <si>
    <t>Jaylin Noel</t>
  </si>
  <si>
    <t>Layne Pryor</t>
  </si>
  <si>
    <t>Dalton Schultz</t>
  </si>
  <si>
    <t>Cade Stover</t>
  </si>
  <si>
    <t>Justin Watson</t>
  </si>
  <si>
    <t>Jared Wayne</t>
  </si>
  <si>
    <t>Salvon Ahmed</t>
  </si>
  <si>
    <t>Mo Alie-Cox</t>
  </si>
  <si>
    <t>Ulysses Bentley IV</t>
  </si>
  <si>
    <t>Josh Downs</t>
  </si>
  <si>
    <t>Ashton Dulin</t>
  </si>
  <si>
    <t>DJ Giddens</t>
  </si>
  <si>
    <t>Tyler Goodson</t>
  </si>
  <si>
    <t>Anthony Gould</t>
  </si>
  <si>
    <t>Will Mallory</t>
  </si>
  <si>
    <t>Sean McKeon</t>
  </si>
  <si>
    <t>D.J. Montgomery</t>
  </si>
  <si>
    <t>Drew Ogletree</t>
  </si>
  <si>
    <t>Coleman Owen</t>
  </si>
  <si>
    <t>Eli Pancol</t>
  </si>
  <si>
    <t>Alec Pierce</t>
  </si>
  <si>
    <t>Jonathan Taylor</t>
  </si>
  <si>
    <t>Carson Towt</t>
  </si>
  <si>
    <t>Laquon Treadwell</t>
  </si>
  <si>
    <t>Tyler Warren</t>
  </si>
  <si>
    <t>Nick Westbrook-Ikhine</t>
  </si>
  <si>
    <t>LeQuint Allen Jr.</t>
  </si>
  <si>
    <t>Chandler Brayboy</t>
  </si>
  <si>
    <t>Joshua Cephus</t>
  </si>
  <si>
    <t>DeeJay Dallas</t>
  </si>
  <si>
    <t>Patrick Herbert</t>
  </si>
  <si>
    <t>Travis Hunter</t>
  </si>
  <si>
    <t>Ja'Quinden Jackson</t>
  </si>
  <si>
    <t>Tim Jones</t>
  </si>
  <si>
    <t>Hunter Long</t>
  </si>
  <si>
    <t>Jakobi Meyers</t>
  </si>
  <si>
    <t>Quintin Morris</t>
  </si>
  <si>
    <t>Chris Rodriguez Jr.</t>
  </si>
  <si>
    <t>Brenton Strange</t>
  </si>
  <si>
    <t>Brian Thomas Jr.</t>
  </si>
  <si>
    <t>Austin Trammell</t>
  </si>
  <si>
    <t>Bhayshul Tuten</t>
  </si>
  <si>
    <t>Parker Washington</t>
  </si>
  <si>
    <t>Andrew Armstrong</t>
  </si>
  <si>
    <t>Jake Briningstool</t>
  </si>
  <si>
    <t>Jason Brownlee</t>
  </si>
  <si>
    <t>Emari Demercado</t>
  </si>
  <si>
    <t>Noah Gray</t>
  </si>
  <si>
    <t>Jimmy Holiday</t>
  </si>
  <si>
    <t>Keaontay Ingram</t>
  </si>
  <si>
    <t>Travis Kelce</t>
  </si>
  <si>
    <t>ShunDerrick Powell</t>
  </si>
  <si>
    <t>Nikko Remigio</t>
  </si>
  <si>
    <t>Rashee Rice</t>
  </si>
  <si>
    <t>Jalen Royals</t>
  </si>
  <si>
    <t>Brashard Smith</t>
  </si>
  <si>
    <t>Tyquan Thornton</t>
  </si>
  <si>
    <t>Kenneth Walker III</t>
  </si>
  <si>
    <t>Tre Watson</t>
  </si>
  <si>
    <t>Jared Wiley</t>
  </si>
  <si>
    <t>Xavier Worthy</t>
  </si>
  <si>
    <t>Dalevon Campbell</t>
  </si>
  <si>
    <t>Derius Davis</t>
  </si>
  <si>
    <t>Tucker Fisk</t>
  </si>
  <si>
    <t>Oronde Gadsden</t>
  </si>
  <si>
    <t>Luke Grimm</t>
  </si>
  <si>
    <t>Omarion Hampton</t>
  </si>
  <si>
    <t>Tre' Harris</t>
  </si>
  <si>
    <t>JaQuae Jackson</t>
  </si>
  <si>
    <t>Amar Johnson</t>
  </si>
  <si>
    <t>Quentin Johnston</t>
  </si>
  <si>
    <t>Charlie Kolar</t>
  </si>
  <si>
    <t>KeAndre Lambert-Smith</t>
  </si>
  <si>
    <t>Ladd McConkey</t>
  </si>
  <si>
    <t>Tanner McLachlan</t>
  </si>
  <si>
    <t>Keaton Mitchell</t>
  </si>
  <si>
    <t>Jaret Patterson</t>
  </si>
  <si>
    <t>Kimani Vidal</t>
  </si>
  <si>
    <t>Thomas Yassmin</t>
  </si>
  <si>
    <t>Davante Adams</t>
  </si>
  <si>
    <t>Davis Allen</t>
  </si>
  <si>
    <t>Blake Corum</t>
  </si>
  <si>
    <t>Tru Edwards</t>
  </si>
  <si>
    <t>Terrance Ferguson</t>
  </si>
  <si>
    <t>Tyler Higbee</t>
  </si>
  <si>
    <t>Jarquez Hunter</t>
  </si>
  <si>
    <t>Konata Mumpfield</t>
  </si>
  <si>
    <t>Puka Nacua</t>
  </si>
  <si>
    <t>Colby Parkinson</t>
  </si>
  <si>
    <t>Brennan Presley</t>
  </si>
  <si>
    <t>Mark Redman</t>
  </si>
  <si>
    <t>Ronnie Rivers</t>
  </si>
  <si>
    <t>Tyler Scott</t>
  </si>
  <si>
    <t>Xavier Smith</t>
  </si>
  <si>
    <t>Jordan Waters</t>
  </si>
  <si>
    <t>Jordan Whittington</t>
  </si>
  <si>
    <t>Kyren Williams</t>
  </si>
  <si>
    <t>Mario Williams</t>
  </si>
  <si>
    <t>Jack Bech</t>
  </si>
  <si>
    <t>Brock Bowers</t>
  </si>
  <si>
    <t>Chris Collier</t>
  </si>
  <si>
    <t>Phillip Dorsett II</t>
  </si>
  <si>
    <t>Connor Heyward</t>
  </si>
  <si>
    <t>Shedrick Jackson</t>
  </si>
  <si>
    <t>Ashton Jeanty</t>
  </si>
  <si>
    <t>Dylan Laube</t>
  </si>
  <si>
    <t>Michael Mayer</t>
  </si>
  <si>
    <t>Jalen Nailor</t>
  </si>
  <si>
    <t>Albert Okwuegbunam Jr.</t>
  </si>
  <si>
    <t>Brenden Rice</t>
  </si>
  <si>
    <t>Carter Runyon</t>
  </si>
  <si>
    <t>Justin Shorter</t>
  </si>
  <si>
    <t>Dont'e Thornton Jr.</t>
  </si>
  <si>
    <t>Tre Tucker</t>
  </si>
  <si>
    <t>Dareke Young</t>
  </si>
  <si>
    <t>De'Von Achane</t>
  </si>
  <si>
    <t>Tutu Atwell</t>
  </si>
  <si>
    <t>Jalin Conyers</t>
  </si>
  <si>
    <t>Greg Dulcich</t>
  </si>
  <si>
    <t>Donovan Edwards</t>
  </si>
  <si>
    <t>Dee Eskridge</t>
  </si>
  <si>
    <t>Ollie Gordon II</t>
  </si>
  <si>
    <t>AJ Henning</t>
  </si>
  <si>
    <t>Zack Kuntz</t>
  </si>
  <si>
    <t>Terrace Marshall Jr.</t>
  </si>
  <si>
    <t>Alexander Mattison</t>
  </si>
  <si>
    <t>Ben Sims</t>
  </si>
  <si>
    <t>Jalen Tolbert</t>
  </si>
  <si>
    <t>Cole Turner</t>
  </si>
  <si>
    <t>Darren Waller</t>
  </si>
  <si>
    <t>Malik Washington</t>
  </si>
  <si>
    <t>Tahj Washington</t>
  </si>
  <si>
    <t>Theo Wease Jr.</t>
  </si>
  <si>
    <t>Cedrick Wilson Jr.</t>
  </si>
  <si>
    <t>Jaylen Wright</t>
  </si>
  <si>
    <t>Jordan Addison</t>
  </si>
  <si>
    <t>Gavin Bartholomew</t>
  </si>
  <si>
    <t>Joaquin Davis</t>
  </si>
  <si>
    <t>Tai Felton</t>
  </si>
  <si>
    <t>Dontae Fleming</t>
  </si>
  <si>
    <t>T.J. Hockenson</t>
  </si>
  <si>
    <t>Justin Jefferson</t>
  </si>
  <si>
    <t>Jeshaun Jones</t>
  </si>
  <si>
    <t>Aaron Jones Sr.</t>
  </si>
  <si>
    <t>Jordan Mason</t>
  </si>
  <si>
    <t>Bryson Nesbit</t>
  </si>
  <si>
    <t>Josh Oliver</t>
  </si>
  <si>
    <t>Myles Price</t>
  </si>
  <si>
    <t>Zavier Scott</t>
  </si>
  <si>
    <t>Ben Yurosek</t>
  </si>
  <si>
    <t>Kayshon Boutte</t>
  </si>
  <si>
    <t>Efton Chism III</t>
  </si>
  <si>
    <t>CJ Dippre</t>
  </si>
  <si>
    <t>Romeo Doubs</t>
  </si>
  <si>
    <t>DeMario Douglas</t>
  </si>
  <si>
    <t>TreVeyon Henderson</t>
  </si>
  <si>
    <t>Hunter Henry</t>
  </si>
  <si>
    <t>Julian Hill</t>
  </si>
  <si>
    <t>Mack Hollins</t>
  </si>
  <si>
    <t>Jalen Hurd</t>
  </si>
  <si>
    <t>Terrell Jennings</t>
  </si>
  <si>
    <t>John Jiles</t>
  </si>
  <si>
    <t>Marshall Lang</t>
  </si>
  <si>
    <t>Lan Larison</t>
  </si>
  <si>
    <t>Elijah Mitchell</t>
  </si>
  <si>
    <t>Deneric Prince</t>
  </si>
  <si>
    <t>Rhamondre Stevenson</t>
  </si>
  <si>
    <t>Jeremiah Webb</t>
  </si>
  <si>
    <t>Jack Westover</t>
  </si>
  <si>
    <t>Kyle Williams</t>
  </si>
  <si>
    <t>Damien Alford</t>
  </si>
  <si>
    <t>Kevin Austin Jr.</t>
  </si>
  <si>
    <t>Ronnie Bell</t>
  </si>
  <si>
    <t>Ty Chandler</t>
  </si>
  <si>
    <t>Elijah Cooks</t>
  </si>
  <si>
    <t>Audric Estime</t>
  </si>
  <si>
    <t>Travis Etienne Jr.</t>
  </si>
  <si>
    <t>Noah Fant</t>
  </si>
  <si>
    <t>Evan Hull</t>
  </si>
  <si>
    <t>Juwan Johnson</t>
  </si>
  <si>
    <t>Alvin Kamara</t>
  </si>
  <si>
    <t>Moliki Matavao</t>
  </si>
  <si>
    <t>Bub Means</t>
  </si>
  <si>
    <t>Kendre Miller</t>
  </si>
  <si>
    <t>Zaire Mitchell-Paden</t>
  </si>
  <si>
    <t>Devin Neal</t>
  </si>
  <si>
    <t>Chris Olave</t>
  </si>
  <si>
    <t>Trey Palmer</t>
  </si>
  <si>
    <t>Dante Pettis</t>
  </si>
  <si>
    <t>Mason Pline</t>
  </si>
  <si>
    <t>Ja'Lynn Polk</t>
  </si>
  <si>
    <t>Mason Tipton</t>
  </si>
  <si>
    <t>Samori Toure</t>
  </si>
  <si>
    <t>Devaughn Vele</t>
  </si>
  <si>
    <t>Treyton Welch</t>
  </si>
  <si>
    <t>Calvin Austin III</t>
  </si>
  <si>
    <t>Dalen Cambre</t>
  </si>
  <si>
    <t>Beaux Collins</t>
  </si>
  <si>
    <t>Tanner Conner</t>
  </si>
  <si>
    <t>Da'Quan Felton</t>
  </si>
  <si>
    <t>Thomas Fidone II</t>
  </si>
  <si>
    <t>Bryce Ford-Wheaton</t>
  </si>
  <si>
    <t>Xavier Gipson</t>
  </si>
  <si>
    <t>Eric Gray</t>
  </si>
  <si>
    <t>Isaiah Hodgins</t>
  </si>
  <si>
    <t>Jalin Hyatt</t>
  </si>
  <si>
    <t>Courtney Jackson</t>
  </si>
  <si>
    <t>Theo Johnson</t>
  </si>
  <si>
    <t>Isaiah Likely</t>
  </si>
  <si>
    <t>Chris Manhertz</t>
  </si>
  <si>
    <t>Dante Miller</t>
  </si>
  <si>
    <t>Ryan Miller</t>
  </si>
  <si>
    <t>Darnell Mooney</t>
  </si>
  <si>
    <t>Malik Nabers</t>
  </si>
  <si>
    <t>Gunner Olszewski</t>
  </si>
  <si>
    <t>Devin Singletary</t>
  </si>
  <si>
    <t>Cam Skattebo</t>
  </si>
  <si>
    <t>Darius Slayton</t>
  </si>
  <si>
    <t>Tyrone Tracy Jr.</t>
  </si>
  <si>
    <t>Braelon Allen</t>
  </si>
  <si>
    <t>Irvin Charles</t>
  </si>
  <si>
    <t>Mac Dalena</t>
  </si>
  <si>
    <t>Isaiah Davis</t>
  </si>
  <si>
    <t>Breece Hall</t>
  </si>
  <si>
    <t>Khalil Herbert</t>
  </si>
  <si>
    <t>Tyler Johnson</t>
  </si>
  <si>
    <t>Adonai Mitchell</t>
  </si>
  <si>
    <t>Kene Nwangwu</t>
  </si>
  <si>
    <t>Jamaal Pritchett</t>
  </si>
  <si>
    <t>Josh Reynolds</t>
  </si>
  <si>
    <t>Jeremy Ruckert</t>
  </si>
  <si>
    <t>Quentin Skinner</t>
  </si>
  <si>
    <t>Arian Smith</t>
  </si>
  <si>
    <t>Mason Taylor</t>
  </si>
  <si>
    <t>Isaiah Williams</t>
  </si>
  <si>
    <t>Garrett Wilson</t>
  </si>
  <si>
    <t>Jelani Woods</t>
  </si>
  <si>
    <t>Saquon Barkley</t>
  </si>
  <si>
    <t>Jaheim Bell</t>
  </si>
  <si>
    <t>Tank Bigsby</t>
  </si>
  <si>
    <t>A.J. Brown</t>
  </si>
  <si>
    <t>Hollywood Brown</t>
  </si>
  <si>
    <t>Grant Calcaterra</t>
  </si>
  <si>
    <t>Darius Cooper</t>
  </si>
  <si>
    <t>Britain Covey</t>
  </si>
  <si>
    <t>Dallas Goedert</t>
  </si>
  <si>
    <t>Danny Gray</t>
  </si>
  <si>
    <t>E.J. Jenkins</t>
  </si>
  <si>
    <t>Cameron Latu</t>
  </si>
  <si>
    <t>Johnny Mundt</t>
  </si>
  <si>
    <t>Dameon Pierce</t>
  </si>
  <si>
    <t>Will Shipley</t>
  </si>
  <si>
    <t>Stone Smartt</t>
  </si>
  <si>
    <t>DeVonta Smith</t>
  </si>
  <si>
    <t>Carson Steele</t>
  </si>
  <si>
    <t>Quez Watkins</t>
  </si>
  <si>
    <t>Johnny Wilson</t>
  </si>
  <si>
    <t>Cole Burgess</t>
  </si>
  <si>
    <t>Rico Dowdle</t>
  </si>
  <si>
    <t>Pat Freiermuth</t>
  </si>
  <si>
    <t>JJ Galbreath</t>
  </si>
  <si>
    <t>Travis Homer</t>
  </si>
  <si>
    <t>Max Hurleman</t>
  </si>
  <si>
    <t>Kaleb Johnson</t>
  </si>
  <si>
    <t>DK Metcalf</t>
  </si>
  <si>
    <t>Scotty Miller</t>
  </si>
  <si>
    <t>Lew Nichols</t>
  </si>
  <si>
    <t>Donald Parham Jr.</t>
  </si>
  <si>
    <t>A.T. Perry</t>
  </si>
  <si>
    <t>Michael Pittman Jr.</t>
  </si>
  <si>
    <t>John Rhys Plumlee</t>
  </si>
  <si>
    <t>Ben Skowronek</t>
  </si>
  <si>
    <t>Brandon Smith</t>
  </si>
  <si>
    <t>Marquez Valdes-Scantling</t>
  </si>
  <si>
    <t>Jaylen Warren</t>
  </si>
  <si>
    <t>Darnell Washington</t>
  </si>
  <si>
    <t>Roman Wilson</t>
  </si>
  <si>
    <t>Cam Akers</t>
  </si>
  <si>
    <t>Elijah Arroyo</t>
  </si>
  <si>
    <t>AJ Barner</t>
  </si>
  <si>
    <t>Jake Bobo</t>
  </si>
  <si>
    <t>Tyrone Broden</t>
  </si>
  <si>
    <t>Zach Charbonnet</t>
  </si>
  <si>
    <t>Montorie Foster Jr.</t>
  </si>
  <si>
    <t>George Holani</t>
  </si>
  <si>
    <t>Tory Horton</t>
  </si>
  <si>
    <t>Velus Jones Jr.</t>
  </si>
  <si>
    <t>Nick Kallerup</t>
  </si>
  <si>
    <t>Cooper Kupp</t>
  </si>
  <si>
    <t>Kenny McIntosh</t>
  </si>
  <si>
    <t>Eric Saubert</t>
  </si>
  <si>
    <t>Rashid Shaheed</t>
  </si>
  <si>
    <t>Jaxon Smith-Njigba</t>
  </si>
  <si>
    <t>Cody White</t>
  </si>
  <si>
    <t>Ricky White III</t>
  </si>
  <si>
    <t>Emanuel Wilson</t>
  </si>
  <si>
    <t>Jacardia Wright</t>
  </si>
  <si>
    <t>Brandon Aiyuk</t>
  </si>
  <si>
    <t>Junior Bergen</t>
  </si>
  <si>
    <t>Jacob Cowing</t>
  </si>
  <si>
    <t>Colton Dowell</t>
  </si>
  <si>
    <t>Mike Evans</t>
  </si>
  <si>
    <t>Luke Farrell</t>
  </si>
  <si>
    <t>Isaac Guerendo</t>
  </si>
  <si>
    <t>Jordan James</t>
  </si>
  <si>
    <t>Jauan Jennings</t>
  </si>
  <si>
    <t>Christian Kirk</t>
  </si>
  <si>
    <t>George Kittle</t>
  </si>
  <si>
    <t>Christian McCaffrey</t>
  </si>
  <si>
    <t>Ricky Pearsall</t>
  </si>
  <si>
    <t>Demarcus Robinson</t>
  </si>
  <si>
    <t>Hayden Rucci</t>
  </si>
  <si>
    <t>Trent Taylor</t>
  </si>
  <si>
    <t>Patrick Taylor Jr.</t>
  </si>
  <si>
    <t>Jake Tonges</t>
  </si>
  <si>
    <t>Malik Turner</t>
  </si>
  <si>
    <t>Jordan Watkins</t>
  </si>
  <si>
    <t>Brayden Willis</t>
  </si>
  <si>
    <t>Devin Culp</t>
  </si>
  <si>
    <t>Payne Durham</t>
  </si>
  <si>
    <t>Emeka Egbuka</t>
  </si>
  <si>
    <t>Kenneth Gainwell</t>
  </si>
  <si>
    <t>Chris Godwin Jr.</t>
  </si>
  <si>
    <t>Garrett Greene</t>
  </si>
  <si>
    <t>Dennis Houston</t>
  </si>
  <si>
    <t>Bucky Irving</t>
  </si>
  <si>
    <t>Kameron Johnson</t>
  </si>
  <si>
    <t>Tez Johnson</t>
  </si>
  <si>
    <t>Ko Kieft</t>
  </si>
  <si>
    <t>Jalen McMillan</t>
  </si>
  <si>
    <t>Cade Otton</t>
  </si>
  <si>
    <t>Sterling Shepard</t>
  </si>
  <si>
    <t>Jaden Smith</t>
  </si>
  <si>
    <t>Sean Tucker</t>
  </si>
  <si>
    <t>Michael Wiley</t>
  </si>
  <si>
    <t>Josh Williams</t>
  </si>
  <si>
    <t>Owen Wright</t>
  </si>
  <si>
    <t>Elic Ayomanor</t>
  </si>
  <si>
    <t>Daniel Bellinger</t>
  </si>
  <si>
    <t>Julius Chestnut</t>
  </si>
  <si>
    <t>Chimere Dike</t>
  </si>
  <si>
    <t>Kylen Granson</t>
  </si>
  <si>
    <t>Gunnar Helm</t>
  </si>
  <si>
    <t>Mason Kinsey</t>
  </si>
  <si>
    <t>David Martin-Robinson</t>
  </si>
  <si>
    <t>Kalel Mullings</t>
  </si>
  <si>
    <t>Bryce Oliver</t>
  </si>
  <si>
    <t>Tony Pollard</t>
  </si>
  <si>
    <t>Hal Presley</t>
  </si>
  <si>
    <t>James Proche II</t>
  </si>
  <si>
    <t>Xavier Restrepo</t>
  </si>
  <si>
    <t>Calvin Ridley</t>
  </si>
  <si>
    <t>Wan'Dale Robinson</t>
  </si>
  <si>
    <t>Tyjae Spears</t>
  </si>
  <si>
    <t>Blake Watson</t>
  </si>
  <si>
    <t>Joel Wilson</t>
  </si>
  <si>
    <t>John Bates</t>
  </si>
  <si>
    <t>Ja'Corey Brooks</t>
  </si>
  <si>
    <t>Dyami Brown</t>
  </si>
  <si>
    <t>Noah Brown</t>
  </si>
  <si>
    <t>Treylon Burks</t>
  </si>
  <si>
    <t>Lawrence Cager</t>
  </si>
  <si>
    <t>Jacory Croskey-Merritt</t>
  </si>
  <si>
    <t>Chase Edmonds</t>
  </si>
  <si>
    <t>Austin Ekeler</t>
  </si>
  <si>
    <t>Zach Ertz</t>
  </si>
  <si>
    <t>Jerome Ford</t>
  </si>
  <si>
    <t>Tyree Jackson</t>
  </si>
  <si>
    <t>Van Jefferson</t>
  </si>
  <si>
    <t>Jacoby Jones</t>
  </si>
  <si>
    <t>Jaylin Lane</t>
  </si>
  <si>
    <t>Luke McCaffrey</t>
  </si>
  <si>
    <t>Terry McLaurin</t>
  </si>
  <si>
    <t>Jeremy McNichols</t>
  </si>
  <si>
    <t>Chris Moore</t>
  </si>
  <si>
    <t>Nick Nash</t>
  </si>
  <si>
    <t>Chig Okonkwo</t>
  </si>
  <si>
    <t>Deebo Samuel</t>
  </si>
  <si>
    <t>Ben Sinnott</t>
  </si>
  <si>
    <t>Rachaad White</t>
  </si>
  <si>
    <t>Colson Yankoff</t>
  </si>
  <si>
    <t>.</t>
  </si>
  <si>
    <t>player_name</t>
  </si>
  <si>
    <t>player_display_name</t>
  </si>
  <si>
    <t>position_group</t>
  </si>
  <si>
    <t>headshot_url</t>
  </si>
  <si>
    <t>season</t>
  </si>
  <si>
    <t>season_type</t>
  </si>
  <si>
    <t>recent_team</t>
  </si>
  <si>
    <t>games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</si>
  <si>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</si>
  <si>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</si>
  <si>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</si>
  <si>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</si>
  <si>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</si>
  <si>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</si>
  <si>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</si>
  <si>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</si>
  <si>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</si>
  <si>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</si>
  <si>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</si>
  <si>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</si>
  <si>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</si>
  <si>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</si>
  <si>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</si>
  <si>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pacr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</si>
  <si>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</si>
  <si>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</si>
  <si>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</si>
  <si>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</si>
  <si>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</si>
  <si>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</si>
  <si>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</si>
  <si>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</si>
  <si>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</si>
  <si>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</si>
  <si>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</si>
  <si>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</si>
  <si>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</si>
  <si>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</si>
  <si>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</si>
  <si>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</si>
  <si>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</si>
  <si>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</si>
  <si>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</si>
  <si>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racr</t>
  </si>
  <si>
    <t>target_share</t>
  </si>
  <si>
    <t>air_yards_share</t>
  </si>
  <si>
    <t>wopr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</si>
  <si>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</si>
  <si>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</si>
  <si>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</si>
  <si>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</si>
  <si>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</si>
  <si>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</si>
  <si>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</si>
  <si>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</si>
  <si>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</si>
  <si>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</si>
  <si>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</si>
  <si>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</si>
  <si>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</si>
  <si>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</si>
  <si>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</si>
  <si>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</si>
  <si>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</si>
  <si>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</si>
  <si>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</si>
  <si>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</si>
  <si>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</si>
  <si>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</si>
  <si>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</si>
  <si>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</si>
  <si>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</si>
  <si>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</si>
  <si>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</si>
  <si>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</si>
  <si>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</si>
  <si>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</si>
  <si>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</si>
  <si>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</si>
  <si>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</si>
  <si>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</si>
  <si>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</si>
  <si>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</si>
  <si>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</si>
  <si>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</si>
  <si>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</si>
  <si>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</si>
  <si>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</si>
  <si>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</si>
  <si>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</si>
  <si>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</si>
  <si>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</si>
  <si>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</si>
  <si>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</si>
  <si>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</si>
  <si>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</si>
  <si>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</si>
  <si>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</si>
  <si>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</si>
  <si>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</si>
  <si>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</si>
  <si>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</si>
  <si>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</si>
  <si>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</si>
  <si>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</si>
  <si>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</si>
  <si>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</si>
  <si>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</si>
  <si>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gwfg_distance_list</t>
  </si>
  <si>
    <t>fantasy_points</t>
  </si>
  <si>
    <t>fantasy_points_ppr</t>
  </si>
  <si>
    <t>00-0022942</t>
  </si>
  <si>
    <t>P.Rivers</t>
  </si>
  <si>
    <t>Philip Rivers</t>
  </si>
  <si>
    <t>QB</t>
  </si>
  <si>
    <t>https://static.www.nfl.com/image/private/f_auto,q_auto/league/voakyrtj34sghkwxaxxf</t>
  </si>
  <si>
    <t>REG</t>
  </si>
  <si>
    <t>00-0023459</t>
  </si>
  <si>
    <t>A.Rodgers</t>
  </si>
  <si>
    <t>Aaron Rodgers</t>
  </si>
  <si>
    <t>https://static.www.nfl.com/image/upload/f_auto,q_auto/league/dypvakakxhccxs67tb0y</t>
  </si>
  <si>
    <t>00-0023853</t>
  </si>
  <si>
    <t>M.Prater</t>
  </si>
  <si>
    <t>Matt Prater</t>
  </si>
  <si>
    <t>K</t>
  </si>
  <si>
    <t>SPEC</t>
  </si>
  <si>
    <t>https://static.www.nfl.com/image/upload/f_auto,q_auto/league/pj981bi535y4jwy6skr1</t>
  </si>
  <si>
    <t>25;43;32;28;52;33;48;35;31;45;45;43;39;44;38;27;37;26</t>
  </si>
  <si>
    <t>39;52</t>
  </si>
  <si>
    <t>00-0024243</t>
  </si>
  <si>
    <t>M.Lewis</t>
  </si>
  <si>
    <t>Marcedes Lewis</t>
  </si>
  <si>
    <t>https://static.www.nfl.com/image/private/f_auto,q_auto/league/ppq07tipygpftz5csipx</t>
  </si>
  <si>
    <t>00-0025565</t>
  </si>
  <si>
    <t>N.Folk</t>
  </si>
  <si>
    <t>Nick Folk</t>
  </si>
  <si>
    <t>https://static.www.nfl.com/image/upload/f_auto,q_auto/league/qcfiv2cc7ky37yq9iklp</t>
  </si>
  <si>
    <t>35;51;51;38;42;58;50;25;48;52;41;38;34;47;46;25;24;26;37;42;32;56;31;41;51;29;36;39</t>
  </si>
  <si>
    <t>00-0026158</t>
  </si>
  <si>
    <t>J.Flacco</t>
  </si>
  <si>
    <t>Joe Flacco</t>
  </si>
  <si>
    <t>https://static.www.nfl.com/image/upload/f_auto,q_auto/league/vbqptn8emdlbeaz1kvmx</t>
  </si>
  <si>
    <t>00-0026190</t>
  </si>
  <si>
    <t>C.Campbell</t>
  </si>
  <si>
    <t>Calais Campbell</t>
  </si>
  <si>
    <t>DE</t>
  </si>
  <si>
    <t>DL</t>
  </si>
  <si>
    <t>https://static.www.nfl.com/image/upload/f_auto,q_auto/league/juvpepl8uc1p9rs7upsf</t>
  </si>
  <si>
    <t>00-0026300</t>
  </si>
  <si>
    <t>J.Johnson</t>
  </si>
  <si>
    <t>Josh Johnson</t>
  </si>
  <si>
    <t>https://static.www.nfl.com/image/upload/f_auto,q_auto/league/ibuhbuhomisj4t8vvhay</t>
  </si>
  <si>
    <t>00-0026498</t>
  </si>
  <si>
    <t>M.Stafford</t>
  </si>
  <si>
    <t>Matthew Stafford</t>
  </si>
  <si>
    <t>https://static.www.nfl.com/image/upload/f_auto,q_auto/league/svxl2pk2cuqf26zrhii4</t>
  </si>
  <si>
    <t>LA</t>
  </si>
  <si>
    <t>00-0026858</t>
  </si>
  <si>
    <t>G.Gano</t>
  </si>
  <si>
    <t>Graham Gano</t>
  </si>
  <si>
    <t>https://static.www.nfl.com/image/upload/f_auto,q_auto/league/wp5wochy7uuqcgyjcrrd</t>
  </si>
  <si>
    <t>21;55;38;33;33;25;47;34;22</t>
  </si>
  <si>
    <t>00-0027114</t>
  </si>
  <si>
    <t>T.Morstead</t>
  </si>
  <si>
    <t>Thomas Morstead</t>
  </si>
  <si>
    <t>P</t>
  </si>
  <si>
    <t>https://static.www.nfl.com/image/upload/f_auto,q_auto/league/uicxa9bwvrenvcwnoklm</t>
  </si>
  <si>
    <t>00-0027224</t>
  </si>
  <si>
    <t>J.Weeks</t>
  </si>
  <si>
    <t>Jon Weeks</t>
  </si>
  <si>
    <t>LS</t>
  </si>
  <si>
    <t>https://static.www.nfl.com/image/upload/f_auto,q_auto/league/efqsxmef1aoqnw6co1au</t>
  </si>
  <si>
    <t>00-0027857</t>
  </si>
  <si>
    <t>T.Williams</t>
  </si>
  <si>
    <t>Trent Williams</t>
  </si>
  <si>
    <t>OT</t>
  </si>
  <si>
    <t>OL</t>
  </si>
  <si>
    <t>https://static.www.nfl.com/image/upload/f_auto,q_auto/league/z3rgsbkzy0sripzunidx</t>
  </si>
  <si>
    <t>00-0027865</t>
  </si>
  <si>
    <t>B.Graham</t>
  </si>
  <si>
    <t>Brandon Graham</t>
  </si>
  <si>
    <t>https://static.www.nfl.com/image/upload/f_auto,q_auto/league/e6iqegrredwqev7qx81m</t>
  </si>
  <si>
    <t>00-0027867</t>
  </si>
  <si>
    <t>J.Pierre-Paul</t>
  </si>
  <si>
    <t>Jason Pierre-Paul</t>
  </si>
  <si>
    <t>https://static.www.nfl.com/image/private/f_auto,q_auto/league/pwl0fkpfwut1rizcarub</t>
  </si>
  <si>
    <t>00-0027940</t>
  </si>
  <si>
    <t>V.Miller</t>
  </si>
  <si>
    <t>Von Miller</t>
  </si>
  <si>
    <t>OLB</t>
  </si>
  <si>
    <t>LB</t>
  </si>
  <si>
    <t>https://static.www.nfl.com/image/upload/f_auto,q_auto/league/cqkgo6uw5ha7bjajkewf</t>
  </si>
  <si>
    <t>00-0027962</t>
  </si>
  <si>
    <t>C.Jordan</t>
  </si>
  <si>
    <t>Cameron Jordan</t>
  </si>
  <si>
    <t>https://static.www.nfl.com/image/upload/f_auto,q_auto/league/eauqz3xbdtl0wfoy71da</t>
  </si>
  <si>
    <t>00-0027969</t>
  </si>
  <si>
    <t>Ca.Heyward</t>
  </si>
  <si>
    <t>Cameron Heyward</t>
  </si>
  <si>
    <t>DT</t>
  </si>
  <si>
    <t>https://static.www.nfl.com/image/upload/f_auto,q_auto/league/vfql05jp29d2pltrlwqz</t>
  </si>
  <si>
    <t>00-0027973</t>
  </si>
  <si>
    <t>A.Dalton</t>
  </si>
  <si>
    <t>Andy Dalton</t>
  </si>
  <si>
    <t>https://static.www.nfl.com/image/upload/f_auto,q_auto/league/nyjb97rajdqckaxsoniv</t>
  </si>
  <si>
    <t>00-0028118</t>
  </si>
  <si>
    <t>T.Taylor</t>
  </si>
  <si>
    <t>Tyrod Taylor</t>
  </si>
  <si>
    <t>https://static.www.nfl.com/image/upload/f_auto,q_auto/league/nqpyumxuo0e9sitk0a0o</t>
  </si>
  <si>
    <t>00-0028292</t>
  </si>
  <si>
    <t>N.Bellore</t>
  </si>
  <si>
    <t>Nick Bellore</t>
  </si>
  <si>
    <t>https://static.www.nfl.com/image/upload/f_auto,q_auto/league/wlj7zdf6h9p9dnhdtmih</t>
  </si>
  <si>
    <t>00-0028394</t>
  </si>
  <si>
    <t>J.McQuaide</t>
  </si>
  <si>
    <t>Jake McQuaide</t>
  </si>
  <si>
    <t>https://static.www.nfl.com/image/upload/f_auto,q_auto/league/gjtq2nbl0i8ejcx4dx9u</t>
  </si>
  <si>
    <t>00-0028845</t>
  </si>
  <si>
    <t>J.Harris</t>
  </si>
  <si>
    <t>Josh Harris</t>
  </si>
  <si>
    <t>https://static.www.nfl.com/image/upload/f_auto,q_auto/league/agckpghgjhwbacdexqyd</t>
  </si>
  <si>
    <t>00-0028872</t>
  </si>
  <si>
    <t>J.Hekker</t>
  </si>
  <si>
    <t>Johnny Hekker</t>
  </si>
  <si>
    <t>https://static.www.nfl.com/image/upload/f_auto,q_auto/league/qqxvnynrahubphl6gjvw</t>
  </si>
  <si>
    <t>00-0028946</t>
  </si>
  <si>
    <t>A.Brewer</t>
  </si>
  <si>
    <t>Aaron Brewer</t>
  </si>
  <si>
    <t>https://static.www.nfl.com/image/upload/f_auto,q_auto/league/mnaix4zmrmwryj55usgx</t>
  </si>
  <si>
    <t>00-0029008</t>
  </si>
  <si>
    <t>C.Hughlett</t>
  </si>
  <si>
    <t>Charley Hughlett</t>
  </si>
  <si>
    <t>https://static.www.nfl.com/image/upload/f_auto,q_auto/league/cowm2qllr7vpyktisnln</t>
  </si>
  <si>
    <t>00-0029255</t>
  </si>
  <si>
    <t>B.Wagner</t>
  </si>
  <si>
    <t>Bobby Wagner</t>
  </si>
  <si>
    <t>MLB</t>
  </si>
  <si>
    <t>https://static.www.nfl.com/image/upload/f_auto,q_auto/league/msulezmb9dk3klpgymoj</t>
  </si>
  <si>
    <t>00-0029263</t>
  </si>
  <si>
    <t>R.Wilson</t>
  </si>
  <si>
    <t>Russell Wilson</t>
  </si>
  <si>
    <t>https://static.www.nfl.com/image/upload/f_auto,q_auto/league/vkstxj0evgkjiycu4glc</t>
  </si>
  <si>
    <t>00-0029316</t>
  </si>
  <si>
    <t>K.Beachum</t>
  </si>
  <si>
    <t>Kelvin Beachum</t>
  </si>
  <si>
    <t>https://static.www.nfl.com/image/upload/f_auto,q_auto/league/dgul4jljoasida1h8tag</t>
  </si>
  <si>
    <t>00-0029562</t>
  </si>
  <si>
    <t>L.David</t>
  </si>
  <si>
    <t>Lavonte David</t>
  </si>
  <si>
    <t>https://static.www.nfl.com/image/upload/f_auto,q_auto/league/gicyoxodiwdzvybrzddk</t>
  </si>
  <si>
    <t>00-0029592</t>
  </si>
  <si>
    <t>K.Zeitler</t>
  </si>
  <si>
    <t>Kevin Zeitler</t>
  </si>
  <si>
    <t>G</t>
  </si>
  <si>
    <t>https://static.www.nfl.com/image/upload/f_auto,q_auto/league/nfb14plexvixmjo0p5ye</t>
  </si>
  <si>
    <t>00-0029604</t>
  </si>
  <si>
    <t>K.Cousins</t>
  </si>
  <si>
    <t>Kirk Cousins</t>
  </si>
  <si>
    <t>https://static.www.nfl.com/image/upload/f_auto,q_auto/league/hmdqr7gju0dciapvdjcv</t>
  </si>
  <si>
    <t>00-0029606</t>
  </si>
  <si>
    <t>H.Smith</t>
  </si>
  <si>
    <t>Harrison Smith</t>
  </si>
  <si>
    <t>FS</t>
  </si>
  <si>
    <t>DB</t>
  </si>
  <si>
    <t>https://static.www.nfl.com/image/upload/f_auto,q_auto/league/kadw1bk0cxsarjrwbdrq</t>
  </si>
  <si>
    <t>00-0029607</t>
  </si>
  <si>
    <t>D.Davis</t>
  </si>
  <si>
    <t>Demario Davis</t>
  </si>
  <si>
    <t>https://static.www.nfl.com/image/upload/f_auto,q_auto/league/fx9oohbyik0ibdlvyr8z</t>
  </si>
  <si>
    <t>00-0029685</t>
  </si>
  <si>
    <t>G.Van Roten</t>
  </si>
  <si>
    <t>Greg Van Roten</t>
  </si>
  <si>
    <t>https://static.www.nfl.com/image/upload/f_auto,q_auto/league/iey1sirxc8ggdt5yeunm</t>
  </si>
  <si>
    <t>00-0029692</t>
  </si>
  <si>
    <t>B.Anger</t>
  </si>
  <si>
    <t>Bryan Anger</t>
  </si>
  <si>
    <t>https://static.www.nfl.com/image/upload/f_auto,q_auto/league/e1fozrp2fhprrkheqt0x</t>
  </si>
  <si>
    <t>00-0029714</t>
  </si>
  <si>
    <t>A.DePaola</t>
  </si>
  <si>
    <t>Andrew DePaola</t>
  </si>
  <si>
    <t>https://static.www.nfl.com/image/upload/f_auto,q_auto/league/jcrvuhkivwjhbqmzp5tm</t>
  </si>
  <si>
    <t>00-0029822</t>
  </si>
  <si>
    <t>B.McManus</t>
  </si>
  <si>
    <t>Brandon McManus</t>
  </si>
  <si>
    <t>https://static.www.nfl.com/image/upload/f_auto,q_auto/league/qvwi9b1vfkn0wlmdl7ej</t>
  </si>
  <si>
    <t>34;38;22;56;39;53;34;28;25;49;27;32;30;40;45;53;26;35;37;26;22;28;24;24</t>
  </si>
  <si>
    <t>48;57;44;43;64</t>
  </si>
  <si>
    <t>00-0029892</t>
  </si>
  <si>
    <t>K.Juszczyk</t>
  </si>
  <si>
    <t>Kyle Juszczyk</t>
  </si>
  <si>
    <t>FB</t>
  </si>
  <si>
    <t>https://static.www.nfl.com/image/upload/f_auto,q_auto/league/qflumv1aag7yw9mgwpga</t>
  </si>
  <si>
    <t>00-0029963</t>
  </si>
  <si>
    <t>C.Hubbard</t>
  </si>
  <si>
    <t>Chris Hubbard</t>
  </si>
  <si>
    <t>https://static.www.nfl.com/image/upload/f_auto,q_auto/league/tsgs1iyyfjxlfsletyss</t>
  </si>
  <si>
    <t>00-0030035</t>
  </si>
  <si>
    <t>A.Thielen</t>
  </si>
  <si>
    <t>Adam Thielen</t>
  </si>
  <si>
    <t>https://static.www.nfl.com/image/upload/f_auto,q_auto/league/pv6gajxtt6zhum2unnsl</t>
  </si>
  <si>
    <t>00-0030061</t>
  </si>
  <si>
    <t>Z.Ertz</t>
  </si>
  <si>
    <t>https://static.www.nfl.com/image/upload/f_auto,q_auto/league/xktmmeumuoglbuam75iz</t>
  </si>
  <si>
    <t>00-0030062</t>
  </si>
  <si>
    <t>D.Slay</t>
  </si>
  <si>
    <t>Darius Slay</t>
  </si>
  <si>
    <t>CB</t>
  </si>
  <si>
    <t>https://static.www.nfl.com/image/upload/f_auto,q_auto/league/r7dwifb7wrqvqj714dgh</t>
  </si>
  <si>
    <t>00-0030070</t>
  </si>
  <si>
    <t>J.Jenkins</t>
  </si>
  <si>
    <t>John Jenkins</t>
  </si>
  <si>
    <t>https://static.www.nfl.com/image/upload/f_auto,q_auto/league/cgamzernsuzy7zamg3rx</t>
  </si>
  <si>
    <t>00-0030092</t>
  </si>
  <si>
    <t>S.Martin</t>
  </si>
  <si>
    <t>Sam Martin</t>
  </si>
  <si>
    <t>https://static.www.nfl.com/image/upload/f_auto,q_auto/league/hkewwfpluyhrcdgquthf</t>
  </si>
  <si>
    <t>00-0030114</t>
  </si>
  <si>
    <t>J.Poyer</t>
  </si>
  <si>
    <t>Jordan Poyer</t>
  </si>
  <si>
    <t>https://static.www.nfl.com/image/upload/f_auto,q_auto/league/jv5ibhkljw1u9knlwqzy</t>
  </si>
  <si>
    <t>00-0030140</t>
  </si>
  <si>
    <t>T.Way</t>
  </si>
  <si>
    <t>Tress Way</t>
  </si>
  <si>
    <t>https://static.www.nfl.com/image/upload/f_auto,q_auto/league/c9oijuzo666bwebj9yuj</t>
  </si>
  <si>
    <t>00-0030279</t>
  </si>
  <si>
    <t>K.Allen</t>
  </si>
  <si>
    <t>Keenan Allen</t>
  </si>
  <si>
    <t>https://static.www.nfl.com/image/upload/f_auto,q_auto/league/ri267r6lzfwarh89hsn6</t>
  </si>
  <si>
    <t>00-0030294</t>
  </si>
  <si>
    <t>T.Jefferson</t>
  </si>
  <si>
    <t>Tony Jefferson</t>
  </si>
  <si>
    <t>S</t>
  </si>
  <si>
    <t>https://static.www.nfl.com/image/upload/f_auto,q_auto/league/cbeyyjp0frs1gi1g8e3i</t>
  </si>
  <si>
    <t>00-0030506</t>
  </si>
  <si>
    <t>T.Kelce</t>
  </si>
  <si>
    <t>https://static.www.nfl.com/image/upload/f_auto,q_auto/league/ebc5j60djpinc9elvlc5</t>
  </si>
  <si>
    <t>00-0030561</t>
  </si>
  <si>
    <t>L.Johnson</t>
  </si>
  <si>
    <t>Lane Johnson</t>
  </si>
  <si>
    <t>https://static.www.nfl.com/image/upload/f_auto,q_auto/league/ukibsn5yxozyzompfbxm</t>
  </si>
  <si>
    <t>00-0030564</t>
  </si>
  <si>
    <t>D.Hopkins</t>
  </si>
  <si>
    <t>DeAndre Hopkins</t>
  </si>
  <si>
    <t>https://static.www.nfl.com/image/upload/f_auto,q_auto/league/snvo6holyfdjmrlqxqxu</t>
  </si>
  <si>
    <t>00-0030565</t>
  </si>
  <si>
    <t>G.Smith</t>
  </si>
  <si>
    <t>Geno Smith</t>
  </si>
  <si>
    <t>https://static.www.nfl.com/image/upload/f_auto,q_auto/league/tqy0933vz5yogwlefb1s</t>
  </si>
  <si>
    <t>00-0030615</t>
  </si>
  <si>
    <t>J.Winchester</t>
  </si>
  <si>
    <t>James Winchester</t>
  </si>
  <si>
    <t>https://static.www.nfl.com/image/upload/f_auto,q_auto/league/qw1jmfvcpwxx12cewfqg</t>
  </si>
  <si>
    <t>00-0030725</t>
  </si>
  <si>
    <t>C.Lucas</t>
  </si>
  <si>
    <t>Cornelius Lucas</t>
  </si>
  <si>
    <t>https://static.www.nfl.com/image/upload/f_auto,q_auto/league/ii9b9lb3szz5vehvqh5a</t>
  </si>
  <si>
    <t>00-0030757</t>
  </si>
  <si>
    <t>M.Pennel</t>
  </si>
  <si>
    <t>Mike Pennel</t>
  </si>
  <si>
    <t>https://static.www.nfl.com/image/upload/f_auto,q_auto/league/ezpbko1gvvdrrtqhkhnu</t>
  </si>
  <si>
    <t>00-0031040</t>
  </si>
  <si>
    <t>K.Mack</t>
  </si>
  <si>
    <t>Khalil Mack</t>
  </si>
  <si>
    <t>https://static.www.nfl.com/image/upload/f_auto,q_auto/league/jzqh3otccfpx2aue7xys</t>
  </si>
  <si>
    <t>00-0031054</t>
  </si>
  <si>
    <t>D.Jones</t>
  </si>
  <si>
    <t>DaQuan Jones</t>
  </si>
  <si>
    <t>https://static.www.nfl.com/image/upload/f_auto,q_auto/league/w7qkicdj6v0figbmfp0u</t>
  </si>
  <si>
    <t>00-0031079</t>
  </si>
  <si>
    <t>P.O'Donnell</t>
  </si>
  <si>
    <t>Pat O'Donnell</t>
  </si>
  <si>
    <t>https://static.www.nfl.com/image/upload/f_auto,q_auto/league/kputu02pppmvb69bkdfg</t>
  </si>
  <si>
    <t>00-0031136</t>
  </si>
  <si>
    <t>C.Boswell</t>
  </si>
  <si>
    <t>Chris Boswell</t>
  </si>
  <si>
    <t>https://static.www.nfl.com/image/upload/f_auto,q_auto/league/rxbnhvnfjmheuryvdmuf</t>
  </si>
  <si>
    <t>56;60;48;48;45;33;44;50;48;41;56;50;48;56;25;46;59;25;30;23;28;59;23;44;40;57;25</t>
  </si>
  <si>
    <t>54;45;37;54</t>
  </si>
  <si>
    <t>00-0031156</t>
  </si>
  <si>
    <t>T.Ott</t>
  </si>
  <si>
    <t>Tyler Ott</t>
  </si>
  <si>
    <t>https://static.www.nfl.com/image/upload/f_auto,q_auto/league/ppnihdnetdwuoapsyrnn</t>
  </si>
  <si>
    <t>00-0031177</t>
  </si>
  <si>
    <t>B.Urban</t>
  </si>
  <si>
    <t>Brent Urban</t>
  </si>
  <si>
    <t>https://static.www.nfl.com/image/upload/f_auto,q_auto/league/acp4qzscazxskq9efwnf</t>
  </si>
  <si>
    <t>00-0031203</t>
  </si>
  <si>
    <t>C.Santos</t>
  </si>
  <si>
    <t>Cairo Santos</t>
  </si>
  <si>
    <t>https://static.www.nfl.com/image/upload/f_auto,q_auto/league/w5mfvjfuflbitwuji1yx</t>
  </si>
  <si>
    <t>42;30;46;43;52;51;32;39;47;24;36;22;38;54;33;48;47;30;33;41;41;46;51;43;29</t>
  </si>
  <si>
    <t>50;58;45;35</t>
  </si>
  <si>
    <t>00-0031236</t>
  </si>
  <si>
    <t>B.Cooks</t>
  </si>
  <si>
    <t>Brandin Cooks</t>
  </si>
  <si>
    <t>https://static.www.nfl.com/image/upload/f_auto,q_auto/league/krz3gv9jjs92arlctvqf</t>
  </si>
  <si>
    <t>00-0031237</t>
  </si>
  <si>
    <t>T.Bridgewater</t>
  </si>
  <si>
    <t>Teddy Bridgewater</t>
  </si>
  <si>
    <t>https://static.www.nfl.com/image/upload/f_auto,q_auto/league/wggyfg1dgyiwcgxafoen</t>
  </si>
  <si>
    <t>00-0031254</t>
  </si>
  <si>
    <t>D.Autry</t>
  </si>
  <si>
    <t>Denico Autry</t>
  </si>
  <si>
    <t>https://static.www.nfl.com/image/upload/f_auto,q_auto/league/avrrswmjrzes0ggi3bsg</t>
  </si>
  <si>
    <t>00-0031270</t>
  </si>
  <si>
    <t>S.Harris</t>
  </si>
  <si>
    <t>Shelby Harris</t>
  </si>
  <si>
    <t>https://static.www.nfl.com/image/upload/f_auto,q_auto/league/r1lxhltzhpkmfdocupum</t>
  </si>
  <si>
    <t>00-0031279</t>
  </si>
  <si>
    <t>J.Matthews</t>
  </si>
  <si>
    <t>Jake Matthews</t>
  </si>
  <si>
    <t>https://static.www.nfl.com/image/upload/f_auto,q_auto/league/erhayhjdrny0fua2nizx</t>
  </si>
  <si>
    <t>00-0031330</t>
  </si>
  <si>
    <t>M.Moses</t>
  </si>
  <si>
    <t>Morgan Moses</t>
  </si>
  <si>
    <t>https://static.www.nfl.com/image/upload/f_auto,q_auto/league/qbq088iyxz81xdpdcnx0</t>
  </si>
  <si>
    <t>00-0031345</t>
  </si>
  <si>
    <t>J.Garoppolo</t>
  </si>
  <si>
    <t>Jimmy Garoppolo</t>
  </si>
  <si>
    <t>https://static.www.nfl.com/image/upload/f_auto,q_auto/league/ivz3zwvjxvgcu4dzabur</t>
  </si>
  <si>
    <t>00-0031357</t>
  </si>
  <si>
    <t>C.Goodwin</t>
  </si>
  <si>
    <t>C.J. Goodwin</t>
  </si>
  <si>
    <t>https://static.www.nfl.com/image/upload/f_auto,q_auto/league/txvnf4ecxcgg5heclsit</t>
  </si>
  <si>
    <t>00-0031360</t>
  </si>
  <si>
    <t>K.Van Noy</t>
  </si>
  <si>
    <t>Kyle Van Noy</t>
  </si>
  <si>
    <t>https://static.www.nfl.com/image/upload/f_auto,q_auto/league/kxj2hipcguahh4l60vaa</t>
  </si>
  <si>
    <t>00-0031364</t>
  </si>
  <si>
    <t>J.Clowney</t>
  </si>
  <si>
    <t>Jadeveon Clowney</t>
  </si>
  <si>
    <t>https://static.www.nfl.com/image/upload/f_auto,q_auto/league/iururnv6x8iuzepggwvt</t>
  </si>
  <si>
    <t>00-0031381</t>
  </si>
  <si>
    <t>D.Adams</t>
  </si>
  <si>
    <t>https://static.www.nfl.com/image/upload/f_auto,q_auto/league/qtonvcqpixixqhc6lhnc</t>
  </si>
  <si>
    <t>00-0031408</t>
  </si>
  <si>
    <t>M.Evans</t>
  </si>
  <si>
    <t>https://static.www.nfl.com/image/upload/f_auto,q_auto/league/yaxorbdsvk1ucfuiyrkj</t>
  </si>
  <si>
    <t>00-0031411</t>
  </si>
  <si>
    <t>D.Lawrence</t>
  </si>
  <si>
    <t>DeMarcus Lawrence</t>
  </si>
  <si>
    <t>https://static.www.nfl.com/image/upload/f_auto,q_auto/league/dqcbiti9q92w9uawqxom</t>
  </si>
  <si>
    <t>00-0031426</t>
  </si>
  <si>
    <t>J.Bitonio</t>
  </si>
  <si>
    <t>Joel Bitonio</t>
  </si>
  <si>
    <t>https://static.www.nfl.com/image/upload/f_auto,q_auto/league/il9yy0bjrowrwhxk9ard</t>
  </si>
  <si>
    <t>00-0031484</t>
  </si>
  <si>
    <t>C.Manhertz</t>
  </si>
  <si>
    <t>https://static.www.nfl.com/image/upload/f_auto,q_auto/league/azx76rspzgxfogsqhxet</t>
  </si>
  <si>
    <t>00-0031492</t>
  </si>
  <si>
    <t>J.Myers</t>
  </si>
  <si>
    <t>Jason Myers</t>
  </si>
  <si>
    <t>https://static.www.nfl.com/image/upload/f_auto,q_auto/league/rnw5znsm0hrekqvztiog</t>
  </si>
  <si>
    <t>48;37;54;56;46;37;44;31;52;24;53;26;47;41;46;32;34;57;30;22;29;47;30;36;33;56;54;40;22;48;37;47;52;46;32;30;56;48;30;45;31</t>
  </si>
  <si>
    <t>36;53;44;61;47;26</t>
  </si>
  <si>
    <t>52;61</t>
  </si>
  <si>
    <t>00-0031503</t>
  </si>
  <si>
    <t>J.Winston</t>
  </si>
  <si>
    <t>Jameis Winston</t>
  </si>
  <si>
    <t>https://static.www.nfl.com/image/upload/f_auto,q_auto/league/vwikoroqsyf8iemlrohb</t>
  </si>
  <si>
    <t>00-0031550</t>
  </si>
  <si>
    <t>S.Thompson</t>
  </si>
  <si>
    <t>Shaq Thompson</t>
  </si>
  <si>
    <t>https://static.www.nfl.com/image/upload/f_auto,q_auto/league/rk9qairtsyrzdoznvmen</t>
  </si>
  <si>
    <t>00-0031551</t>
  </si>
  <si>
    <t>E.Goldman</t>
  </si>
  <si>
    <t>Eddie Goldman</t>
  </si>
  <si>
    <t>NT</t>
  </si>
  <si>
    <t>https://static.www.nfl.com/image/upload/f_auto,q_auto/league/o0kwpqywuicbketxfbck</t>
  </si>
  <si>
    <t>00-0031554</t>
  </si>
  <si>
    <t>E.Kendricks</t>
  </si>
  <si>
    <t>Eric Kendricks</t>
  </si>
  <si>
    <t>https://static.www.nfl.com/image/upload/f_auto,q_auto/league/adc49lyuljufsfseggdc</t>
  </si>
  <si>
    <t>00-0031557</t>
  </si>
  <si>
    <t>J.Phillips</t>
  </si>
  <si>
    <t>Jordan Phillips</t>
  </si>
  <si>
    <t>https://static.www.nfl.com/image/upload/f_auto,q_auto/league/hn887nvbphkycvlkvlms</t>
  </si>
  <si>
    <t>00-0031565</t>
  </si>
  <si>
    <t>D.Hunter</t>
  </si>
  <si>
    <t>Danielle Hunter</t>
  </si>
  <si>
    <t>https://static.www.nfl.com/image/upload/f_auto,q_auto/league/z2rpuzpb0tm8r6vwnfxk</t>
  </si>
  <si>
    <t>00-0031576</t>
  </si>
  <si>
    <t>Z.Smith</t>
  </si>
  <si>
    <t>Za'Darius Smith</t>
  </si>
  <si>
    <t>https://static.www.nfl.com/image/upload/f_auto,q_auto/league/l5t51lcflhhfvxhr1sx3</t>
  </si>
  <si>
    <t>00-0031583</t>
  </si>
  <si>
    <t>G.Jarrett</t>
  </si>
  <si>
    <t>Grady Jarrett</t>
  </si>
  <si>
    <t>https://static.www.nfl.com/image/upload/f_auto,q_auto/league/znqx6ghmgepgcrsfw9gm</t>
  </si>
  <si>
    <t>00-0031588</t>
  </si>
  <si>
    <t>S.Diggs</t>
  </si>
  <si>
    <t>Stefon Diggs</t>
  </si>
  <si>
    <t>https://static.www.nfl.com/image/upload/f_auto,q_auto/league/cemcexmscsarpvwhafln</t>
  </si>
  <si>
    <t>00-0031608</t>
  </si>
  <si>
    <t>Q.Diggs</t>
  </si>
  <si>
    <t>Quandre Diggs</t>
  </si>
  <si>
    <t>https://static.www.nfl.com/image/upload/f_auto,q_auto/league/kqasx5pfmin4wrk503uf</t>
  </si>
  <si>
    <t>00-0031610</t>
  </si>
  <si>
    <t>D.Waller</t>
  </si>
  <si>
    <t>https://static.www.nfl.com/image/upload/f_auto,q_auto/league/loyehiyzcu2lexjk7plq</t>
  </si>
  <si>
    <t>00-0031622</t>
  </si>
  <si>
    <t>B.Hart</t>
  </si>
  <si>
    <t>Bobby Hart</t>
  </si>
  <si>
    <t>https://static.www.nfl.com/image/upload/f_auto,q_auto/league/eeqftbtda7o2yyop5m5s</t>
  </si>
  <si>
    <t>00-0031687</t>
  </si>
  <si>
    <t>R.Mostert</t>
  </si>
  <si>
    <t>Raheem Mostert</t>
  </si>
  <si>
    <t>https://static.www.nfl.com/image/upload/f_auto,q_auto/league/fas5rkweusx2hl7abtzh</t>
  </si>
  <si>
    <t>00-0031740</t>
  </si>
  <si>
    <t>N.Hewitt</t>
  </si>
  <si>
    <t>Neville Hewitt</t>
  </si>
  <si>
    <t>https://static.www.nfl.com/image/upload/f_auto,q_auto/league/lw2m7oyputkdykbaz0cu</t>
  </si>
  <si>
    <t>00-0031763</t>
  </si>
  <si>
    <t>D.Carter</t>
  </si>
  <si>
    <t>DeAndre Carter</t>
  </si>
  <si>
    <t>https://static.www.nfl.com/image/upload/f_auto,q_auto/league/jx4io3owliw3l5xve6ta</t>
  </si>
  <si>
    <t>00-0031898</t>
  </si>
  <si>
    <t>A.Singleton</t>
  </si>
  <si>
    <t>Alex Singleton</t>
  </si>
  <si>
    <t>https://static.www.nfl.com/image/upload/f_auto,q_auto/league/zohji3gr704zraihhqyl</t>
  </si>
  <si>
    <t>00-0031933</t>
  </si>
  <si>
    <t>L.Williams</t>
  </si>
  <si>
    <t>Leonard Williams</t>
  </si>
  <si>
    <t>https://static.www.nfl.com/image/upload/f_auto,q_auto/league/jhaogtinjeyrwbjsvbl4</t>
  </si>
  <si>
    <t>00-0031935</t>
  </si>
  <si>
    <t>P.Smith</t>
  </si>
  <si>
    <t>Preston Smith</t>
  </si>
  <si>
    <t>https://static.www.nfl.com/image/upload/f_auto,q_auto/league/etcwpdjr7xtc4gubw8gf</t>
  </si>
  <si>
    <t>00-0031957</t>
  </si>
  <si>
    <t>R.Nunez-Roches</t>
  </si>
  <si>
    <t>Rakeem Nunez-Roches</t>
  </si>
  <si>
    <t>https://static.www.nfl.com/image/upload/f_auto,q_auto/league/iugbhtbumlnt3nb8wqmi</t>
  </si>
  <si>
    <t>00-0032052</t>
  </si>
  <si>
    <t>D.Fowler</t>
  </si>
  <si>
    <t>Dante Fowler Jr.</t>
  </si>
  <si>
    <t>https://static.www.nfl.com/image/upload/f_auto,q_auto/league/tuvfudn3repds06zb5hi</t>
  </si>
  <si>
    <t>00-0032065</t>
  </si>
  <si>
    <t>B.Pinion</t>
  </si>
  <si>
    <t>Bradley Pinion</t>
  </si>
  <si>
    <t>https://static.www.nfl.com/image/upload/f_auto,q_auto/league/g6zs1z59umevxxtqc35z</t>
  </si>
  <si>
    <t>00-0032071</t>
  </si>
  <si>
    <t>T.Brown</t>
  </si>
  <si>
    <t>Trent Brown</t>
  </si>
  <si>
    <t>https://static.www.nfl.com/image/upload/f_auto,q_auto/league/r0l3rruzqunyqlt0lrzm</t>
  </si>
  <si>
    <t>00-0032103</t>
  </si>
  <si>
    <t>D.Perryman</t>
  </si>
  <si>
    <t>Denzel Perryman</t>
  </si>
  <si>
    <t>https://static.www.nfl.com/image/upload/f_auto,q_auto/league/fqxyjc6skhaprcaiknpj</t>
  </si>
  <si>
    <t>00-0032104</t>
  </si>
  <si>
    <t>A.Abdullah</t>
  </si>
  <si>
    <t>Ameer Abdullah</t>
  </si>
  <si>
    <t>https://static.www.nfl.com/image/upload/f_auto,q_auto/league/jvkgnlj5fn16mnmdyr4i</t>
  </si>
  <si>
    <t>00-0032146</t>
  </si>
  <si>
    <t>B.Dupree</t>
  </si>
  <si>
    <t>Bud Dupree</t>
  </si>
  <si>
    <t>https://static.www.nfl.com/image/upload/f_auto,q_auto/league/unn7gcyciu20lmm1bvpn</t>
  </si>
  <si>
    <t>00-0032164</t>
  </si>
  <si>
    <t>A.Armstead</t>
  </si>
  <si>
    <t>Arik Armstead</t>
  </si>
  <si>
    <t>https://static.www.nfl.com/image/upload/f_auto,q_auto/league/z6e5xcslnlyaz2egeke3</t>
  </si>
  <si>
    <t>00-0032203</t>
  </si>
  <si>
    <t>A.Peat</t>
  </si>
  <si>
    <t>Andrus Peat</t>
  </si>
  <si>
    <t>https://static.www.nfl.com/image/upload/f_auto,q_auto/league/wlkqieesn85nhevcqcqe</t>
  </si>
  <si>
    <t>00-0032211</t>
  </si>
  <si>
    <t>T.Lockett</t>
  </si>
  <si>
    <t>Tyler Lockett</t>
  </si>
  <si>
    <t>https://static.www.nfl.com/image/upload/f_auto,q_auto/league/gyhvviyep9iigeaobxmi</t>
  </si>
  <si>
    <t>00-0032222</t>
  </si>
  <si>
    <t>D.Humphries</t>
  </si>
  <si>
    <t>D.J. Humphries</t>
  </si>
  <si>
    <t>https://static.www.nfl.com/image/upload/f_auto,q_auto/league/ruiab6fqdaerscb2qnkz</t>
  </si>
  <si>
    <t>00-0032228</t>
  </si>
  <si>
    <t>J.Cardona</t>
  </si>
  <si>
    <t>Joe Cardona</t>
  </si>
  <si>
    <t>https://static.www.nfl.com/image/upload/f_auto,q_auto/league/cs3qvfnrrxiubflqqw2i</t>
  </si>
  <si>
    <t>00-0032234</t>
  </si>
  <si>
    <t>L.Tomlinson</t>
  </si>
  <si>
    <t>Laken Tomlinson</t>
  </si>
  <si>
    <t>https://static.www.nfl.com/image/upload/f_auto,q_auto/league/thhrfc9q38r0m1qvfctv</t>
  </si>
  <si>
    <t>00-0032242</t>
  </si>
  <si>
    <t>R.Havenstein</t>
  </si>
  <si>
    <t>Rob Havenstein</t>
  </si>
  <si>
    <t>https://static.www.nfl.com/image/upload/f_auto,q_auto/league/cqsicmerjhzvzpnz77fz</t>
  </si>
  <si>
    <t>00-0032265</t>
  </si>
  <si>
    <t>M.Edwards</t>
  </si>
  <si>
    <t>Mario Edwards</t>
  </si>
  <si>
    <t>https://static.www.nfl.com/image/upload/f_auto,q_auto/league/cia50revbealvw5biusr</t>
  </si>
  <si>
    <t>00-0032268</t>
  </si>
  <si>
    <t>M.Mariota</t>
  </si>
  <si>
    <t>Marcus Mariota</t>
  </si>
  <si>
    <t>https://static.www.nfl.com/image/upload/f_auto,q_auto/league/b9ribxqudeehvmjlw0va</t>
  </si>
  <si>
    <t>00-0032378</t>
  </si>
  <si>
    <t>D.Buckner</t>
  </si>
  <si>
    <t>DeForest Buckner</t>
  </si>
  <si>
    <t>https://static.www.nfl.com/image/upload/f_auto,q_auto/league/mtyogyexnz2ik3fbs3am</t>
  </si>
  <si>
    <t>00-0032379</t>
  </si>
  <si>
    <t>E.Apple</t>
  </si>
  <si>
    <t>Eli Apple</t>
  </si>
  <si>
    <t>https://static.www.nfl.com/image/upload/f_auto,q_auto/league/szrv0msliekcbdfulpzb</t>
  </si>
  <si>
    <t>00-0032380</t>
  </si>
  <si>
    <t>L.Tunsil</t>
  </si>
  <si>
    <t>Laremy Tunsil</t>
  </si>
  <si>
    <t>https://static.www.nfl.com/image/upload/f_auto,q_auto/league/ewy0qnfl6956hfatqszj</t>
  </si>
  <si>
    <t>00-0032381</t>
  </si>
  <si>
    <t>T.Decker</t>
  </si>
  <si>
    <t>Taylor Decker</t>
  </si>
  <si>
    <t>https://static.www.nfl.com/image/upload/f_auto,q_auto/league/j0gbwayifwek9ggoraqm</t>
  </si>
  <si>
    <t>00-0032383</t>
  </si>
  <si>
    <t>R.Kelly</t>
  </si>
  <si>
    <t>Ryan Kelly</t>
  </si>
  <si>
    <t>C</t>
  </si>
  <si>
    <t>https://static.www.nfl.com/image/upload/f_auto,q_auto/league/owzvmhrfz5lfh2rcalxd</t>
  </si>
  <si>
    <t>00-0032385</t>
  </si>
  <si>
    <t>S.Shepard</t>
  </si>
  <si>
    <t>https://static.www.nfl.com/image/upload/f_auto,q_auto/league/l47czwi8aaznnit0se5h</t>
  </si>
  <si>
    <t>00-0032387</t>
  </si>
  <si>
    <t>J.Reed</t>
  </si>
  <si>
    <t>Jarran Reed</t>
  </si>
  <si>
    <t>https://static.www.nfl.com/image/upload/f_auto,q_auto/league/td7umxhgwkswls8rutk0</t>
  </si>
  <si>
    <t>00-0032388</t>
  </si>
  <si>
    <t>Deion Jones</t>
  </si>
  <si>
    <t>https://static.www.nfl.com/image/upload/f_auto,q_auto/league/fpmevebnsvfm07e7xhcu</t>
  </si>
  <si>
    <t>00-0032391</t>
  </si>
  <si>
    <t>J.Thuney</t>
  </si>
  <si>
    <t>Joe Thuney</t>
  </si>
  <si>
    <t>https://static.www.nfl.com/image/upload/f_auto,q_auto/league/fstgjypwv8bcpfaae5mi</t>
  </si>
  <si>
    <t>00-0032392</t>
  </si>
  <si>
    <t>A.Hooper</t>
  </si>
  <si>
    <t>https://static.www.nfl.com/image/upload/f_auto,q_auto/league/gfvav2gybtr174ckovpk</t>
  </si>
  <si>
    <t>00-0032395</t>
  </si>
  <si>
    <t>G.Glasgow</t>
  </si>
  <si>
    <t>Graham Glasgow</t>
  </si>
  <si>
    <t>https://static.www.nfl.com/image/upload/f_auto,q_auto/league/mgmeks8iieefdbtk2zob</t>
  </si>
  <si>
    <t>00-0032398</t>
  </si>
  <si>
    <t>C.Moore</t>
  </si>
  <si>
    <t>https://static.www.nfl.com/image/upload/f_auto,q_auto/league/o0s29hnpztyxqotqdx8h</t>
  </si>
  <si>
    <t>00-0032399</t>
  </si>
  <si>
    <t>M.Killebrew</t>
  </si>
  <si>
    <t>Miles Killebrew</t>
  </si>
  <si>
    <t>SAF</t>
  </si>
  <si>
    <t>https://static.www.nfl.com/image/upload/f_auto,q_auto/league/f9p5bqqqb38i6kgvqzms</t>
  </si>
  <si>
    <t>00-0032415</t>
  </si>
  <si>
    <t>M.Judon</t>
  </si>
  <si>
    <t>Matthew Judon</t>
  </si>
  <si>
    <t>https://static.www.nfl.com/image/upload/f_auto,q_auto/league/xio1oo9c8qwfrouppuvk</t>
  </si>
  <si>
    <t>00-0032424</t>
  </si>
  <si>
    <t>D.Reader</t>
  </si>
  <si>
    <t>DJ Reader</t>
  </si>
  <si>
    <t>https://static.www.nfl.com/image/upload/f_auto,q_auto/league/gbbbyrh2pgibo9w8ahd6</t>
  </si>
  <si>
    <t>00-0032434</t>
  </si>
  <si>
    <t>B.Allen</t>
  </si>
  <si>
    <t>Brandon Allen</t>
  </si>
  <si>
    <t>https://static.www.nfl.com/image/upload/f_auto,q_auto/league/cz7oluypd7ahkdrr8net</t>
  </si>
  <si>
    <t>00-0032442</t>
  </si>
  <si>
    <t>E.Roberts</t>
  </si>
  <si>
    <t>Elandon Roberts</t>
  </si>
  <si>
    <t>https://static.www.nfl.com/image/upload/f_auto,q_auto/league/niydmsknfdiu1zyivwso</t>
  </si>
  <si>
    <t>00-0032445</t>
  </si>
  <si>
    <t>T.Karras</t>
  </si>
  <si>
    <t>Ted Karras</t>
  </si>
  <si>
    <t>https://static.www.nfl.com/image/upload/f_auto,q_auto/league/trz2xsxziqel2nertm1g</t>
  </si>
  <si>
    <t>00-0032464</t>
  </si>
  <si>
    <t>K.Raymond</t>
  </si>
  <si>
    <t>https://static.www.nfl.com/image/upload/f_auto,q_auto/league/e5z8bskwg89hqtsjwwgj</t>
  </si>
  <si>
    <t>00-0032497</t>
  </si>
  <si>
    <t>R.Ferguson</t>
  </si>
  <si>
    <t>Reid Ferguson</t>
  </si>
  <si>
    <t>https://static.www.nfl.com/image/upload/f_auto,q_auto/league/tarla9ric6f8tijjqrkz</t>
  </si>
  <si>
    <t>00-0032521</t>
  </si>
  <si>
    <t>M.Hilton</t>
  </si>
  <si>
    <t>Mike Hilton</t>
  </si>
  <si>
    <t>https://static.www.nfl.com/image/upload/f_auto,q_auto/league/uippdcskzxubvfqoqxlo</t>
  </si>
  <si>
    <t>00-0032569</t>
  </si>
  <si>
    <t>W.Lutz</t>
  </si>
  <si>
    <t>Wil Lutz</t>
  </si>
  <si>
    <t>https://static.www.nfl.com/image/upload/f_auto,q_auto/league/lcfurzhyjudmrwjxkgfs</t>
  </si>
  <si>
    <t>39;33;42;26;55;36;57;27;39;42;34;32;29;24;38;54;35;33;33;23;54;21;27;30;24;26;41;23</t>
  </si>
  <si>
    <t>42;59;44</t>
  </si>
  <si>
    <t>39;34;35</t>
  </si>
  <si>
    <t>00-0032580</t>
  </si>
  <si>
    <t>J.Jones</t>
  </si>
  <si>
    <t>Jonathan Jones</t>
  </si>
  <si>
    <t>https://static.www.nfl.com/image/upload/f_auto,q_auto/league/shh2jg4hjsp0xwlnchv1</t>
  </si>
  <si>
    <t>00-0032667</t>
  </si>
  <si>
    <t>R.Robertson-Harris</t>
  </si>
  <si>
    <t>Roy Robertson-Harris</t>
  </si>
  <si>
    <t>https://static.www.nfl.com/image/upload/f_auto,q_auto/league/lu3nlgnkltamn4jtdbtg</t>
  </si>
  <si>
    <t>00-0032688</t>
  </si>
  <si>
    <t>R.Chosen</t>
  </si>
  <si>
    <t>Robbie Chosen</t>
  </si>
  <si>
    <t>https://static.www.nfl.com/image/upload/f_auto,q_auto/league/kz2hbymqgrobo1uynciv</t>
  </si>
  <si>
    <t>00-0032701</t>
  </si>
  <si>
    <t>J.Brendel</t>
  </si>
  <si>
    <t>Jake Brendel</t>
  </si>
  <si>
    <t>https://static.www.nfl.com/image/upload/f_auto,q_auto/league/fw1g79qwk1gbhmdjvhfv</t>
  </si>
  <si>
    <t>00-0032726</t>
  </si>
  <si>
    <t>K.Fairbairn</t>
  </si>
  <si>
    <t>Ka'imi Fairbairn</t>
  </si>
  <si>
    <t>https://static.www.nfl.com/image/upload/f_auto,q_auto/league/nbrs7doetqydf2rzhjjl</t>
  </si>
  <si>
    <t>51;45;53;35;53;27;47;43;50;57;34;36;46;33;34;37;30;23;41;38;40;41;24;43;26;23;43;35;28;30;55;22;33;55;50;49;41;44;51;48;29;43;44;43</t>
  </si>
  <si>
    <t>52;54;51</t>
  </si>
  <si>
    <t>00-0032753</t>
  </si>
  <si>
    <t>L.Rhodes</t>
  </si>
  <si>
    <t>Luke Rhodes</t>
  </si>
  <si>
    <t>https://static.www.nfl.com/image/upload/f_auto,q_auto/league/q0ip1kc9iwwveiuefq1x</t>
  </si>
  <si>
    <t>00-0032759</t>
  </si>
  <si>
    <t>S.Rankins</t>
  </si>
  <si>
    <t>Sheldon Rankins</t>
  </si>
  <si>
    <t>https://static.www.nfl.com/image/upload/f_auto,q_auto/league/ec78oc2cpukwczkzhyrw</t>
  </si>
  <si>
    <t>00-0032762</t>
  </si>
  <si>
    <t>C.Jones</t>
  </si>
  <si>
    <t>Chris Jones</t>
  </si>
  <si>
    <t>https://static.www.nfl.com/image/upload/f_auto,q_auto/league/yrka1thykkvkfo4ixrxc</t>
  </si>
  <si>
    <t>00-0032763</t>
  </si>
  <si>
    <t>Au.Johnson</t>
  </si>
  <si>
    <t>Austin Johnson</t>
  </si>
  <si>
    <t>https://static.www.nfl.com/image/upload/f_auto,q_auto/league/wmwnpt1s8wxxztkkqd0z</t>
  </si>
  <si>
    <t>00-0032764</t>
  </si>
  <si>
    <t>D.Henry</t>
  </si>
  <si>
    <t>https://static.www.nfl.com/image/upload/f_auto,q_auto/league/jxtikemnvpkw9r0ex2wv</t>
  </si>
  <si>
    <t>00-0032775</t>
  </si>
  <si>
    <t>D.Robinson</t>
  </si>
  <si>
    <t>https://static.www.nfl.com/image/upload/f_auto,q_auto/league/aynbxqjpwz1vhpxbxvv8</t>
  </si>
  <si>
    <t>00-0032803</t>
  </si>
  <si>
    <t>J.Mills</t>
  </si>
  <si>
    <t>Jalen Mills</t>
  </si>
  <si>
    <t>https://static.www.nfl.com/image/upload/f_auto,q_auto/league/yc4745ngoppgf1syjghl</t>
  </si>
  <si>
    <t>00-0032889</t>
  </si>
  <si>
    <t>A.Robinson</t>
  </si>
  <si>
    <t>A'Shawn Robinson</t>
  </si>
  <si>
    <t>https://static.www.nfl.com/image/upload/f_auto,q_auto/league/o2si1evbe2wsnwyrypjj</t>
  </si>
  <si>
    <t>00-0032918</t>
  </si>
  <si>
    <t>C.Ham</t>
  </si>
  <si>
    <t>C.J. Ham</t>
  </si>
  <si>
    <t>https://static.www.nfl.com/image/upload/f_auto,q_auto/league/evssvutwjy6szq7dpelm</t>
  </si>
  <si>
    <t>00-0032933</t>
  </si>
  <si>
    <t>A.Hamilton</t>
  </si>
  <si>
    <t>Antonio Hamilton</t>
  </si>
  <si>
    <t>https://static.www.nfl.com/image/upload/f_auto,q_auto/league/ezqh9yn3k2gnriphk8q8</t>
  </si>
  <si>
    <t>00-0032943</t>
  </si>
  <si>
    <t>R.Dixon</t>
  </si>
  <si>
    <t>Riley Dixon</t>
  </si>
  <si>
    <t>https://static.www.nfl.com/image/upload/f_auto,q_auto/league/nkjfawzgxosjvjesf1ad</t>
  </si>
  <si>
    <t>00-0032950</t>
  </si>
  <si>
    <t>C.Wentz</t>
  </si>
  <si>
    <t>Carson Wentz</t>
  </si>
  <si>
    <t>https://static.www.nfl.com/image/upload/f_auto,q_auto/league/ot6wu9gw3cgcdb2cx6is</t>
  </si>
  <si>
    <t>00-0032951</t>
  </si>
  <si>
    <t>L.Treadwell</t>
  </si>
  <si>
    <t>https://static.www.nfl.com/image/upload/f_auto,q_auto/league/b6hu3zlkauy5tcrseyv2</t>
  </si>
  <si>
    <t>00-0032965</t>
  </si>
  <si>
    <t>R.Stanley</t>
  </si>
  <si>
    <t>Ronnie Stanley</t>
  </si>
  <si>
    <t>https://static.www.nfl.com/image/upload/f_auto,q_auto/league/j91t0jvkrdhfmeoeeryr</t>
  </si>
  <si>
    <t>00-0033010</t>
  </si>
  <si>
    <t>S.Day</t>
  </si>
  <si>
    <t>Sheldon Day</t>
  </si>
  <si>
    <t>https://static.www.nfl.com/image/upload/f_auto,q_auto/league/cxw7fnka7letqbn7e1h3</t>
  </si>
  <si>
    <t>00-0033038</t>
  </si>
  <si>
    <t>E.Murray</t>
  </si>
  <si>
    <t>Eric Murray</t>
  </si>
  <si>
    <t>https://static.www.nfl.com/image/upload/f_auto,q_auto/league/owvt87ldq6ygpyq7ub4h</t>
  </si>
  <si>
    <t>00-0033040</t>
  </si>
  <si>
    <t>T.Hill</t>
  </si>
  <si>
    <t>Tyreek Hill</t>
  </si>
  <si>
    <t>https://static.www.nfl.com/image/upload/f_auto,q_auto/league/gg73gnfivrn80oyqwazl</t>
  </si>
  <si>
    <t>00-0033046</t>
  </si>
  <si>
    <t>J.Ward</t>
  </si>
  <si>
    <t>Jihad Ward</t>
  </si>
  <si>
    <t>https://static.www.nfl.com/image/upload/f_auto,q_auto/league/btmkbywpoicg8fcgvfhc</t>
  </si>
  <si>
    <t>00-0033050</t>
  </si>
  <si>
    <t>X.Howard</t>
  </si>
  <si>
    <t>Xavien Howard</t>
  </si>
  <si>
    <t>https://static.www.nfl.com/image/upload/f_auto,q_auto/league/jbebiqcxa5rrf9ihaxkp</t>
  </si>
  <si>
    <t>00-0033051</t>
  </si>
  <si>
    <t>D.Onyemata</t>
  </si>
  <si>
    <t>David Onyemata</t>
  </si>
  <si>
    <t>https://static.www.nfl.com/image/upload/f_auto,q_auto/league/zzqx9ig8ltlva2uo0cgd</t>
  </si>
  <si>
    <t>00-0033055</t>
  </si>
  <si>
    <t>J.Ramsey</t>
  </si>
  <si>
    <t>Jalen Ramsey</t>
  </si>
  <si>
    <t>https://static.www.nfl.com/image/upload/f_auto,q_auto/league/pjozgun3xstol72jfoow</t>
  </si>
  <si>
    <t>00-0033057</t>
  </si>
  <si>
    <t>J.Conklin</t>
  </si>
  <si>
    <t>Jack Conklin</t>
  </si>
  <si>
    <t>https://static.www.nfl.com/image/upload/f_auto,q_auto/league/n8bh3p91qk6myrjqmast</t>
  </si>
  <si>
    <t>00-0033063</t>
  </si>
  <si>
    <t>Z.Wood</t>
  </si>
  <si>
    <t>Zach Wood</t>
  </si>
  <si>
    <t>https://static.www.nfl.com/image/upload/f_auto,q_auto/league/vldx7g9vu0boohxmhs48</t>
  </si>
  <si>
    <t>00-0033064</t>
  </si>
  <si>
    <t>A.Gotsis</t>
  </si>
  <si>
    <t>Adam Gotsis</t>
  </si>
  <si>
    <t>https://static.www.nfl.com/image/upload/f_auto,q_auto/league/vos0byevm4wxvjrb6pd7</t>
  </si>
  <si>
    <t>00-0033066</t>
  </si>
  <si>
    <t>A.Billings</t>
  </si>
  <si>
    <t>Andrew Billings</t>
  </si>
  <si>
    <t>https://static.www.nfl.com/image/upload/f_auto,q_auto/league/rfxthtnhruxgqnofnuzg</t>
  </si>
  <si>
    <t>00-0033072</t>
  </si>
  <si>
    <t>L.Floyd</t>
  </si>
  <si>
    <t>Leonard Floyd</t>
  </si>
  <si>
    <t>https://static.www.nfl.com/image/upload/f_auto,q_auto/league/hmojdd6skft3sfhs59ma</t>
  </si>
  <si>
    <t>00-0033073</t>
  </si>
  <si>
    <t>E.Ogbah</t>
  </si>
  <si>
    <t>Emmanuel Ogbah</t>
  </si>
  <si>
    <t>https://static.www.nfl.com/image/upload/f_auto,q_auto/league/uaj08gf9lrokgxgrbgcn</t>
  </si>
  <si>
    <t>00-0033077</t>
  </si>
  <si>
    <t>D.Prescott</t>
  </si>
  <si>
    <t>Dak Prescott</t>
  </si>
  <si>
    <t>https://static.www.nfl.com/image/upload/f_auto,q_auto/league/blixemm3s9sa4gmqk5yn</t>
  </si>
  <si>
    <t>00-0033090</t>
  </si>
  <si>
    <t>H.Henry</t>
  </si>
  <si>
    <t>https://static.www.nfl.com/image/upload/f_auto,q_auto/league/l0fsrutz9fwbohx10lcf</t>
  </si>
  <si>
    <t>00-0033093</t>
  </si>
  <si>
    <t>J.Bullard</t>
  </si>
  <si>
    <t>Jonathan Bullard</t>
  </si>
  <si>
    <t>https://static.www.nfl.com/image/upload/f_auto,q_auto/league/z0iwn1oavvemgjupnkep</t>
  </si>
  <si>
    <t>00-0033106</t>
  </si>
  <si>
    <t>J.Goff</t>
  </si>
  <si>
    <t>Jared Goff</t>
  </si>
  <si>
    <t>https://static.www.nfl.com/image/upload/f_auto,q_auto/league/yggfwr4ak4po9byj0qor</t>
  </si>
  <si>
    <t>00-0033109</t>
  </si>
  <si>
    <t>J.Hargrave</t>
  </si>
  <si>
    <t>Javon Hargrave</t>
  </si>
  <si>
    <t>https://static.www.nfl.com/image/upload/f_auto,q_auto/league/ql5febs5kjgtrpj555ex</t>
  </si>
  <si>
    <t>00-0033110</t>
  </si>
  <si>
    <t>T.Higbee</t>
  </si>
  <si>
    <t>https://static.www.nfl.com/image/upload/f_auto,q_auto/league/x1d4osiefibd04df6gow</t>
  </si>
  <si>
    <t>00-0033119</t>
  </si>
  <si>
    <t>J.Brissett</t>
  </si>
  <si>
    <t>Jacoby Brissett</t>
  </si>
  <si>
    <t>https://static.www.nfl.com/image/upload/f_auto,q_auto/league/rdxowm5dvpbb8p3aazbc</t>
  </si>
  <si>
    <t>00-0033120</t>
  </si>
  <si>
    <t>K.Clark</t>
  </si>
  <si>
    <t>Kenny Clark</t>
  </si>
  <si>
    <t>https://static.www.nfl.com/image/upload/f_auto,q_auto/league/ydhhuuqdppcs8vzi6v7d</t>
  </si>
  <si>
    <t>00-0033131</t>
  </si>
  <si>
    <t>M.Collins</t>
  </si>
  <si>
    <t>Maliek Collins</t>
  </si>
  <si>
    <t>https://static.www.nfl.com/image/upload/f_auto,q_auto/league/tjyv74ytq62fprrfnjrv</t>
  </si>
  <si>
    <t>00-0033132</t>
  </si>
  <si>
    <t>K.Byard</t>
  </si>
  <si>
    <t>Kevin Byard</t>
  </si>
  <si>
    <t>https://static.www.nfl.com/image/upload/f_auto,q_auto/league/ymu0jcrm7clsyhhvmcki</t>
  </si>
  <si>
    <t>00-0033156</t>
  </si>
  <si>
    <t>J.Bosa</t>
  </si>
  <si>
    <t>Joey Bosa</t>
  </si>
  <si>
    <t>https://static.www.nfl.com/image/upload/f_auto,q_auto/league/soo7a4n5mxia4iky4so8</t>
  </si>
  <si>
    <t>00-0033217</t>
  </si>
  <si>
    <t>M.Alie-Cox</t>
  </si>
  <si>
    <t>https://static.www.nfl.com/image/upload/f_auto,q_auto/league/qss1euhktuj7qje9heoi</t>
  </si>
  <si>
    <t>00-0033246</t>
  </si>
  <si>
    <t>J.Mundt</t>
  </si>
  <si>
    <t>https://static.www.nfl.com/image/upload/f_auto,q_auto/league/dnvrns7mliks2ptijfo0</t>
  </si>
  <si>
    <t>00-0033260</t>
  </si>
  <si>
    <t>T.Hennessy</t>
  </si>
  <si>
    <t>Thomas Hennessy</t>
  </si>
  <si>
    <t>https://static.www.nfl.com/image/upload/f_auto,q_auto/league/dzwef96yf2ovfdcppbmo</t>
  </si>
  <si>
    <t>00-0033269</t>
  </si>
  <si>
    <t>R.Sanchez</t>
  </si>
  <si>
    <t>Rigoberto Sanchez</t>
  </si>
  <si>
    <t>https://static.www.nfl.com/image/upload/f_auto,q_auto/league/io2gctkkefyopm7m7mnj</t>
  </si>
  <si>
    <t>00-0033280</t>
  </si>
  <si>
    <t>C.McCaffrey</t>
  </si>
  <si>
    <t>https://static.www.nfl.com/image/upload/f_auto,q_auto/league/resjdwihunsqckohcorj</t>
  </si>
  <si>
    <t>00-0033281</t>
  </si>
  <si>
    <t>M.Humphrey</t>
  </si>
  <si>
    <t>Marlon Humphrey</t>
  </si>
  <si>
    <t>https://static.www.nfl.com/image/upload/f_auto,q_auto/league/zru6ellib9fzob6zq5c3</t>
  </si>
  <si>
    <t>00-0033282</t>
  </si>
  <si>
    <t>C.Samuel</t>
  </si>
  <si>
    <t>Curtis Samuel</t>
  </si>
  <si>
    <t>https://static.www.nfl.com/image/upload/f_auto,q_auto/league/vyibrxegz375ntjby5zs</t>
  </si>
  <si>
    <t>00-0033284</t>
  </si>
  <si>
    <t>T.Moton</t>
  </si>
  <si>
    <t>Taylor Moton</t>
  </si>
  <si>
    <t>https://static.www.nfl.com/image/upload/f_auto,q_auto/league/sfwnn5fqfzp64p0zkwkl</t>
  </si>
  <si>
    <t>00-0033288</t>
  </si>
  <si>
    <t>G.Kittle</t>
  </si>
  <si>
    <t>https://static.www.nfl.com/image/upload/f_auto,q_auto/league/ztz3xqjaqgok9m4nylgs</t>
  </si>
  <si>
    <t>00-0033290</t>
  </si>
  <si>
    <t>J.Eluemunor</t>
  </si>
  <si>
    <t>Jermaine Eluemunor</t>
  </si>
  <si>
    <t>https://static.www.nfl.com/image/upload/f_auto,q_auto/league/xqlquhcisz9ykfedvele</t>
  </si>
  <si>
    <t>00-0033293</t>
  </si>
  <si>
    <t>A.Jones</t>
  </si>
  <si>
    <t>Aaron Jones</t>
  </si>
  <si>
    <t>https://static.www.nfl.com/image/upload/f_auto,q_auto/league/bktkfvgfwujkdbzkcfim</t>
  </si>
  <si>
    <t>00-0033294</t>
  </si>
  <si>
    <t>C.Clark</t>
  </si>
  <si>
    <t>Chuck Clark</t>
  </si>
  <si>
    <t>https://static.www.nfl.com/image/upload/f_auto,q_auto/league/yv3fcxrrkt1c0tavgpq7</t>
  </si>
  <si>
    <t>00-0033297</t>
  </si>
  <si>
    <t>D.J. Jones</t>
  </si>
  <si>
    <t>https://static.www.nfl.com/image/upload/f_auto,q_auto/league/ft4g8bxpn85mshqvp4lj</t>
  </si>
  <si>
    <t>00-0033303</t>
  </si>
  <si>
    <t>H.Butker</t>
  </si>
  <si>
    <t>Harrison Butker</t>
  </si>
  <si>
    <t>https://static.www.nfl.com/image/upload/f_auto,q_auto/league/ove4pmnrtqtuyta6rrlc</t>
  </si>
  <si>
    <t>35;59;27;56;54;48;28;38;23;31;33;38;46;19;31;31;28;48;22;25;27;36;27;47;54;41;27;53;47;36;40;47;41</t>
  </si>
  <si>
    <t>58;40;56;43;51</t>
  </si>
  <si>
    <t>00-0033307</t>
  </si>
  <si>
    <t>K.Bourne</t>
  </si>
  <si>
    <t>https://static.www.nfl.com/image/upload/f_auto,q_auto/league/rroh157jvpywprbfn3vx</t>
  </si>
  <si>
    <t>00-0033319</t>
  </si>
  <si>
    <t>N.Mullens</t>
  </si>
  <si>
    <t>Nick Mullens</t>
  </si>
  <si>
    <t>https://static.www.nfl.com/image/upload/f_auto,q_auto/league/xrpcaavzkqoq1ybqthgm</t>
  </si>
  <si>
    <t>00-0033336</t>
  </si>
  <si>
    <t>E.Wilson</t>
  </si>
  <si>
    <t>Eric Wilson</t>
  </si>
  <si>
    <t>https://static.www.nfl.com/image/upload/f_auto,q_auto/league/ita0jmgsuikjagrpuqqb</t>
  </si>
  <si>
    <t>00-0033347</t>
  </si>
  <si>
    <t>J.Tupou</t>
  </si>
  <si>
    <t>Josh Tupou</t>
  </si>
  <si>
    <t>https://static.www.nfl.com/image/upload/f_auto,q_auto/league/l2qbcwd7xkczaf4yibdf</t>
  </si>
  <si>
    <t>00-0033357</t>
  </si>
  <si>
    <t>Taysom Hill</t>
  </si>
  <si>
    <t>https://static.www.nfl.com/image/upload/f_auto,q_auto/league/q8itjlocg5do60qat4l3</t>
  </si>
  <si>
    <t>00-0033375</t>
  </si>
  <si>
    <t>T.Patrick</t>
  </si>
  <si>
    <t>Tim Patrick</t>
  </si>
  <si>
    <t>https://static.www.nfl.com/image/upload/f_auto,q_auto/league/ovltsc9sdoo5e62fpa9b</t>
  </si>
  <si>
    <t>00-0033376</t>
  </si>
  <si>
    <t>P.Ricard</t>
  </si>
  <si>
    <t>Patrick Ricard</t>
  </si>
  <si>
    <t>https://static.www.nfl.com/image/upload/f_auto,q_auto/league/l5nzsaigpp87jl5h5mtc</t>
  </si>
  <si>
    <t>00-0033381</t>
  </si>
  <si>
    <t>A.Butler</t>
  </si>
  <si>
    <t>Adam Butler</t>
  </si>
  <si>
    <t>https://static.www.nfl.com/image/upload/f_auto,q_auto/league/t9cxogz67nugvjyqif73</t>
  </si>
  <si>
    <t>00-0033393</t>
  </si>
  <si>
    <t>K.Moore</t>
  </si>
  <si>
    <t>Kenny Moore II</t>
  </si>
  <si>
    <t>https://static.www.nfl.com/image/private/f_auto,q_auto/league/ji3hdoi86xonnhxlr6gl</t>
  </si>
  <si>
    <t>00-0033400</t>
  </si>
  <si>
    <t>M.Haack</t>
  </si>
  <si>
    <t>Matt Haack</t>
  </si>
  <si>
    <t>https://static.www.nfl.com/image/upload/f_auto,q_auto/league/q0pk8i0ehgn4bccwbmme</t>
  </si>
  <si>
    <t>00-0033439</t>
  </si>
  <si>
    <t>P.Brown</t>
  </si>
  <si>
    <t>Pharaoh Brown</t>
  </si>
  <si>
    <t>https://static.www.nfl.com/image/upload/f_auto,q_auto/league/hfgg6gr7aiyzmdzh4iww</t>
  </si>
  <si>
    <t>00-0033455</t>
  </si>
  <si>
    <t>A.Firkser</t>
  </si>
  <si>
    <t>Anthony Firkser</t>
  </si>
  <si>
    <t>https://static.www.nfl.com/image/upload/f_auto,q_auto/league/rpbs9wsnuhu9tgipzwuv</t>
  </si>
  <si>
    <t>00-0033463</t>
  </si>
  <si>
    <t>C.Lawson</t>
  </si>
  <si>
    <t>Carl Lawson</t>
  </si>
  <si>
    <t>https://static.www.nfl.com/image/upload/f_auto,q_auto/league/fv6hftu35bcjuenhupde</t>
  </si>
  <si>
    <t>00-0033503</t>
  </si>
  <si>
    <t>A.Maulet</t>
  </si>
  <si>
    <t>Arthur Maulet</t>
  </si>
  <si>
    <t>https://static.www.nfl.com/image/upload/f_auto,q_auto/league/aubd7y8fpt8tdx3tci9t</t>
  </si>
  <si>
    <t>00-0033523</t>
  </si>
  <si>
    <t>J.Allen</t>
  </si>
  <si>
    <t>Jonathan Allen</t>
  </si>
  <si>
    <t>https://static.www.nfl.com/image/upload/f_auto,q_auto/league/pri0osdjdsziyqrd14ar</t>
  </si>
  <si>
    <t>00-0033526</t>
  </si>
  <si>
    <t>S.Perine</t>
  </si>
  <si>
    <t>https://static.www.nfl.com/image/upload/f_auto,q_auto/league/ur3jv6biq0pefkrgpzty</t>
  </si>
  <si>
    <t>00-0033538</t>
  </si>
  <si>
    <t>G.Bolles</t>
  </si>
  <si>
    <t>Garett Bolles</t>
  </si>
  <si>
    <t>https://static.www.nfl.com/image/upload/f_auto,q_auto/league/dpgttf9sbcrvmqvohqtn</t>
  </si>
  <si>
    <t>00-0033546</t>
  </si>
  <si>
    <t>D.Tomlinson</t>
  </si>
  <si>
    <t>Dalvin Tomlinson</t>
  </si>
  <si>
    <t>https://static.www.nfl.com/image/upload/f_auto,q_auto/league/al9wtdcyop0h56lby8ba</t>
  </si>
  <si>
    <t>00-0033547</t>
  </si>
  <si>
    <t>Z.Cunningham</t>
  </si>
  <si>
    <t>Zach Cunningham</t>
  </si>
  <si>
    <t>ILB</t>
  </si>
  <si>
    <t>https://static.www.nfl.com/image/upload/f_auto,q_auto/league/gxugy1m0xlxbyk8dv5rr</t>
  </si>
  <si>
    <t>00-0033548</t>
  </si>
  <si>
    <t>C.Awuzie</t>
  </si>
  <si>
    <t>Chidobe Awuzie</t>
  </si>
  <si>
    <t>https://static.www.nfl.com/image/upload/f_auto,q_auto/league/qmjzimecbg4ftseg8myr</t>
  </si>
  <si>
    <t>00-0033551</t>
  </si>
  <si>
    <t>R.Douglas</t>
  </si>
  <si>
    <t>Rasul Douglas</t>
  </si>
  <si>
    <t>https://static.www.nfl.com/image/upload/f_auto,q_auto/league/f2ac9dmdbhc6rvgllcbt</t>
  </si>
  <si>
    <t>00-0033553</t>
  </si>
  <si>
    <t>J.Conner</t>
  </si>
  <si>
    <t>https://static.www.nfl.com/image/upload/f_auto,q_auto/league/g5yjordcmt76j0saytzb</t>
  </si>
  <si>
    <t>00-0033555</t>
  </si>
  <si>
    <t>M.Hollins</t>
  </si>
  <si>
    <t>https://static.www.nfl.com/image/upload/f_auto,q_auto/league/qbz7whjzsittudcecezw</t>
  </si>
  <si>
    <t>00-0033557</t>
  </si>
  <si>
    <t>J.Reeves-Maybin</t>
  </si>
  <si>
    <t>Jalen Reeves-Maybin</t>
  </si>
  <si>
    <t>https://static.www.nfl.com/image/upload/f_auto,q_auto/league/oczccxuvy4ltvjy4fhmu</t>
  </si>
  <si>
    <t>00-0033571</t>
  </si>
  <si>
    <t>M.Milano</t>
  </si>
  <si>
    <t>Matt Milano</t>
  </si>
  <si>
    <t>https://static.www.nfl.com/image/upload/f_auto,q_auto/league/ikmvrrbegypwn8wejcge</t>
  </si>
  <si>
    <t>00-0033572</t>
  </si>
  <si>
    <t>J.Agnew</t>
  </si>
  <si>
    <t>Jamal Agnew</t>
  </si>
  <si>
    <t>https://static.www.nfl.com/image/upload/f_auto,q_auto/league/buapoaxrvjzwsr4l34mq</t>
  </si>
  <si>
    <t>00-0033576</t>
  </si>
  <si>
    <t>E.Saubert</t>
  </si>
  <si>
    <t>https://static.www.nfl.com/image/upload/f_auto,q_auto/league/ojoapzazehxdd01fadz6</t>
  </si>
  <si>
    <t>00-0033579</t>
  </si>
  <si>
    <t>X.Woods</t>
  </si>
  <si>
    <t>Xavier Woods</t>
  </si>
  <si>
    <t>https://static.www.nfl.com/image/upload/f_auto,q_auto/league/of7kdkfale5fnuz6u8gr</t>
  </si>
  <si>
    <t>00-0033589</t>
  </si>
  <si>
    <t>D.Moore</t>
  </si>
  <si>
    <t>https://static.www.nfl.com/image/upload/f_auto,q_auto/league/k2szy47lyxy9u5om7vd1</t>
  </si>
  <si>
    <t>00-0033591</t>
  </si>
  <si>
    <t>N.Brown</t>
  </si>
  <si>
    <t>https://static.www.nfl.com/image/upload/f_auto,q_auto/league/nv6ix0p8965yiugsuhwh</t>
  </si>
  <si>
    <t>00-0033595</t>
  </si>
  <si>
    <t>P.O'Connor</t>
  </si>
  <si>
    <t>Pat O'Connor</t>
  </si>
  <si>
    <t>https://static.www.nfl.com/image/upload/f_auto,q_auto/league/hlyhbl1hpgksy8swksa8</t>
  </si>
  <si>
    <t>00-0033662</t>
  </si>
  <si>
    <t>C.Rush</t>
  </si>
  <si>
    <t>Cooper Rush</t>
  </si>
  <si>
    <t>https://static.www.nfl.com/image/upload/f_auto,q_auto/league/mwrtykpswz7nbfisqlmj</t>
  </si>
  <si>
    <t>00-0033676</t>
  </si>
  <si>
    <t>E.Wilkinson</t>
  </si>
  <si>
    <t>Elijah Wilkinson</t>
  </si>
  <si>
    <t>https://static.www.nfl.com/image/upload/f_auto,q_auto/league/vf0jyksmu8odxv2b9ich</t>
  </si>
  <si>
    <t>00-0033697</t>
  </si>
  <si>
    <t>M.Davis</t>
  </si>
  <si>
    <t>Michael Davis</t>
  </si>
  <si>
    <t>https://static.www.nfl.com/image/upload/f_auto,q_auto/league/bh8fcv8fcihcx1munujm</t>
  </si>
  <si>
    <t>00-0033699</t>
  </si>
  <si>
    <t>A.Ekeler</t>
  </si>
  <si>
    <t>https://static.www.nfl.com/image/upload/f_auto,q_auto/league/sldndpn2zwt4uhkj2zks</t>
  </si>
  <si>
    <t>00-0033702</t>
  </si>
  <si>
    <t>Y.Koo</t>
  </si>
  <si>
    <t>Younghoe Koo</t>
  </si>
  <si>
    <t>https://static.www.nfl.com/image/upload/f_auto,q_auto/league/d6k1yzhzj3mikcheisnm</t>
  </si>
  <si>
    <t>41;36;32;19;21;44</t>
  </si>
  <si>
    <t>44;52;51</t>
  </si>
  <si>
    <t>00-0033729</t>
  </si>
  <si>
    <t>C.Johnston</t>
  </si>
  <si>
    <t>Cameron Johnston</t>
  </si>
  <si>
    <t>https://static.www.nfl.com/image/upload/f_auto,q_auto/league/ppcxjnntytozgd78mhzz</t>
  </si>
  <si>
    <t>00-0033757</t>
  </si>
  <si>
    <t>R.Tonyan</t>
  </si>
  <si>
    <t>Robert Tonyan</t>
  </si>
  <si>
    <t>https://static.www.nfl.com/image/upload/f_auto,q_auto/league/m8h8rzmxq4sjywitqnyb</t>
  </si>
  <si>
    <t>00-0033782</t>
  </si>
  <si>
    <t>D.Walker</t>
  </si>
  <si>
    <t>DeMarcus Walker</t>
  </si>
  <si>
    <t>https://static.www.nfl.com/image/upload/f_auto,q_auto/league/srytj7u2ver5a0lnanpg</t>
  </si>
  <si>
    <t>00-0033783</t>
  </si>
  <si>
    <t>A.Witherspoon</t>
  </si>
  <si>
    <t>Ahkello Witherspoon</t>
  </si>
  <si>
    <t>https://static.www.nfl.com/image/upload/f_auto,q_auto/league/ub7code8rbhomboifmob</t>
  </si>
  <si>
    <t>00-0033787</t>
  </si>
  <si>
    <t>J.Elliott</t>
  </si>
  <si>
    <t>Jake Elliott</t>
  </si>
  <si>
    <t>https://static.www.nfl.com/image/upload/f_auto,q_auto/league/v35j7b3tofdn0kfskdhj</t>
  </si>
  <si>
    <t>58;58;51;39;31;42;40;39;27;34;49;44;41;30;54;44;27;47;28;39</t>
  </si>
  <si>
    <t>42;58;56;52;48;43;52</t>
  </si>
  <si>
    <t>00-0033831</t>
  </si>
  <si>
    <t>A.Wylie</t>
  </si>
  <si>
    <t>Andrew Wylie</t>
  </si>
  <si>
    <t>https://static.www.nfl.com/image/upload/f_auto,q_auto/league/ocotasgekygqeq8tmgzh</t>
  </si>
  <si>
    <t>00-0033854</t>
  </si>
  <si>
    <t>D.Ogunbowale</t>
  </si>
  <si>
    <t>Dare Ogunbowale</t>
  </si>
  <si>
    <t>https://static.www.nfl.com/image/upload/f_auto,q_auto/league/bsm0k0jkytuiej2riudv</t>
  </si>
  <si>
    <t>00-0033857</t>
  </si>
  <si>
    <t>J.Smith-Schuster</t>
  </si>
  <si>
    <t>JuJu Smith-Schuster</t>
  </si>
  <si>
    <t>https://static.www.nfl.com/image/upload/f_auto,q_auto/league/fmjrhk2zt9z22uifctv0</t>
  </si>
  <si>
    <t>00-0033858</t>
  </si>
  <si>
    <t>J.Smith</t>
  </si>
  <si>
    <t>Jonnu Smith</t>
  </si>
  <si>
    <t>https://static.www.nfl.com/image/upload/f_auto,q_auto/league/egd6llghj3n5wfdrqacw</t>
  </si>
  <si>
    <t>00-0033860</t>
  </si>
  <si>
    <t>D.Godchaux</t>
  </si>
  <si>
    <t>Davon Godchaux</t>
  </si>
  <si>
    <t>https://static.www.nfl.com/image/upload/f_auto,q_auto/league/ggliw5fteiagipksotkk</t>
  </si>
  <si>
    <t>00-0033862</t>
  </si>
  <si>
    <t>Z.Gonzalez</t>
  </si>
  <si>
    <t>Zane Gonzalez</t>
  </si>
  <si>
    <t>https://static.www.nfl.com/image/upload/f_auto,q_auto/league/tytaxive5qhdumjqy2o2</t>
  </si>
  <si>
    <t>43;52;45;56;41;54;52;35;43;27;43;49;40;56;51;40;51;38;38</t>
  </si>
  <si>
    <t>50;37</t>
  </si>
  <si>
    <t>00-0033863</t>
  </si>
  <si>
    <t>D.Skipper</t>
  </si>
  <si>
    <t>Dan Skipper</t>
  </si>
  <si>
    <t>https://static.www.nfl.com/image/upload/f_auto,q_auto/league/umcplds2xhmcs6wijlpw</t>
  </si>
  <si>
    <t>00-0033868</t>
  </si>
  <si>
    <t>M.Garrett</t>
  </si>
  <si>
    <t>Myles Garrett</t>
  </si>
  <si>
    <t>https://static.www.nfl.com/image/private/f_auto,q_auto/league/y33rmtjxhgil7cjcftlc</t>
  </si>
  <si>
    <t>00-0033869</t>
  </si>
  <si>
    <t>M.Trubisky</t>
  </si>
  <si>
    <t>Mitchell Trubisky</t>
  </si>
  <si>
    <t>https://static.www.nfl.com/image/upload/f_auto,q_auto/league/fw9ec0v5pn3sorobytpb</t>
  </si>
  <si>
    <t>00-0033870</t>
  </si>
  <si>
    <t>S.Thomas</t>
  </si>
  <si>
    <t>Solomon Thomas</t>
  </si>
  <si>
    <t>https://static.www.nfl.com/image/upload/f_auto,q_auto/league/pk5ozcdcbehjnw3txvu8</t>
  </si>
  <si>
    <t>00-0033872</t>
  </si>
  <si>
    <t>J.Adams</t>
  </si>
  <si>
    <t>Jamal Adams</t>
  </si>
  <si>
    <t>https://static.www.nfl.com/image/upload/f_auto,q_auto/league/plodzh6kwjvhpo2mf3ie</t>
  </si>
  <si>
    <t>00-0033873</t>
  </si>
  <si>
    <t>P.Mahomes</t>
  </si>
  <si>
    <t>Patrick Mahomes</t>
  </si>
  <si>
    <t>https://static.www.nfl.com/image/upload/f_auto,q_auto/league/iireqbn32cpg9fn4sfy7</t>
  </si>
  <si>
    <t>00-0033874</t>
  </si>
  <si>
    <t>M.Lattimore</t>
  </si>
  <si>
    <t>Marshon Lattimore</t>
  </si>
  <si>
    <t>https://static.www.nfl.com/image/upload/f_auto,q_auto/league/z4npwlwl5teozc1lp8ky</t>
  </si>
  <si>
    <t>00-0033875</t>
  </si>
  <si>
    <t>H.Reddick</t>
  </si>
  <si>
    <t>Haason Reddick</t>
  </si>
  <si>
    <t>https://static.www.nfl.com/image/upload/f_auto,q_auto/league/to1hxe921e7wc8rarebt</t>
  </si>
  <si>
    <t>00-0033876</t>
  </si>
  <si>
    <t>D.Barnett</t>
  </si>
  <si>
    <t>Derek Barnett</t>
  </si>
  <si>
    <t>https://static.www.nfl.com/image/upload/f_auto,q_auto/league/eh9ienpeakbbr9mw4vlm</t>
  </si>
  <si>
    <t>00-0033877</t>
  </si>
  <si>
    <t>M.Hooker</t>
  </si>
  <si>
    <t>Malik Hooker</t>
  </si>
  <si>
    <t>https://static.www.nfl.com/image/upload/f_auto,q_auto/league/juvd0vtnne04b8fbqaf6</t>
  </si>
  <si>
    <t>00-0033878</t>
  </si>
  <si>
    <t>A.Jackson</t>
  </si>
  <si>
    <t>Adoree' Jackson</t>
  </si>
  <si>
    <t>https://static.www.nfl.com/image/upload/f_auto,q_auto/league/jtskiyzkosuajjatls72</t>
  </si>
  <si>
    <t>00-0033881</t>
  </si>
  <si>
    <t>E.Engram</t>
  </si>
  <si>
    <t>https://static.www.nfl.com/image/upload/f_auto,q_auto/league/vsrjso6phkjqki88qw9y</t>
  </si>
  <si>
    <t>00-0033883</t>
  </si>
  <si>
    <t>J.Peppers</t>
  </si>
  <si>
    <t>Jabrill Peppers</t>
  </si>
  <si>
    <t>https://static.www.nfl.com/image/upload/f_auto,q_auto/league/ibsp6bicwpzoghc9mofe</t>
  </si>
  <si>
    <t>00-0033884</t>
  </si>
  <si>
    <t>T.White</t>
  </si>
  <si>
    <t>Tre'Davious White</t>
  </si>
  <si>
    <t>https://static.www.nfl.com/image/upload/f_auto,q_auto/league/uxwbh1qimnyieywlu6ic</t>
  </si>
  <si>
    <t>00-0033885</t>
  </si>
  <si>
    <t>D.Njoku</t>
  </si>
  <si>
    <t>David Njoku</t>
  </si>
  <si>
    <t>https://static.www.nfl.com/image/upload/f_auto,q_auto/league/gdwtgcfz3mxj6codxdpn</t>
  </si>
  <si>
    <t>00-0033886</t>
  </si>
  <si>
    <t>T.Watt</t>
  </si>
  <si>
    <t>T.J. Watt</t>
  </si>
  <si>
    <t>https://static.www.nfl.com/image/upload/f_auto,q_auto/league/aywegy4gpj1d32vrl67u</t>
  </si>
  <si>
    <t>00-0033889</t>
  </si>
  <si>
    <t>C.Robinson</t>
  </si>
  <si>
    <t>Cam Robinson</t>
  </si>
  <si>
    <t>https://static.www.nfl.com/image/upload/f_auto,q_auto/league/lqgjpx9ttpdhpbvswdly</t>
  </si>
  <si>
    <t>00-0033890</t>
  </si>
  <si>
    <t>B.Baker</t>
  </si>
  <si>
    <t>Budda Baker</t>
  </si>
  <si>
    <t>https://static.www.nfl.com/image/upload/f_auto,q_auto/league/ja3tkctpkfcschgpowoe</t>
  </si>
  <si>
    <t>00-0033891</t>
  </si>
  <si>
    <t>Z.Jones</t>
  </si>
  <si>
    <t>Zay Jones</t>
  </si>
  <si>
    <t>https://static.www.nfl.com/image/upload/f_auto,q_auto/league/qihjjzfk0vwzoyrzztkq</t>
  </si>
  <si>
    <t>00-0033892</t>
  </si>
  <si>
    <t>M.Maye</t>
  </si>
  <si>
    <t>Marcus Maye</t>
  </si>
  <si>
    <t>https://static.www.nfl.com/image/upload/f_auto,q_auto/league/jkqmwuujqfh8kir8wzdq</t>
  </si>
  <si>
    <t>00-0033894</t>
  </si>
  <si>
    <t>M.Williams</t>
  </si>
  <si>
    <t>Marcus Williams</t>
  </si>
  <si>
    <t>https://static.www.nfl.com/image/upload/f_auto,q_auto/league/niqp2dje7qvlegxtsttn</t>
  </si>
  <si>
    <t>00-0033901</t>
  </si>
  <si>
    <t>E.Pocic</t>
  </si>
  <si>
    <t>Ethan Pocic</t>
  </si>
  <si>
    <t>https://static.www.nfl.com/image/upload/f_auto,q_auto/league/yl6ylttfhl37pjf4iqxi</t>
  </si>
  <si>
    <t>00-0033902</t>
  </si>
  <si>
    <t>T.Kpassagnon</t>
  </si>
  <si>
    <t>Tanoh Kpassagnon</t>
  </si>
  <si>
    <t>https://static.www.nfl.com/image/private/f_auto,q_auto/league/ilr1bs7qesfq7fryeetc</t>
  </si>
  <si>
    <t>00-0033904</t>
  </si>
  <si>
    <t>D.Dawkins</t>
  </si>
  <si>
    <t>Dion Dawkins</t>
  </si>
  <si>
    <t>https://static.www.nfl.com/image/upload/f_auto,q_auto/league/wuczkzxwxypvr9ssis5h</t>
  </si>
  <si>
    <t>00-0033905</t>
  </si>
  <si>
    <t>L.Ogunjobi</t>
  </si>
  <si>
    <t>Larry Ogunjobi</t>
  </si>
  <si>
    <t>https://static.www.nfl.com/image/upload/f_auto,q_auto/league/gt0gj15hsswookg40d39</t>
  </si>
  <si>
    <t>00-0033906</t>
  </si>
  <si>
    <t>A.Kamara</t>
  </si>
  <si>
    <t>https://static.www.nfl.com/image/upload/f_auto,q_auto/league/uay6uo9lonegelngihki</t>
  </si>
  <si>
    <t>00-0033907</t>
  </si>
  <si>
    <t>D.Smoot</t>
  </si>
  <si>
    <t>Dawuane Smoot</t>
  </si>
  <si>
    <t>https://static.www.nfl.com/image/upload/f_auto,q_auto/league/gmwsx9fddqfaqsm6dx0a</t>
  </si>
  <si>
    <t>00-0033908</t>
  </si>
  <si>
    <t>C.Kupp</t>
  </si>
  <si>
    <t>https://static.www.nfl.com/image/upload/f_auto,q_auto/league/lpaxi9rsedlg9sdr5quw</t>
  </si>
  <si>
    <t>00-0033913</t>
  </si>
  <si>
    <t>C.Wormley</t>
  </si>
  <si>
    <t>Chris Wormley</t>
  </si>
  <si>
    <t>https://static.www.nfl.com/image/upload/f_auto,q_auto/league/qqmbvbpitcgchhjcptve</t>
  </si>
  <si>
    <t>00-0033914</t>
  </si>
  <si>
    <t>A.Anzalone</t>
  </si>
  <si>
    <t>Alex Anzalone</t>
  </si>
  <si>
    <t>https://static.www.nfl.com/image/upload/f_auto,q_auto/league/gbqizpfxe7nsijlw4gwv</t>
  </si>
  <si>
    <t>00-0033918</t>
  </si>
  <si>
    <t>F.Moreau</t>
  </si>
  <si>
    <t>Fabian Moreau</t>
  </si>
  <si>
    <t>https://static.www.nfl.com/image/upload/f_auto,q_auto/league/osj1pbe8mj5f7h47l2op</t>
  </si>
  <si>
    <t>00-0033921</t>
  </si>
  <si>
    <t>C.Godwin</t>
  </si>
  <si>
    <t>https://static.www.nfl.com/image/upload/f_auto,q_auto/league/ilkheljdx4hbjpisulke</t>
  </si>
  <si>
    <t>00-0033923</t>
  </si>
  <si>
    <t>K.Hunt</t>
  </si>
  <si>
    <t>Kareem Hunt</t>
  </si>
  <si>
    <t>https://static.www.nfl.com/image/upload/f_auto,q_auto/league/hktvzf8hiupoycyg1kmc</t>
  </si>
  <si>
    <t>00-0033926</t>
  </si>
  <si>
    <t>S.Griffin</t>
  </si>
  <si>
    <t>Shaquill Griffin</t>
  </si>
  <si>
    <t>https://static.www.nfl.com/image/upload/f_auto,q_auto/league/jybewrw2vsf17rxds4tv</t>
  </si>
  <si>
    <t>00-0033928</t>
  </si>
  <si>
    <t>J.Lewis</t>
  </si>
  <si>
    <t>Jourdan Lewis</t>
  </si>
  <si>
    <t>https://static.www.nfl.com/image/upload/f_auto,q_auto/league/tba0nqjehzlrgwtvlvvf</t>
  </si>
  <si>
    <t>00-0033935</t>
  </si>
  <si>
    <t>T.Hendrickson</t>
  </si>
  <si>
    <t>Trey Hendrickson</t>
  </si>
  <si>
    <t>https://static.www.nfl.com/image/upload/f_auto,q_auto/league/gfdlbzmukca60bgo3lr7</t>
  </si>
  <si>
    <t>00-0033941</t>
  </si>
  <si>
    <t>R.Jenkins</t>
  </si>
  <si>
    <t>Rayshawn Jenkins</t>
  </si>
  <si>
    <t>https://static.www.nfl.com/image/upload/f_auto,q_auto/league/e3tppqrhd6bpipfn2k4z</t>
  </si>
  <si>
    <t>00-0033943</t>
  </si>
  <si>
    <t>J.Reynolds</t>
  </si>
  <si>
    <t>https://static.www.nfl.com/image/upload/f_auto,q_auto/league/lf1fjsagcsvxmktl0bbn</t>
  </si>
  <si>
    <t>00-0033945</t>
  </si>
  <si>
    <t>S.Ebukam</t>
  </si>
  <si>
    <t>Samson Ebukam</t>
  </si>
  <si>
    <t>https://static.www.nfl.com/image/upload/f_auto,q_auto/league/hw0ako11hlkm45wl7cfb</t>
  </si>
  <si>
    <t>00-0033947</t>
  </si>
  <si>
    <t>D.Wise</t>
  </si>
  <si>
    <t>Deatrich Wise</t>
  </si>
  <si>
    <t>https://static.www.nfl.com/image/upload/f_auto,q_auto/league/kmshfa3dfehklgdh1lrk</t>
  </si>
  <si>
    <t>00-0033949</t>
  </si>
  <si>
    <t>J.Dobbs</t>
  </si>
  <si>
    <t>Joshua Dobbs</t>
  </si>
  <si>
    <t>https://static.www.nfl.com/image/upload/f_auto,q_auto/league/twaqqjexyi0vgyfbvzis</t>
  </si>
  <si>
    <t>00-0033952</t>
  </si>
  <si>
    <t>G.Stewart</t>
  </si>
  <si>
    <t>Grover Stewart</t>
  </si>
  <si>
    <t>https://static.www.nfl.com/image/upload/f_auto,q_auto/league/n9e0hbrrdvjloopiu51z</t>
  </si>
  <si>
    <t>00-0033955</t>
  </si>
  <si>
    <t>J.McNichols</t>
  </si>
  <si>
    <t>https://static.www.nfl.com/image/upload/f_auto,q_auto/league/kegqjj5pv7xidm0xwtpy</t>
  </si>
  <si>
    <t>00-0033964</t>
  </si>
  <si>
    <t>A.Muhammad</t>
  </si>
  <si>
    <t>Al-Quadin Muhammad</t>
  </si>
  <si>
    <t>https://static.www.nfl.com/image/upload/f_auto,q_auto/league/lmpiwh2pphphimm6bnxq</t>
  </si>
  <si>
    <t>00-0034051</t>
  </si>
  <si>
    <t>C.Kuntz</t>
  </si>
  <si>
    <t>Christian Kuntz</t>
  </si>
  <si>
    <t>https://static.www.nfl.com/image/upload/f_auto,q_auto/league/htpzfa51x3erujnkvmre</t>
  </si>
  <si>
    <t>00-0034054</t>
  </si>
  <si>
    <t>R.Cracraft</t>
  </si>
  <si>
    <t>River Cracraft</t>
  </si>
  <si>
    <t>https://static.www.nfl.com/image/upload/f_auto,q_auto/league/y8t968ntco72t8f8ryba</t>
  </si>
  <si>
    <t>00-0034067</t>
  </si>
  <si>
    <t>S.Daly</t>
  </si>
  <si>
    <t>Scott Daly</t>
  </si>
  <si>
    <t>https://static.www.nfl.com/image/upload/f_auto,q_auto/league/u8klt4zjxkahyhbkwvqp</t>
  </si>
  <si>
    <t>00-0034073</t>
  </si>
  <si>
    <t>R.Dwelley</t>
  </si>
  <si>
    <t>Ross Dwelley</t>
  </si>
  <si>
    <t>https://static.www.nfl.com/image/upload/f_auto,q_auto/league/wf9ynmqonmnaosslkwdl</t>
  </si>
  <si>
    <t>00-0034084</t>
  </si>
  <si>
    <t>M.Badgley</t>
  </si>
  <si>
    <t>Mike Badgley</t>
  </si>
  <si>
    <t>https://static.www.nfl.com/image/upload/f_auto,q_auto/league/vws2nawkkxxb8s82ny1s</t>
  </si>
  <si>
    <t>45;36;43;52;53;34;44;32;23;42;41</t>
  </si>
  <si>
    <t>00-0034091</t>
  </si>
  <si>
    <t>G.Odum</t>
  </si>
  <si>
    <t>George Odum</t>
  </si>
  <si>
    <t>https://static.www.nfl.com/image/upload/f_auto,q_auto/league/watelqvhccitomv8ntny</t>
  </si>
  <si>
    <t>00-0034112</t>
  </si>
  <si>
    <t>A.Schlottmann</t>
  </si>
  <si>
    <t>Austin Schlottmann</t>
  </si>
  <si>
    <t>https://static.www.nfl.com/image/upload/f_auto,q_auto/league/oyncfcyyfflsqesj6xei</t>
  </si>
  <si>
    <t>00-0034114</t>
  </si>
  <si>
    <t>C.Shelton</t>
  </si>
  <si>
    <t>Coleman Shelton</t>
  </si>
  <si>
    <t>https://static.www.nfl.com/image/upload/f_auto,q_auto/league/fbmh9dwdvja6yeu3pmj3</t>
  </si>
  <si>
    <t>00-0034116</t>
  </si>
  <si>
    <t>J.Gray</t>
  </si>
  <si>
    <t>J.T. Gray</t>
  </si>
  <si>
    <t>https://static.www.nfl.com/image/private/f_auto,q_auto/league/ibo4b3ak2ufimxupcezw</t>
  </si>
  <si>
    <t>00-0034145</t>
  </si>
  <si>
    <t>C.Lammons</t>
  </si>
  <si>
    <t>Chris Lammons</t>
  </si>
  <si>
    <t>https://static.www.nfl.com/image/upload/f_auto,q_auto/league/odsa5adl0tyjcer1hnzz</t>
  </si>
  <si>
    <t>00-0034158</t>
  </si>
  <si>
    <t>B.O'Neill</t>
  </si>
  <si>
    <t>Brian O'Neill</t>
  </si>
  <si>
    <t>https://static.www.nfl.com/image/upload/f_auto,q_auto/league/ouq6nfernugv9rsvcvwm</t>
  </si>
  <si>
    <t>00-0034159</t>
  </si>
  <si>
    <t>W.Dissly</t>
  </si>
  <si>
    <t>Will Dissly</t>
  </si>
  <si>
    <t>https://static.www.nfl.com/image/upload/f_auto,q_auto/league/b2s1wwxsgkenwlxmncu3</t>
  </si>
  <si>
    <t>00-0034160</t>
  </si>
  <si>
    <t>M.Dickson</t>
  </si>
  <si>
    <t>Michael Dickson</t>
  </si>
  <si>
    <t>https://static.www.nfl.com/image/upload/f_auto,q_auto/league/chduw8ql98kdzegqiylt</t>
  </si>
  <si>
    <t>00-0034161</t>
  </si>
  <si>
    <t>D.Carlson</t>
  </si>
  <si>
    <t>Daniel Carlson</t>
  </si>
  <si>
    <t>https://static.www.nfl.com/image/upload/f_auto,q_auto/league/gsvj7rtvqwbwdeho8whf</t>
  </si>
  <si>
    <t>51;40;54;40;37;37;29;24;37;50;29;24;35;45;38;41;46;42;32;23;55;60</t>
  </si>
  <si>
    <t>58;57;48;48</t>
  </si>
  <si>
    <t>54;60</t>
  </si>
  <si>
    <t>00-0034162</t>
  </si>
  <si>
    <t>J.Scott</t>
  </si>
  <si>
    <t>J.K. Scott</t>
  </si>
  <si>
    <t>https://static.www.nfl.com/image/upload/f_auto,q_auto/league/yayikawhfng99cqrosax</t>
  </si>
  <si>
    <t>00-0034163</t>
  </si>
  <si>
    <t>J.Martin</t>
  </si>
  <si>
    <t>Jacob Martin</t>
  </si>
  <si>
    <t>https://static.www.nfl.com/image/upload/f_auto,q_auto/league/ngm7muyzhk9xv2ofafke</t>
  </si>
  <si>
    <t>00-0034173</t>
  </si>
  <si>
    <t>E.Pineiro</t>
  </si>
  <si>
    <t>Eddy Pineiro</t>
  </si>
  <si>
    <t>https://static.www.nfl.com/image/upload/f_auto,q_auto/league/l4rrfcuczjau7q02h2iz</t>
  </si>
  <si>
    <t>44;46;38;51;35;26;23;37;20;59;41;52;54;42;29;55;43;54;33;48;47;47;33;37;40;25;38;48</t>
  </si>
  <si>
    <t>35;41</t>
  </si>
  <si>
    <t>00-0034198</t>
  </si>
  <si>
    <t>T.Sieg</t>
  </si>
  <si>
    <t>Trent Sieg</t>
  </si>
  <si>
    <t>https://static.www.nfl.com/image/upload/f_auto,q_auto/league/ikhujd70ky9ymcrvpjm5</t>
  </si>
  <si>
    <t>00-0034203</t>
  </si>
  <si>
    <t>D.Williams</t>
  </si>
  <si>
    <t>Darious Williams</t>
  </si>
  <si>
    <t>https://static.www.nfl.com/image/upload/f_auto,q_auto/league/nzrgn9doxy57s7si8uyf</t>
  </si>
  <si>
    <t>00-0034234</t>
  </si>
  <si>
    <t>P.Ford</t>
  </si>
  <si>
    <t>Poona Ford</t>
  </si>
  <si>
    <t>https://static.www.nfl.com/image/upload/f_auto,q_auto/league/z6bvartiturag8gtidcz</t>
  </si>
  <si>
    <t>00-0034248</t>
  </si>
  <si>
    <t>E.Campbell</t>
  </si>
  <si>
    <t>Elijah Campbell</t>
  </si>
  <si>
    <t>https://static.www.nfl.com/image/upload/f_auto,q_auto/league/niou8nbhpkmao45zccm7</t>
  </si>
  <si>
    <t>00-0034251</t>
  </si>
  <si>
    <t>D.Ekuale</t>
  </si>
  <si>
    <t>Daniel Ekuale</t>
  </si>
  <si>
    <t>https://static.www.nfl.com/image/upload/f_auto,q_auto/league/jlab8hsw5int8lkrevrg</t>
  </si>
  <si>
    <t>00-0034261</t>
  </si>
  <si>
    <t>A.Corbett</t>
  </si>
  <si>
    <t>Austin Corbett</t>
  </si>
  <si>
    <t>https://static.www.nfl.com/image/upload/f_auto,q_auto/league/ry8oftk4wq0uiivdxyzw</t>
  </si>
  <si>
    <t>00-0034264</t>
  </si>
  <si>
    <t>J.Holmes</t>
  </si>
  <si>
    <t>Jalyn Holmes</t>
  </si>
  <si>
    <t>https://static.www.nfl.com/image/upload/f_auto,q_auto/league/vvlecpcfjc7fgkuqbcuj</t>
  </si>
  <si>
    <t>00-0034270</t>
  </si>
  <si>
    <t>T.Conklin</t>
  </si>
  <si>
    <t>https://static.www.nfl.com/image/upload/f_auto,q_auto/league/knjuzxnzsfjxwcjxp5en</t>
  </si>
  <si>
    <t>00-0034272</t>
  </si>
  <si>
    <t>M.Valdes-Scantling</t>
  </si>
  <si>
    <t>https://static.www.nfl.com/image/upload/f_auto,q_auto/league/vvk5v3hfjw0tevqxrhnf</t>
  </si>
  <si>
    <t>00-0034274</t>
  </si>
  <si>
    <t>P.Nickerson</t>
  </si>
  <si>
    <t>Parry Nickerson</t>
  </si>
  <si>
    <t>https://static.www.nfl.com/image/upload/f_auto,q_auto/league/w8wujvtmfphdc3wohtry</t>
  </si>
  <si>
    <t>00-0034275</t>
  </si>
  <si>
    <t>F.Fatukasi</t>
  </si>
  <si>
    <t>Foley Fatukasi</t>
  </si>
  <si>
    <t>https://static.www.nfl.com/image/upload/f_auto,q_auto/league/ttcdigwndhyvmhvgof25</t>
  </si>
  <si>
    <t>00-0034277</t>
  </si>
  <si>
    <t>D.Elliott</t>
  </si>
  <si>
    <t>DeShon Elliott</t>
  </si>
  <si>
    <t>https://static.www.nfl.com/image/upload/f_auto,q_auto/league/rprbkb3ze0jgpl5u8f2g</t>
  </si>
  <si>
    <t>00-0034278</t>
  </si>
  <si>
    <t>T.Smith</t>
  </si>
  <si>
    <t>Tremon Smith</t>
  </si>
  <si>
    <t>https://static.www.nfl.com/image/upload/f_auto,q_auto/league/crjcjcsvkq0o689drl3c</t>
  </si>
  <si>
    <t>00-0034281</t>
  </si>
  <si>
    <t>B.Bozeman</t>
  </si>
  <si>
    <t>Bradley Bozeman</t>
  </si>
  <si>
    <t>https://static.www.nfl.com/image/upload/f_auto,q_auto/league/qzomwajldexxneohmb7q</t>
  </si>
  <si>
    <t>00-0034285</t>
  </si>
  <si>
    <t>Z.Sieler</t>
  </si>
  <si>
    <t>Zach Sieler</t>
  </si>
  <si>
    <t>https://static.www.nfl.com/image/upload/f_auto,q_auto/league/a3mvqtjjep76e13cs353</t>
  </si>
  <si>
    <t>00-0034302</t>
  </si>
  <si>
    <t>F.Luvu</t>
  </si>
  <si>
    <t>Frankie Luvu</t>
  </si>
  <si>
    <t>https://static.www.nfl.com/image/upload/f_auto,q_auto/league/tirwphxxgjmqhf2ucs9h</t>
  </si>
  <si>
    <t>00-0034320</t>
  </si>
  <si>
    <t>K.Street</t>
  </si>
  <si>
    <t>Kentavius Street</t>
  </si>
  <si>
    <t>https://static.www.nfl.com/image/upload/f_auto,q_auto/league/r1ie0jaeux86ri5hejel</t>
  </si>
  <si>
    <t>00-0034333</t>
  </si>
  <si>
    <t>D.Payne</t>
  </si>
  <si>
    <t>Daron Payne</t>
  </si>
  <si>
    <t>https://static.www.nfl.com/image/upload/f_auto,q_auto/league/wyy5j7epmu2idqfwjhcr</t>
  </si>
  <si>
    <t>00-0034342</t>
  </si>
  <si>
    <t>Q.Nelson</t>
  </si>
  <si>
    <t>Quenton Nelson</t>
  </si>
  <si>
    <t>https://static.www.nfl.com/image/upload/f_auto,q_auto/league/bzj1mpc7ykpkks4nmokp</t>
  </si>
  <si>
    <t>00-0034344</t>
  </si>
  <si>
    <t>M.Davenport</t>
  </si>
  <si>
    <t>Marcus Davenport</t>
  </si>
  <si>
    <t>https://static.www.nfl.com/image/upload/f_auto,q_auto/league/hauze2vwdskhaiqjifk1</t>
  </si>
  <si>
    <t>00-0034346</t>
  </si>
  <si>
    <t>W.Hernandez</t>
  </si>
  <si>
    <t>Will Hernandez</t>
  </si>
  <si>
    <t>https://static.www.nfl.com/image/upload/f_auto,q_auto/league/ut7l385k6rcyhgsh7q40</t>
  </si>
  <si>
    <t>00-0034348</t>
  </si>
  <si>
    <t>C.Sutton</t>
  </si>
  <si>
    <t>https://static.www.nfl.com/image/upload/f_auto,q_auto/league/r2sr6cbma4c7wc3isejj</t>
  </si>
  <si>
    <t>00-0034350</t>
  </si>
  <si>
    <t>U.Nwosu</t>
  </si>
  <si>
    <t>Uchenna Nwosu</t>
  </si>
  <si>
    <t>https://static.www.nfl.com/image/upload/f_auto,q_auto/league/eovri4ccfixdbtikxbyg</t>
  </si>
  <si>
    <t>00-0034351</t>
  </si>
  <si>
    <t>D.Goedert</t>
  </si>
  <si>
    <t>https://static.www.nfl.com/image/upload/f_auto,q_auto/league/a6ljhwvkehvyiufdx3d1</t>
  </si>
  <si>
    <t>00-0034355</t>
  </si>
  <si>
    <t>M.Stewart</t>
  </si>
  <si>
    <t>M.J. Stewart</t>
  </si>
  <si>
    <t>https://static.www.nfl.com/image/upload/f_auto,q_auto/league/ks5w5s7jghanmslipbfs</t>
  </si>
  <si>
    <t>00-0034356</t>
  </si>
  <si>
    <t>D.Jackson</t>
  </si>
  <si>
    <t>Donte Jackson</t>
  </si>
  <si>
    <t>https://static.www.nfl.com/image/upload/f_auto,q_auto/league/nliq6ydokq7tica1y1gq</t>
  </si>
  <si>
    <t>00-0034357</t>
  </si>
  <si>
    <t>I.Oliver</t>
  </si>
  <si>
    <t>Isaiah Oliver</t>
  </si>
  <si>
    <t>https://static.www.nfl.com/image/upload/f_auto,q_auto/league/s5m8lnvv8xcidpvkyyd4</t>
  </si>
  <si>
    <t>00-0034359</t>
  </si>
  <si>
    <t>T.Lewis</t>
  </si>
  <si>
    <t>Tyquan Lewis</t>
  </si>
  <si>
    <t>https://static.www.nfl.com/image/upload/f_auto,q_auto/league/d47ganmptjxxpyhctc8x</t>
  </si>
  <si>
    <t>00-0034361</t>
  </si>
  <si>
    <t>J.Reid</t>
  </si>
  <si>
    <t>Justin Reid</t>
  </si>
  <si>
    <t>https://static.www.nfl.com/image/upload/f_auto,q_auto/league/ysi7vrkwfhei6adamgb3</t>
  </si>
  <si>
    <t>00-0034365</t>
  </si>
  <si>
    <t>I.Thomas</t>
  </si>
  <si>
    <t>Ian Thomas</t>
  </si>
  <si>
    <t>https://static.www.nfl.com/image/upload/f_auto,q_auto/league/gvpwnq0mjefjlekgzxro</t>
  </si>
  <si>
    <t>00-0034367</t>
  </si>
  <si>
    <t>N.Miller-Hines</t>
  </si>
  <si>
    <t>Nyheim Hines</t>
  </si>
  <si>
    <t>https://static.www.nfl.com/image/upload/f_auto,q_auto/league/ud1q6gh3tlkiy2w90gvm</t>
  </si>
  <si>
    <t>00-0034371</t>
  </si>
  <si>
    <t>D.Hand</t>
  </si>
  <si>
    <t>Da'Shawn Hand</t>
  </si>
  <si>
    <t>https://static.www.nfl.com/image/upload/f_auto,q_auto/league/n3ujcvyv6nl5oletxa6g</t>
  </si>
  <si>
    <t>00-0034373</t>
  </si>
  <si>
    <t>D.Armstrong</t>
  </si>
  <si>
    <t>Dorance Armstrong</t>
  </si>
  <si>
    <t>https://static.www.nfl.com/image/upload/f_auto,q_auto/league/cdapnpgtde1mdf7r8l5e</t>
  </si>
  <si>
    <t>00-0034375</t>
  </si>
  <si>
    <t>K.White</t>
  </si>
  <si>
    <t>Kyzir White</t>
  </si>
  <si>
    <t>https://static.www.nfl.com/image/upload/f_auto,q_auto/league/n5sjtcxydtaszz7yeyqw</t>
  </si>
  <si>
    <t>00-0034376</t>
  </si>
  <si>
    <t>Ta.Johnson</t>
  </si>
  <si>
    <t>Taron Johnson</t>
  </si>
  <si>
    <t>https://static.www.nfl.com/image/upload/f_auto,q_auto/league/xdvo4thpmwbehsfwpedb</t>
  </si>
  <si>
    <t>00-0034377</t>
  </si>
  <si>
    <t>A.Maddox</t>
  </si>
  <si>
    <t>Avonte Maddox</t>
  </si>
  <si>
    <t>https://static.www.nfl.com/image/upload/f_auto,q_auto/league/j2guzeu1ggx5opajjl3h</t>
  </si>
  <si>
    <t>00-0034381</t>
  </si>
  <si>
    <t>J.Sweat</t>
  </si>
  <si>
    <t>Josh Sweat</t>
  </si>
  <si>
    <t>https://static.www.nfl.com/image/upload/f_auto,q_auto/league/zryjvbggvdlringt4vcn</t>
  </si>
  <si>
    <t>00-0034383</t>
  </si>
  <si>
    <t>D.Schultz</t>
  </si>
  <si>
    <t>https://static.www.nfl.com/image/upload/f_auto,q_auto/league/xbl9mhuamzv5udb4hyzj</t>
  </si>
  <si>
    <t>00-0034384</t>
  </si>
  <si>
    <t>D.Reed</t>
  </si>
  <si>
    <t>D.J. Reed</t>
  </si>
  <si>
    <t>https://static.www.nfl.com/image/upload/f_auto,q_auto/league/haxt1fpxhgnobin0d5sx</t>
  </si>
  <si>
    <t>00-0034386</t>
  </si>
  <si>
    <t>J.Watson</t>
  </si>
  <si>
    <t>https://static.www.nfl.com/image/upload/f_auto,q_auto/league/unqrnkfpqg7juhlbyp4v</t>
  </si>
  <si>
    <t>00-0034387</t>
  </si>
  <si>
    <t>B.Nichols</t>
  </si>
  <si>
    <t>Bilal Nichols</t>
  </si>
  <si>
    <t>https://static.www.nfl.com/image/upload/f_auto,q_auto/league/ukjuxv7bxvbfnciod79v</t>
  </si>
  <si>
    <t>00-0034391</t>
  </si>
  <si>
    <t>S.Neal</t>
  </si>
  <si>
    <t>Siran Neal</t>
  </si>
  <si>
    <t>https://static.www.nfl.com/image/upload/f_auto,q_auto/league/kq7kbeol3boyczqkm9jx</t>
  </si>
  <si>
    <t>00-0034397</t>
  </si>
  <si>
    <t>T.Settle</t>
  </si>
  <si>
    <t>Tim Settle</t>
  </si>
  <si>
    <t>https://static.www.nfl.com/image/upload/f_auto,q_auto/league/jhb7b9b6r8yybbltih4v</t>
  </si>
  <si>
    <t>00-0034399</t>
  </si>
  <si>
    <t>W.Teller</t>
  </si>
  <si>
    <t>Wyatt Teller</t>
  </si>
  <si>
    <t>https://static.www.nfl.com/image/upload/f_auto,q_auto/league/cssfbsfmyuubkg0js8ni</t>
  </si>
  <si>
    <t>00-0034407</t>
  </si>
  <si>
    <t>R.McCloud</t>
  </si>
  <si>
    <t>Ray-Ray McCloud</t>
  </si>
  <si>
    <t>https://static.www.nfl.com/image/upload/f_auto,q_auto/league/nvwn3sdihyyd2itjt7vy</t>
  </si>
  <si>
    <t>00-0034413</t>
  </si>
  <si>
    <t>F.Oluokun</t>
  </si>
  <si>
    <t>Foye Oluokun</t>
  </si>
  <si>
    <t>https://static.www.nfl.com/image/private/f_auto,q_auto/league/ldsewkhf1k2uxwcud0bj</t>
  </si>
  <si>
    <t>00-0034418</t>
  </si>
  <si>
    <t>C.Wilson</t>
  </si>
  <si>
    <t>https://static.www.nfl.com/image/upload/f_auto,q_auto/league/cf6fmi91zijiovftx9qk</t>
  </si>
  <si>
    <t>00-0034419</t>
  </si>
  <si>
    <t>B.Berrios</t>
  </si>
  <si>
    <t>Braxton Berrios</t>
  </si>
  <si>
    <t>https://static.www.nfl.com/image/upload/f_auto,q_auto/league/striwxmn9t0ixherw7l8</t>
  </si>
  <si>
    <t>00-0034429</t>
  </si>
  <si>
    <t>J.Mailata</t>
  </si>
  <si>
    <t>Jordan Mailata</t>
  </si>
  <si>
    <t>https://static.www.nfl.com/image/upload/f_auto,q_auto/league/vpfwqsmjzkby3auc0m5q</t>
  </si>
  <si>
    <t>00-0034431</t>
  </si>
  <si>
    <t>Z.Franklin</t>
  </si>
  <si>
    <t>Zaire Franklin</t>
  </si>
  <si>
    <t>https://static.www.nfl.com/image/upload/f_auto,q_auto/league/sjssdwwimkrgh3jzuo89</t>
  </si>
  <si>
    <t>00-0034437</t>
  </si>
  <si>
    <t>L.Cooke</t>
  </si>
  <si>
    <t>Logan Cooke</t>
  </si>
  <si>
    <t>https://static.www.nfl.com/image/upload/f_auto,q_auto/league/tm0qrnirdvbhshxsfhg2</t>
  </si>
  <si>
    <t>00-0034446</t>
  </si>
  <si>
    <t>J.Davis</t>
  </si>
  <si>
    <t>Jalen Davis</t>
  </si>
  <si>
    <t>https://static.www.nfl.com/image/upload/f_auto,q_auto/league/lrtxaeqg5he2bao1hbok</t>
  </si>
  <si>
    <t>00-0034465</t>
  </si>
  <si>
    <t>J.Reaves</t>
  </si>
  <si>
    <t>Jeremy Reaves</t>
  </si>
  <si>
    <t>https://static.www.nfl.com/image/upload/f_auto,q_auto/league/kwmtxcogvel516q4ws86</t>
  </si>
  <si>
    <t>00-0034473</t>
  </si>
  <si>
    <t>D.Gardeck</t>
  </si>
  <si>
    <t>Dennis Gardeck</t>
  </si>
  <si>
    <t>https://static.www.nfl.com/image/upload/f_auto,q_auto/league/n7dgy1vckfce4ynxeoil</t>
  </si>
  <si>
    <t>00-0034485</t>
  </si>
  <si>
    <t>J.Owens</t>
  </si>
  <si>
    <t>Jonathan Owens</t>
  </si>
  <si>
    <t>https://static.www.nfl.com/image/upload/f_auto,q_auto/league/nefkbybdw0icaynztmxk</t>
  </si>
  <si>
    <t>00-0034487</t>
  </si>
  <si>
    <t>T.Sherfield</t>
  </si>
  <si>
    <t>Trent Sherfield</t>
  </si>
  <si>
    <t>https://static.www.nfl.com/image/upload/f_auto,q_auto/league/euvbflse91irfzlk7yiq</t>
  </si>
  <si>
    <t>00-0034488</t>
  </si>
  <si>
    <t>T.Thomas</t>
  </si>
  <si>
    <t>Tavierre Thomas</t>
  </si>
  <si>
    <t>https://static.www.nfl.com/image/upload/f_auto,q_auto/league/bbljj6ltlnswmkqjhzfw</t>
  </si>
  <si>
    <t>00-0034495</t>
  </si>
  <si>
    <t>Ev.Brown</t>
  </si>
  <si>
    <t>Evan Brown</t>
  </si>
  <si>
    <t>https://static.www.nfl.com/image/upload/f_auto,q_auto/league/tlw4pewhhoepd5998bg4</t>
  </si>
  <si>
    <t>00-0034521</t>
  </si>
  <si>
    <t>A.Lazard</t>
  </si>
  <si>
    <t>Allen Lazard</t>
  </si>
  <si>
    <t>https://static.www.nfl.com/image/upload/f_auto,q_auto/league/b05f33npu1zjtpozfgdk</t>
  </si>
  <si>
    <t>00-0034571</t>
  </si>
  <si>
    <t>T.Scott</t>
  </si>
  <si>
    <t>Trent Scott</t>
  </si>
  <si>
    <t>https://static.www.nfl.com/image/upload/f_auto,q_auto/league/v5tyxvb4cdtzumhdzbd0</t>
  </si>
  <si>
    <t>00-0034573</t>
  </si>
  <si>
    <t>C.Ward</t>
  </si>
  <si>
    <t>Charvarius Ward</t>
  </si>
  <si>
    <t>https://static.www.nfl.com/image/upload/f_auto,q_auto/league/vbxv5ynhjrayfzbe2lda</t>
  </si>
  <si>
    <t>00-0034577</t>
  </si>
  <si>
    <t>Kyle Allen</t>
  </si>
  <si>
    <t>https://static.www.nfl.com/image/upload/f_auto,q_auto/league/vq3aw57yyjtydur0divt</t>
  </si>
  <si>
    <t>00-0034613</t>
  </si>
  <si>
    <t>T.Hudson</t>
  </si>
  <si>
    <t>https://static.www.nfl.com/image/upload/f_auto,q_auto/league/xe86peg3bxumjzfmtait</t>
  </si>
  <si>
    <t>00-0034639</t>
  </si>
  <si>
    <t>M.Ford</t>
  </si>
  <si>
    <t>Mike Ford</t>
  </si>
  <si>
    <t>https://static.www.nfl.com/image/upload/f_auto,q_auto/league/njli78vr2hcan6rfogsb</t>
  </si>
  <si>
    <t>00-0034657</t>
  </si>
  <si>
    <t>M.Dickerson</t>
  </si>
  <si>
    <t>Matt Dickerson</t>
  </si>
  <si>
    <t>https://static.www.nfl.com/image/upload/f_auto,q_auto/league/swevjtjnkyxxkei5jtsm</t>
  </si>
  <si>
    <t>00-0034668</t>
  </si>
  <si>
    <t>A.Stinnie</t>
  </si>
  <si>
    <t>Aaron Stinnie</t>
  </si>
  <si>
    <t>https://static.www.nfl.com/image/upload/f_auto,q_auto/league/fi5wxfsa59aw80nwetoi</t>
  </si>
  <si>
    <t>00-0034673</t>
  </si>
  <si>
    <t>T.Edmunds</t>
  </si>
  <si>
    <t>Tremaine Edmunds</t>
  </si>
  <si>
    <t>https://static.www.nfl.com/image/upload/f_auto,q_auto/league/unz9o9leinnet5o4qlsr</t>
  </si>
  <si>
    <t>00-0034675</t>
  </si>
  <si>
    <t>J.Bates</t>
  </si>
  <si>
    <t>Jessie Bates</t>
  </si>
  <si>
    <t>https://static.www.nfl.com/image/upload/f_auto,q_auto/league/ypv1sfm8zjghyzvmx0a1</t>
  </si>
  <si>
    <t>00-0034678</t>
  </si>
  <si>
    <t>A.Cappa</t>
  </si>
  <si>
    <t>Alex Cappa</t>
  </si>
  <si>
    <t>https://static.www.nfl.com/image/upload/f_auto,q_auto/league/flztjm6mqgjywtmaaioy</t>
  </si>
  <si>
    <t>00-0034681</t>
  </si>
  <si>
    <t>C.Edmonds</t>
  </si>
  <si>
    <t>https://static.www.nfl.com/image/upload/f_auto,q_auto/league/nbnqxhjafvg2vg6lc2ls</t>
  </si>
  <si>
    <t>00-0034720</t>
  </si>
  <si>
    <t>R.Spillane</t>
  </si>
  <si>
    <t>Robert Spillane</t>
  </si>
  <si>
    <t>https://static.www.nfl.com/image/upload/f_auto,q_auto/league/jt2r3dnb8dmywp1azotj</t>
  </si>
  <si>
    <t>00-0034721</t>
  </si>
  <si>
    <t>C.Bojorquez</t>
  </si>
  <si>
    <t>Corey Bojorquez</t>
  </si>
  <si>
    <t>https://static.www.nfl.com/image/private/f_auto,q_auto/league/eiuli9dmspe6d4cwwa00</t>
  </si>
  <si>
    <t>00-0034728</t>
  </si>
  <si>
    <t>J.Alexander</t>
  </si>
  <si>
    <t>Jaire Alexander</t>
  </si>
  <si>
    <t>https://static.www.nfl.com/image/upload/f_auto,q_auto/league/niwxzo2rjy1uuo3aehac</t>
  </si>
  <si>
    <t>00-0034746</t>
  </si>
  <si>
    <t>M.Hurst</t>
  </si>
  <si>
    <t>Maurice Hurst</t>
  </si>
  <si>
    <t>https://static.www.nfl.com/image/upload/f_auto,q_auto/league/j4y7trnt3kiptgfklo8o</t>
  </si>
  <si>
    <t>00-0034752</t>
  </si>
  <si>
    <t>O.Brown</t>
  </si>
  <si>
    <t>Orlando Brown</t>
  </si>
  <si>
    <t>https://static.www.nfl.com/image/private/f_auto,q_auto/league/icuytojhzdm0dqxoebo4</t>
  </si>
  <si>
    <t>00-0034753</t>
  </si>
  <si>
    <t>M.Andrews</t>
  </si>
  <si>
    <t>https://static.www.nfl.com/image/upload/f_auto,q_auto/league/wzx3p0hzm3qyqsrfqznb</t>
  </si>
  <si>
    <t>00-0034754</t>
  </si>
  <si>
    <t>O.Burks</t>
  </si>
  <si>
    <t>Oren Burks</t>
  </si>
  <si>
    <t>https://static.www.nfl.com/image/upload/f_auto,q_auto/league/efcamqfjel7jozjdvbe9</t>
  </si>
  <si>
    <t>00-0034760</t>
  </si>
  <si>
    <t>N.Shepherd</t>
  </si>
  <si>
    <t>Nathan Shepherd</t>
  </si>
  <si>
    <t>https://static.www.nfl.com/image/upload/f_auto,q_auto/league/sl9b2jgyvmo5yn0vglok</t>
  </si>
  <si>
    <t>00-0034771</t>
  </si>
  <si>
    <t>M.Rudolph</t>
  </si>
  <si>
    <t>Mason Rudolph</t>
  </si>
  <si>
    <t>https://static.www.nfl.com/image/upload/f_auto,q_auto/league/vaeklpqoesk72mlloora</t>
  </si>
  <si>
    <t>00-0034773</t>
  </si>
  <si>
    <t>V.Vea</t>
  </si>
  <si>
    <t>Vita Vea</t>
  </si>
  <si>
    <t>https://static.www.nfl.com/image/upload/f_auto,q_auto/league/enh7ieutevvqmvrn13ob</t>
  </si>
  <si>
    <t>00-0034775</t>
  </si>
  <si>
    <t>C.Kirk</t>
  </si>
  <si>
    <t>https://static.www.nfl.com/image/upload/f_auto,q_auto/league/bugikrmfz5k4jvyaogza</t>
  </si>
  <si>
    <t>00-0034778</t>
  </si>
  <si>
    <t>C.Davis</t>
  </si>
  <si>
    <t>Carlton Davis III</t>
  </si>
  <si>
    <t>https://static.www.nfl.com/image/upload/f_auto,q_auto/league/pzbrbbwgymysharir2ms</t>
  </si>
  <si>
    <t>00-0034779</t>
  </si>
  <si>
    <t>R.Harrison</t>
  </si>
  <si>
    <t>Ronnie Harrison</t>
  </si>
  <si>
    <t>https://static.www.nfl.com/image/upload/f_auto,q_auto/league/mdkbai0lmyu6pbe13ovb</t>
  </si>
  <si>
    <t>00-0034780</t>
  </si>
  <si>
    <t>I.Yiadom</t>
  </si>
  <si>
    <t>Isaac Yiadom</t>
  </si>
  <si>
    <t>https://static.www.nfl.com/image/upload/f_auto,q_auto/league/yshnc3lfpcams5ropegx</t>
  </si>
  <si>
    <t>00-0034782</t>
  </si>
  <si>
    <t>H.Phillips</t>
  </si>
  <si>
    <t>Harrison Phillips</t>
  </si>
  <si>
    <t>https://static.www.nfl.com/image/upload/f_auto,q_auto/league/znophhdzukalwuwsx6vx</t>
  </si>
  <si>
    <t>00-0034787</t>
  </si>
  <si>
    <t>C.Board</t>
  </si>
  <si>
    <t>Chris Board</t>
  </si>
  <si>
    <t>https://static.www.nfl.com/image/upload/f_auto,q_auto/league/xrhz4xljlfr6cpmfbgjw</t>
  </si>
  <si>
    <t>00-0034789</t>
  </si>
  <si>
    <t>M.Fitzpatrick</t>
  </si>
  <si>
    <t>Minkah Fitzpatrick</t>
  </si>
  <si>
    <t>https://static.www.nfl.com/image/upload/f_auto,q_auto/league/umy9w1ayh5lnhjc10mmq</t>
  </si>
  <si>
    <t>00-0034790</t>
  </si>
  <si>
    <t>D.James</t>
  </si>
  <si>
    <t>Derwin James</t>
  </si>
  <si>
    <t>https://static.www.nfl.com/image/upload/f_auto,q_auto/league/z9au0ajgcwoeozfdu0ec</t>
  </si>
  <si>
    <t>00-0034791</t>
  </si>
  <si>
    <t>N.Chubb</t>
  </si>
  <si>
    <t>Nick Chubb</t>
  </si>
  <si>
    <t>https://static.www.nfl.com/image/upload/f_auto,q_auto/league/h5y74trx6l8ivpkbmrkt</t>
  </si>
  <si>
    <t>00-0034792</t>
  </si>
  <si>
    <t>C.Armstrong</t>
  </si>
  <si>
    <t>Cornell Armstrong</t>
  </si>
  <si>
    <t>https://static.www.nfl.com/image/upload/f_auto,q_auto/league/aslfjfnirvlt7u6z8hkn</t>
  </si>
  <si>
    <t>00-0034796</t>
  </si>
  <si>
    <t>L.Jackson</t>
  </si>
  <si>
    <t>Lamar Jackson</t>
  </si>
  <si>
    <t>https://static.www.nfl.com/image/upload/f_auto,q_auto/league/cruqs6qpbykh7a2whd7p</t>
  </si>
  <si>
    <t>00-0034797</t>
  </si>
  <si>
    <t>J.Baker</t>
  </si>
  <si>
    <t>Jerome Baker</t>
  </si>
  <si>
    <t>https://static.www.nfl.com/image/upload/f_auto,q_auto/league/wdo4k5bdufnhhu8izyj4</t>
  </si>
  <si>
    <t>00-0034798</t>
  </si>
  <si>
    <t>D.Smythe</t>
  </si>
  <si>
    <t>https://static.www.nfl.com/image/upload/f_auto,q_auto/league/qmpveaqrfntryixpjqq2</t>
  </si>
  <si>
    <t>00-0034800</t>
  </si>
  <si>
    <t>B.Hill</t>
  </si>
  <si>
    <t>B.J. Hill</t>
  </si>
  <si>
    <t>https://static.www.nfl.com/image/upload/f_auto,q_auto/league/t5d3t2wt1goqgv5njdqa</t>
  </si>
  <si>
    <t>00-0034801</t>
  </si>
  <si>
    <t>J.Woods</t>
  </si>
  <si>
    <t>Josh Woods</t>
  </si>
  <si>
    <t>https://static.www.nfl.com/image/upload/f_auto,q_auto/league/p6wltly2bismav4hvfvb</t>
  </si>
  <si>
    <t>00-0034803</t>
  </si>
  <si>
    <t>J.Noteboom</t>
  </si>
  <si>
    <t>Joe Noteboom</t>
  </si>
  <si>
    <t>https://static.www.nfl.com/image/upload/f_auto,q_auto/league/dn3tttcun4lwo7dbwsbq</t>
  </si>
  <si>
    <t>00-0034805</t>
  </si>
  <si>
    <t>J.Franklin-Myers</t>
  </si>
  <si>
    <t>John Franklin-Myers</t>
  </si>
  <si>
    <t>https://static.www.nfl.com/image/upload/f_auto,q_auto/league/uddpcfoopacmfjcovnvi</t>
  </si>
  <si>
    <t>00-0034810</t>
  </si>
  <si>
    <t>S.Joseph</t>
  </si>
  <si>
    <t>Sebastian Joseph-Day</t>
  </si>
  <si>
    <t>https://static.www.nfl.com/image/upload/f_auto,q_auto/league/clutt16odnru2dvidv9w</t>
  </si>
  <si>
    <t>00-0034815</t>
  </si>
  <si>
    <t>F.Warner</t>
  </si>
  <si>
    <t>Fred Warner</t>
  </si>
  <si>
    <t>https://static.www.nfl.com/image/upload/f_auto,q_auto/league/u3en19iyyfc64d3vprh6</t>
  </si>
  <si>
    <t>00-0034818</t>
  </si>
  <si>
    <t>D.Nnadi</t>
  </si>
  <si>
    <t>Derrick Nnadi</t>
  </si>
  <si>
    <t>https://static.www.nfl.com/image/upload/f_auto,q_auto/league/dbzhxihrdflpqcgcn7z4</t>
  </si>
  <si>
    <t>00-0034825</t>
  </si>
  <si>
    <t>A.Key</t>
  </si>
  <si>
    <t>Arden Key</t>
  </si>
  <si>
    <t>https://static.www.nfl.com/image/upload/f_auto,q_auto/league/wgnbernjlxpmk5rhgkhn</t>
  </si>
  <si>
    <t>00-0034827</t>
  </si>
  <si>
    <t>https://static.www.nfl.com/image/upload/f_auto,q_auto/league/qphturmeiifnqrnf5pax</t>
  </si>
  <si>
    <t>00-0034828</t>
  </si>
  <si>
    <t>H.Landry</t>
  </si>
  <si>
    <t>Harold Landry III</t>
  </si>
  <si>
    <t>https://static.www.nfl.com/image/upload/f_auto,q_auto/league/u4vo0zlxvsph3annhc4f</t>
  </si>
  <si>
    <t>00-0034829</t>
  </si>
  <si>
    <t>M.Gesicki</t>
  </si>
  <si>
    <t>https://static.www.nfl.com/image/upload/f_auto,q_auto/league/mfswo0trev4oi2gnb41e</t>
  </si>
  <si>
    <t>00-0034832</t>
  </si>
  <si>
    <t>B.Chubb</t>
  </si>
  <si>
    <t>Bradley Chubb</t>
  </si>
  <si>
    <t>https://static.www.nfl.com/image/upload/f_auto,q_auto/league/u0hpsvirbf0ksqqrr4of</t>
  </si>
  <si>
    <t>00-0034836</t>
  </si>
  <si>
    <t>B.Smith</t>
  </si>
  <si>
    <t>Braden Smith</t>
  </si>
  <si>
    <t>https://static.www.nfl.com/image/upload/f_auto,q_auto/league/xajcpouicrecoyupypyw</t>
  </si>
  <si>
    <t>00-0034837</t>
  </si>
  <si>
    <t>C.Ridley</t>
  </si>
  <si>
    <t>https://static.www.nfl.com/image/upload/f_auto,q_auto/league/l96rlegwqz7qfakbdtlp</t>
  </si>
  <si>
    <t>00-0034842</t>
  </si>
  <si>
    <t>T.Bryan</t>
  </si>
  <si>
    <t>Taven Bryan</t>
  </si>
  <si>
    <t>https://static.www.nfl.com/image/upload/f_auto,q_auto/league/omwj6uyx0ermi51ptvh6</t>
  </si>
  <si>
    <t>00-0034843</t>
  </si>
  <si>
    <t>M.Hughes</t>
  </si>
  <si>
    <t>Mike Hughes</t>
  </si>
  <si>
    <t>https://static.www.nfl.com/image/upload/f_auto,q_auto/league/fzxie6iznr3i8qc2pmnv</t>
  </si>
  <si>
    <t>00-0034844</t>
  </si>
  <si>
    <t>S.Barkley</t>
  </si>
  <si>
    <t>https://static.www.nfl.com/image/upload/f_auto,q_auto/league/ern1nbhivkmwkg82c7v1</t>
  </si>
  <si>
    <t>00-0034847</t>
  </si>
  <si>
    <t>M.McGlinchey</t>
  </si>
  <si>
    <t>Mike McGlinchey</t>
  </si>
  <si>
    <t>https://static.www.nfl.com/image/upload/f_auto,q_auto/league/rlmc7tqeolzj5btkdicj</t>
  </si>
  <si>
    <t>00-0034854</t>
  </si>
  <si>
    <t>K.Hodge</t>
  </si>
  <si>
    <t>KhaDarel Hodge</t>
  </si>
  <si>
    <t>https://static.www.nfl.com/image/upload/f_auto,q_auto/league/r6vyxamrbb62lcccap2r</t>
  </si>
  <si>
    <t>00-0034855</t>
  </si>
  <si>
    <t>B.Mayfield</t>
  </si>
  <si>
    <t>Baker Mayfield</t>
  </si>
  <si>
    <t>https://static.www.nfl.com/image/upload/f_auto,q_auto/league/i2uufyghiphx4oihgucm</t>
  </si>
  <si>
    <t>00-0034856</t>
  </si>
  <si>
    <t>D.Ward</t>
  </si>
  <si>
    <t>Denzel Ward</t>
  </si>
  <si>
    <t>https://static.www.nfl.com/image/upload/f_auto,q_auto/league/mmp5gacrbeeolrsgg5wm</t>
  </si>
  <si>
    <t>00-0034857</t>
  </si>
  <si>
    <t>Josh Allen</t>
  </si>
  <si>
    <t>https://static.www.nfl.com/image/upload/f_auto,q_auto/league/servs1fpsynfxep4rz2z</t>
  </si>
  <si>
    <t>00-0034860</t>
  </si>
  <si>
    <t>D.Pettis</t>
  </si>
  <si>
    <t>https://static.www.nfl.com/image/upload/f_auto,q_auto/league/xz70t2ahl2ak2q9mqtia</t>
  </si>
  <si>
    <t>00-0034867</t>
  </si>
  <si>
    <t>M.Turner</t>
  </si>
  <si>
    <t>https://static.www.nfl.com/image/private/f_auto,q_auto/league/r7wv14bgrb5ohjmqsf9p</t>
  </si>
  <si>
    <t>00-0034869</t>
  </si>
  <si>
    <t>S.Darnold</t>
  </si>
  <si>
    <t>Sam Darnold</t>
  </si>
  <si>
    <t>https://static.www.nfl.com/image/upload/f_auto,q_auto/league/s5t8m6bhedjwwtfw3ild</t>
  </si>
  <si>
    <t>00-0034874</t>
  </si>
  <si>
    <t>R.Smith</t>
  </si>
  <si>
    <t>Roquan Smith</t>
  </si>
  <si>
    <t>https://static.www.nfl.com/image/upload/f_auto,q_auto/league/ru4idxsvmhlpiwx6za9a</t>
  </si>
  <si>
    <t>00-0034928</t>
  </si>
  <si>
    <t>S.Sims</t>
  </si>
  <si>
    <t>Steven Sims</t>
  </si>
  <si>
    <t>https://static.www.nfl.com/image/upload/f_auto,q_auto/league/j4wvyoqtwt34h8qamgun</t>
  </si>
  <si>
    <t>00-0034941</t>
  </si>
  <si>
    <t>M.Wishnowsky</t>
  </si>
  <si>
    <t>Mitch Wishnowsky</t>
  </si>
  <si>
    <t>https://static.www.nfl.com/image/upload/f_auto,q_auto/league/kjifuyh2rm6dygczcv4f</t>
  </si>
  <si>
    <t>00-0034951</t>
  </si>
  <si>
    <t>F.Johnson</t>
  </si>
  <si>
    <t>Fred Johnson</t>
  </si>
  <si>
    <t>https://static.www.nfl.com/image/private/f_auto,q_auto/league/unogqelkwjhl0qwfbyu5</t>
  </si>
  <si>
    <t>00-0034955</t>
  </si>
  <si>
    <t>B.Rypien</t>
  </si>
  <si>
    <t>Brett Rypien</t>
  </si>
  <si>
    <t>https://static.www.nfl.com/image/upload/f_auto,q_auto/league/aagqym9xmd5rligbbacq</t>
  </si>
  <si>
    <t>00-0034959</t>
  </si>
  <si>
    <t>A.Beck</t>
  </si>
  <si>
    <t>Andrew Beck</t>
  </si>
  <si>
    <t>https://static.www.nfl.com/image/upload/f_auto,q_auto/league/cgfleml3vlakevf285n3</t>
  </si>
  <si>
    <t>00-0034960</t>
  </si>
  <si>
    <t>J.Meyers</t>
  </si>
  <si>
    <t>https://static.www.nfl.com/image/upload/f_auto,q_auto/league/qui5ajbevlk7pfjpcufz</t>
  </si>
  <si>
    <t>00-0034966</t>
  </si>
  <si>
    <t>D.Ross</t>
  </si>
  <si>
    <t>D'Angelo Ross</t>
  </si>
  <si>
    <t>https://static.www.nfl.com/image/upload/f_auto,q_auto/league/knsvo3gypaqfo3vtnt1o</t>
  </si>
  <si>
    <t>00-0034967</t>
  </si>
  <si>
    <t>R.Gary</t>
  </si>
  <si>
    <t>Rashan Gary</t>
  </si>
  <si>
    <t>https://static.www.nfl.com/image/private/f_auto,q_auto/league/t4clz4xe8sfxszmvohfo</t>
  </si>
  <si>
    <t>00-0034968</t>
  </si>
  <si>
    <t>D.Savage</t>
  </si>
  <si>
    <t>Darnell Savage</t>
  </si>
  <si>
    <t>https://static.www.nfl.com/image/upload/f_auto,q_auto/league/oahujzgwcvkeyc9qpqrb</t>
  </si>
  <si>
    <t>00-0034973</t>
  </si>
  <si>
    <t>M.Crosby</t>
  </si>
  <si>
    <t>Maxx Crosby</t>
  </si>
  <si>
    <t>https://static.www.nfl.com/image/upload/f_auto,q_auto/league/eradjc0noknlab2smu1e</t>
  </si>
  <si>
    <t>00-0034974</t>
  </si>
  <si>
    <t>J.Love</t>
  </si>
  <si>
    <t>Julian Love</t>
  </si>
  <si>
    <t>https://static.www.nfl.com/image/upload/f_auto,q_auto/league/s3fvfslhz6hpmf6fzv2u</t>
  </si>
  <si>
    <t>00-0034975</t>
  </si>
  <si>
    <t>J.Hill</t>
  </si>
  <si>
    <t>https://static.www.nfl.com/image/upload/f_auto,q_auto/league/h6p9crhra8ehxju3ubza</t>
  </si>
  <si>
    <t>00-0034978</t>
  </si>
  <si>
    <t>B.Powers</t>
  </si>
  <si>
    <t>Ben Powers</t>
  </si>
  <si>
    <t>https://static.www.nfl.com/image/upload/f_auto,q_auto/league/fajb5zieqq91lh0ymlws</t>
  </si>
  <si>
    <t>00-0034981</t>
  </si>
  <si>
    <t>https://static.www.nfl.com/image/upload/f_auto,q_auto/league/esc21tsccagvyy1ctaoc</t>
  </si>
  <si>
    <t>00-0034982</t>
  </si>
  <si>
    <t>D.Greenlaw</t>
  </si>
  <si>
    <t>Dre Greenlaw</t>
  </si>
  <si>
    <t>https://static.www.nfl.com/image/upload/f_auto,q_auto/league/twmm0to7fptnq71n75iz</t>
  </si>
  <si>
    <t>00-0034983</t>
  </si>
  <si>
    <t>H.Renfrow</t>
  </si>
  <si>
    <t>Hunter Renfrow</t>
  </si>
  <si>
    <t>https://static.www.nfl.com/image/upload/f_auto,q_auto/league/sgrqk1a6fm34swazm2bx</t>
  </si>
  <si>
    <t>00-0034987</t>
  </si>
  <si>
    <t>E.Speed</t>
  </si>
  <si>
    <t>E.J. Speed</t>
  </si>
  <si>
    <t>https://static.www.nfl.com/image/upload/f_auto,q_auto/league/lpqe7elzi8tbt8rjzozd</t>
  </si>
  <si>
    <t>00-0034989</t>
  </si>
  <si>
    <t>J.Skule</t>
  </si>
  <si>
    <t>Justin Skule</t>
  </si>
  <si>
    <t>https://static.www.nfl.com/image/upload/f_auto,q_auto/league/qhgittdykajfsjsznegg</t>
  </si>
  <si>
    <t>00-0034993</t>
  </si>
  <si>
    <t>M.Epps</t>
  </si>
  <si>
    <t>Marcus Epps</t>
  </si>
  <si>
    <t>https://static.www.nfl.com/image/upload/f_auto,q_auto/league/buqwodgcsy5ndrrxtpga</t>
  </si>
  <si>
    <t>00-0034994</t>
  </si>
  <si>
    <t>O.Udoh</t>
  </si>
  <si>
    <t>Olisaemeka Udoh</t>
  </si>
  <si>
    <t>https://static.www.nfl.com/image/upload/f_auto,q_auto/league/i4odgbpj1mebaq92mpo2</t>
  </si>
  <si>
    <t>00-0034999</t>
  </si>
  <si>
    <t>T.Summers</t>
  </si>
  <si>
    <t>Ty Summers</t>
  </si>
  <si>
    <t>https://static.www.nfl.com/image/upload/f_auto,q_auto/league/gx55memu9ifriore7bzy</t>
  </si>
  <si>
    <t>00-0035000</t>
  </si>
  <si>
    <t>Q.Bell</t>
  </si>
  <si>
    <t>Quinton Bell</t>
  </si>
  <si>
    <t>https://static.www.nfl.com/image/upload/f_auto,q_auto/league/zjs3eeybw4lxtljzm8lf</t>
  </si>
  <si>
    <t>00-0035020</t>
  </si>
  <si>
    <t>D.Flannigan-Fowles</t>
  </si>
  <si>
    <t>Demetrius Flannigan-Fowles</t>
  </si>
  <si>
    <t>https://static.www.nfl.com/image/upload/f_auto,q_auto/league/elhj5qgby9zxlasenqjb</t>
  </si>
  <si>
    <t>00-0035021</t>
  </si>
  <si>
    <t>A.Dulin</t>
  </si>
  <si>
    <t>https://static.www.nfl.com/image/upload/f_auto,q_auto/league/tfiokr6nyal5c5qgdj1c</t>
  </si>
  <si>
    <t>00-0035026</t>
  </si>
  <si>
    <t>K.Givens</t>
  </si>
  <si>
    <t>Kevin Givens</t>
  </si>
  <si>
    <t>https://static.www.nfl.com/image/upload/f_auto,q_auto/league/dpbmpsyvi88lpb4xebly</t>
  </si>
  <si>
    <t>00-0035042</t>
  </si>
  <si>
    <t>J.Gillan</t>
  </si>
  <si>
    <t>Jamie Gillan</t>
  </si>
  <si>
    <t>https://static.www.nfl.com/image/upload/f_auto,q_auto/league/kxwddoiqqghc1kxaajco</t>
  </si>
  <si>
    <t>00-0035084</t>
  </si>
  <si>
    <t>Y.Nijman</t>
  </si>
  <si>
    <t>Yosh Nijman</t>
  </si>
  <si>
    <t>https://static.www.nfl.com/image/upload/f_auto,q_auto/league/zkc4avbq8cmmqo9flz4z</t>
  </si>
  <si>
    <t>00-0035100</t>
  </si>
  <si>
    <t>J.Browning</t>
  </si>
  <si>
    <t>Jake Browning</t>
  </si>
  <si>
    <t>https://static.www.nfl.com/image/upload/f_auto,q_auto/league/kzyh6yum2w3c6xrkndla</t>
  </si>
  <si>
    <t>00-0035112</t>
  </si>
  <si>
    <t>P.Mekari</t>
  </si>
  <si>
    <t>Patrick Mekari</t>
  </si>
  <si>
    <t>https://static.www.nfl.com/image/upload/f_auto,q_auto/league/vvvuokcp8hwm8i9j9ctb</t>
  </si>
  <si>
    <t>00-0035118</t>
  </si>
  <si>
    <t>M.Orzech</t>
  </si>
  <si>
    <t>Matthew Orzech</t>
  </si>
  <si>
    <t>https://static.www.nfl.com/image/upload/f_auto,q_auto/league/kfuljmbcfkwx1quqoklv</t>
  </si>
  <si>
    <t>00-0035125</t>
  </si>
  <si>
    <t>A.Ingold</t>
  </si>
  <si>
    <t>Alec Ingold</t>
  </si>
  <si>
    <t>https://static.www.nfl.com/image/upload/f_auto,q_auto/league/comhknenryrjabyifcqe</t>
  </si>
  <si>
    <t>00-0035133</t>
  </si>
  <si>
    <t>K.Nixon</t>
  </si>
  <si>
    <t>Keisean Nixon</t>
  </si>
  <si>
    <t>https://static.www.nfl.com/image/upload/f_auto,q_auto/league/vl34o93l5u7ins8ioebi</t>
  </si>
  <si>
    <t>00-0035140</t>
  </si>
  <si>
    <t>M.Hardman</t>
  </si>
  <si>
    <t>Mecole Hardman</t>
  </si>
  <si>
    <t>https://static.www.nfl.com/image/upload/f_auto,q_auto/league/mswmia17pkencx01nswj</t>
  </si>
  <si>
    <t>00-0035142</t>
  </si>
  <si>
    <t>U.Amadi</t>
  </si>
  <si>
    <t>Ugo Amadi</t>
  </si>
  <si>
    <t>https://static.www.nfl.com/image/upload/f_auto,q_auto/league/xo6ierx4ousz4wxuye0z</t>
  </si>
  <si>
    <t>00-0035144</t>
  </si>
  <si>
    <t>Ma.Wilson</t>
  </si>
  <si>
    <t>Mack Wilson</t>
  </si>
  <si>
    <t>https://static.www.nfl.com/image/upload/f_auto,q_auto/league/zjazfilpr7k2agiwqpxn</t>
  </si>
  <si>
    <t>00-0035149</t>
  </si>
  <si>
    <t>N.Allegretti</t>
  </si>
  <si>
    <t>Nick Allegretti</t>
  </si>
  <si>
    <t>https://static.www.nfl.com/image/upload/f_auto,q_auto/league/vblrphfqfohxa2hycuue</t>
  </si>
  <si>
    <t>00-0035156</t>
  </si>
  <si>
    <t>J.Fox</t>
  </si>
  <si>
    <t>Jack Fox</t>
  </si>
  <si>
    <t>https://static.www.nfl.com/image/upload/f_auto,q_auto/league/oxbywegffnm7lrwl2map</t>
  </si>
  <si>
    <t>00-0035157</t>
  </si>
  <si>
    <t>D.Harris</t>
  </si>
  <si>
    <t>Darius Harris</t>
  </si>
  <si>
    <t>https://static.www.nfl.com/image/upload/f_auto,q_auto/league/hhjpzik4tly0h4mwsigq</t>
  </si>
  <si>
    <t>00-0035166</t>
  </si>
  <si>
    <t>A.Al-Shaair</t>
  </si>
  <si>
    <t>Azeez Al-Shaair</t>
  </si>
  <si>
    <t>https://static.www.nfl.com/image/upload/f_auto,q_auto/league/gtnnl92squxvzhhydeq8</t>
  </si>
  <si>
    <t>00-0035189</t>
  </si>
  <si>
    <t>M.Wright</t>
  </si>
  <si>
    <t>Matthew Wright</t>
  </si>
  <si>
    <t>https://static.www.nfl.com/image/upload/f_auto,q_auto/league/htrs1hrrfok88fllrtex</t>
  </si>
  <si>
    <t>46;23;41;43;35</t>
  </si>
  <si>
    <t>00-0035190</t>
  </si>
  <si>
    <t>A.Cole</t>
  </si>
  <si>
    <t>AJ Cole</t>
  </si>
  <si>
    <t>https://static.www.nfl.com/image/upload/f_auto,q_auto/league/t6ah2u0wptbb8n22tehr</t>
  </si>
  <si>
    <t>00-0035192</t>
  </si>
  <si>
    <t>J.Slye</t>
  </si>
  <si>
    <t>Joey Slye</t>
  </si>
  <si>
    <t>https://static.www.nfl.com/image/upload/f_auto,q_auto/league/xokfs27mtqrbb0y47ahn</t>
  </si>
  <si>
    <t>50;33;42;35;55;37;57;35;57;42;44;51;29;49;50;49;37;56;47;22;28;41;25;27;50;38;28;58</t>
  </si>
  <si>
    <t>64;41;43;58;50;52</t>
  </si>
  <si>
    <t>00-0035202</t>
  </si>
  <si>
    <t>D.Phillips</t>
  </si>
  <si>
    <t>Del'Shawn Phillips</t>
  </si>
  <si>
    <t>https://static.www.nfl.com/image/upload/f_auto,q_auto/league/plnsixu8jpozw1grxuvc</t>
  </si>
  <si>
    <t>00-0035208</t>
  </si>
  <si>
    <t>O.Zaccheaus</t>
  </si>
  <si>
    <t>https://static.www.nfl.com/image/upload/f_auto,q_auto/league/ucpai2odeunecbe6o1dj</t>
  </si>
  <si>
    <t>00-0035227</t>
  </si>
  <si>
    <t>P.Locke</t>
  </si>
  <si>
    <t>P.J. Locke</t>
  </si>
  <si>
    <t>https://static.www.nfl.com/image/upload/f_auto,q_auto/league/ojoaoxeadc6x0iekj3my</t>
  </si>
  <si>
    <t>00-0035228</t>
  </si>
  <si>
    <t>K.Murray</t>
  </si>
  <si>
    <t>Kyler Murray</t>
  </si>
  <si>
    <t>https://static.www.nfl.com/image/upload/f_auto,q_auto/league/flezsremqighwuiyu77f</t>
  </si>
  <si>
    <t>00-0035229</t>
  </si>
  <si>
    <t>T.Hockenson</t>
  </si>
  <si>
    <t>https://static.www.nfl.com/image/upload/f_auto,q_auto/league/rs8o65x0u0n9xzde0fd6</t>
  </si>
  <si>
    <t>00-0035230</t>
  </si>
  <si>
    <t>E.Oliver</t>
  </si>
  <si>
    <t>Ed Oliver</t>
  </si>
  <si>
    <t>https://static.www.nfl.com/image/upload/f_auto,q_auto/league/wqmheiax6xnk7pvcdzav</t>
  </si>
  <si>
    <t>00-0035234</t>
  </si>
  <si>
    <t>T.Howard</t>
  </si>
  <si>
    <t>Tytus Howard</t>
  </si>
  <si>
    <t>https://static.www.nfl.com/image/upload/f_auto,q_auto/league/dsxhasekno62of0prulo</t>
  </si>
  <si>
    <t>00-0035236</t>
  </si>
  <si>
    <t>B.Murphy</t>
  </si>
  <si>
    <t>Byron Murphy</t>
  </si>
  <si>
    <t>https://static.www.nfl.com/image/upload/f_auto,q_auto/league/secfzfwznyhcgiow4rvq</t>
  </si>
  <si>
    <t>00-0035237</t>
  </si>
  <si>
    <t>J.Taylor</t>
  </si>
  <si>
    <t>Jawaan Taylor</t>
  </si>
  <si>
    <t>https://static.www.nfl.com/image/upload/f_auto,q_auto/league/honwntzfepzenss8uqhw</t>
  </si>
  <si>
    <t>00-0035238</t>
  </si>
  <si>
    <t>C.Ford</t>
  </si>
  <si>
    <t>Cody Ford</t>
  </si>
  <si>
    <t>https://static.www.nfl.com/image/private/f_auto,q_auto/league/tvlrnep8pest5wubog4f</t>
  </si>
  <si>
    <t>00-0035240</t>
  </si>
  <si>
    <t>J.Tavai</t>
  </si>
  <si>
    <t>Jahlani Tavai</t>
  </si>
  <si>
    <t>https://static.www.nfl.com/image/upload/f_auto,q_auto/league/srlewkb9utcfby1x0bhh</t>
  </si>
  <si>
    <t>00-0035242</t>
  </si>
  <si>
    <t>E.McCoy</t>
  </si>
  <si>
    <t>Erik McCoy</t>
  </si>
  <si>
    <t>https://static.www.nfl.com/image/upload/f_auto,q_auto/league/w5kp02xeo5pg9shcddoz</t>
  </si>
  <si>
    <t>00-0035243</t>
  </si>
  <si>
    <t>M.Sanders</t>
  </si>
  <si>
    <t>Miles Sanders</t>
  </si>
  <si>
    <t>https://static.www.nfl.com/image/upload/f_auto,q_auto/league/niyjjkzmxjmesftgjs8y</t>
  </si>
  <si>
    <t>00-0035244</t>
  </si>
  <si>
    <t>Lonnie Johnson</t>
  </si>
  <si>
    <t>https://static.www.nfl.com/image/upload/f_auto,q_auto/league/a25iox2kpt2faeivak0g</t>
  </si>
  <si>
    <t>00-0035248</t>
  </si>
  <si>
    <t>Z.Allen</t>
  </si>
  <si>
    <t>Zach Allen</t>
  </si>
  <si>
    <t>https://static.www.nfl.com/image/upload/f_auto,q_auto/league/alnctfzlh2giup65i5zt</t>
  </si>
  <si>
    <t>00-0035249</t>
  </si>
  <si>
    <t>J.Oliver</t>
  </si>
  <si>
    <t>https://static.www.nfl.com/image/upload/f_auto,q_auto/league/pfvhbfguzu6wv9ikluop</t>
  </si>
  <si>
    <t>00-0035250</t>
  </si>
  <si>
    <t>D.Singletary</t>
  </si>
  <si>
    <t>https://static.www.nfl.com/image/upload/f_auto,q_auto/league/wqw8ee4nsxsisqb3bagw</t>
  </si>
  <si>
    <t>00-0035253</t>
  </si>
  <si>
    <t>C.Gardner-Johnson</t>
  </si>
  <si>
    <t>C.J. Gardner-Johnson</t>
  </si>
  <si>
    <t>https://static.www.nfl.com/image/upload/f_auto,q_auto/league/lgbewdwm0p4wnwfbcock</t>
  </si>
  <si>
    <t>00-0035254</t>
  </si>
  <si>
    <t>A.Nelson</t>
  </si>
  <si>
    <t>Anthony Nelson</t>
  </si>
  <si>
    <t>https://static.www.nfl.com/image/upload/f_auto,q_auto/league/p7ot8uy26tblyhgpwcdv</t>
  </si>
  <si>
    <t>00-0035255</t>
  </si>
  <si>
    <t>K.Sheffield</t>
  </si>
  <si>
    <t>Kendall Sheffield</t>
  </si>
  <si>
    <t>https://static.www.nfl.com/image/upload/f_auto,q_auto/league/ukj6kbovqjqrinpgeysa</t>
  </si>
  <si>
    <t>00-0035258</t>
  </si>
  <si>
    <t>H.Froholdt</t>
  </si>
  <si>
    <t>Hjalte Froholdt</t>
  </si>
  <si>
    <t>https://static.www.nfl.com/image/upload/f_auto,q_auto/league/w29pfmjsyr2ylmbvedol</t>
  </si>
  <si>
    <t>00-0035261</t>
  </si>
  <si>
    <t>T.Pollard</t>
  </si>
  <si>
    <t>https://static.www.nfl.com/image/upload/f_auto,q_auto/league/dvpdczetkdhrqpm8izmd</t>
  </si>
  <si>
    <t>00-0035262</t>
  </si>
  <si>
    <t>D.Tranquill</t>
  </si>
  <si>
    <t>Drue Tranquill</t>
  </si>
  <si>
    <t>https://static.www.nfl.com/image/upload/f_auto,q_auto/league/azjrwh0rdddskgckydsq</t>
  </si>
  <si>
    <t>00-0035264</t>
  </si>
  <si>
    <t>J.Stidham</t>
  </si>
  <si>
    <t>Jarrett Stidham</t>
  </si>
  <si>
    <t>https://static.www.nfl.com/image/upload/f_auto,q_auto/league/hlq7q7zkusdhmudwbodl</t>
  </si>
  <si>
    <t>00-0035266</t>
  </si>
  <si>
    <t>M.Jordan</t>
  </si>
  <si>
    <t>Mike Jordan</t>
  </si>
  <si>
    <t>https://static.www.nfl.com/image/upload/f_auto,q_auto/league/b7mi3e3r7n1cdlymjtwl</t>
  </si>
  <si>
    <t>00-0035269</t>
  </si>
  <si>
    <t>M.Gay</t>
  </si>
  <si>
    <t>Matt Gay</t>
  </si>
  <si>
    <t>https://static.www.nfl.com/image/upload/f_auto,q_auto/league/qeca8ofwxhytcioy29wc</t>
  </si>
  <si>
    <t>51;46;56;43;52;41;42;29;36;53;44;26;30;47;29;25;31</t>
  </si>
  <si>
    <t>58;52;37;50;51;56</t>
  </si>
  <si>
    <t>00-0035270</t>
  </si>
  <si>
    <t>A.Oruwariye</t>
  </si>
  <si>
    <t>Amani Oruwariye</t>
  </si>
  <si>
    <t>https://static.www.nfl.com/image/upload/f_auto,q_auto/league/rfqlsxmwdqnfcxng5oli</t>
  </si>
  <si>
    <t>00-0035272</t>
  </si>
  <si>
    <t>A.Van Ginkel</t>
  </si>
  <si>
    <t>Andrew Van Ginkel</t>
  </si>
  <si>
    <t>https://static.www.nfl.com/image/upload/f_auto,q_auto/league/vbpdlib647tcpzz59wyt</t>
  </si>
  <si>
    <t>00-0035276</t>
  </si>
  <si>
    <t>B.Cashman</t>
  </si>
  <si>
    <t>Blake Cashman</t>
  </si>
  <si>
    <t>https://static.www.nfl.com/image/upload/f_auto,q_auto/league/mvui8tjkoewkupyncbok</t>
  </si>
  <si>
    <t>00-0035277</t>
  </si>
  <si>
    <t>M.Jackson</t>
  </si>
  <si>
    <t>Mike Jackson</t>
  </si>
  <si>
    <t>https://static.www.nfl.com/image/upload/f_auto,q_auto/league/cqvxm9n1ncjq7hd2dtqb</t>
  </si>
  <si>
    <t>00-0035279</t>
  </si>
  <si>
    <t>C.Omenihu</t>
  </si>
  <si>
    <t>Charles Omenihu</t>
  </si>
  <si>
    <t>https://static.www.nfl.com/image/upload/f_auto,q_auto/league/eqdzy6rghyb0sywwbd8i</t>
  </si>
  <si>
    <t>00-0035280</t>
  </si>
  <si>
    <t>J.Bailey</t>
  </si>
  <si>
    <t>Jake Bailey</t>
  </si>
  <si>
    <t>https://static.www.nfl.com/image/upload/f_auto,q_auto/league/xgqo8pwrwqtmfhoaproq</t>
  </si>
  <si>
    <t>00-0035286</t>
  </si>
  <si>
    <t>C.Holcomb</t>
  </si>
  <si>
    <t>Cole Holcomb</t>
  </si>
  <si>
    <t>https://static.www.nfl.com/image/upload/f_auto,q_auto/league/hhhvsv4sv9zreuedr7lj</t>
  </si>
  <si>
    <t>00-0035289</t>
  </si>
  <si>
    <t>G.Minshew</t>
  </si>
  <si>
    <t>Gardner Minshew</t>
  </si>
  <si>
    <t>https://static.www.nfl.com/image/upload/f_auto,q_auto/league/lggwtoj1m0jxxiawtzpw</t>
  </si>
  <si>
    <t>00-0035291</t>
  </si>
  <si>
    <t>Trayveon Williams</t>
  </si>
  <si>
    <t>https://static.www.nfl.com/image/upload/f_auto,q_auto/league/zwei0idpruplnhlmpfkr</t>
  </si>
  <si>
    <t>00-0035298</t>
  </si>
  <si>
    <t>S.Miller</t>
  </si>
  <si>
    <t>Scott Miller</t>
  </si>
  <si>
    <t>https://static.www.nfl.com/image/upload/f_auto,q_auto/league/mlx2xhjvzt6pqwgoloqa</t>
  </si>
  <si>
    <t>00-0035301</t>
  </si>
  <si>
    <t>D.Wilson</t>
  </si>
  <si>
    <t>Donovan Wilson</t>
  </si>
  <si>
    <t>https://static.www.nfl.com/image/upload/f_auto,q_auto/league/fl10d0bhrvfrqkjamcgp</t>
  </si>
  <si>
    <t>00-0035311</t>
  </si>
  <si>
    <t>M.Gaskin</t>
  </si>
  <si>
    <t>Myles Gaskin</t>
  </si>
  <si>
    <t>https://static.www.nfl.com/image/upload/f_auto,q_auto/league/dn5kacxm99pb95u8dle1</t>
  </si>
  <si>
    <t>00-0035316</t>
  </si>
  <si>
    <t>K.Elliss</t>
  </si>
  <si>
    <t>Kaden Elliss</t>
  </si>
  <si>
    <t>https://static.www.nfl.com/image/upload/f_auto,q_auto/league/b7jmlakbznkeusvsztgo</t>
  </si>
  <si>
    <t>00-0035330</t>
  </si>
  <si>
    <t>A.Pittman</t>
  </si>
  <si>
    <t>Anthony Pittman</t>
  </si>
  <si>
    <t>https://static.www.nfl.com/image/upload/f_auto,q_auto/league/eitmt82nhdoeyeemklmi</t>
  </si>
  <si>
    <t>00-0035352</t>
  </si>
  <si>
    <t>T.Dodson</t>
  </si>
  <si>
    <t>Tyrel Dodson</t>
  </si>
  <si>
    <t>https://static.www.nfl.com/image/upload/f_auto,q_auto/league/ssfyc6yarlegh112xeoa</t>
  </si>
  <si>
    <t>00-0035355</t>
  </si>
  <si>
    <t>B.Hance</t>
  </si>
  <si>
    <t>Blake Hance</t>
  </si>
  <si>
    <t>https://static.www.nfl.com/image/upload/f_auto,q_auto/league/hdxdmuvnrlz3tykblysu</t>
  </si>
  <si>
    <t>00-0035357</t>
  </si>
  <si>
    <t>C.Lewis</t>
  </si>
  <si>
    <t>Cam Lewis</t>
  </si>
  <si>
    <t>https://static.www.nfl.com/image/upload/f_auto,q_auto/league/zjktx8s1xlcacohcfimq</t>
  </si>
  <si>
    <t>00-0035358</t>
  </si>
  <si>
    <t>C.McLaughlin</t>
  </si>
  <si>
    <t>Chase McLaughlin</t>
  </si>
  <si>
    <t>https://static.www.nfl.com/image/upload/f_auto,q_auto/league/vwefhtevyn2qxauchan5</t>
  </si>
  <si>
    <t>48;54;33;28;55;36;42;65;58;30;36;39;45;53;55;52;54;36;23;24;25;57;41;37;49;52;23;50;33;29;36;48</t>
  </si>
  <si>
    <t>44;38;49</t>
  </si>
  <si>
    <t>43;55;38</t>
  </si>
  <si>
    <t>36;39</t>
  </si>
  <si>
    <t>00-0035359</t>
  </si>
  <si>
    <t>D.Sills</t>
  </si>
  <si>
    <t>David Sills</t>
  </si>
  <si>
    <t>https://static.www.nfl.com/image/upload/f_auto,q_auto/league/b0vacwlg3vcau2vzg3ry</t>
  </si>
  <si>
    <t>00-0035363</t>
  </si>
  <si>
    <t>J.Giles-Harris</t>
  </si>
  <si>
    <t>Joe Giles-Harris</t>
  </si>
  <si>
    <t>https://static.www.nfl.com/image/upload/f_auto,q_auto/league/eh3338umczzrrmolwpur</t>
  </si>
  <si>
    <t>00-0035378</t>
  </si>
  <si>
    <t>A.Wingard</t>
  </si>
  <si>
    <t>Andrew Wingard</t>
  </si>
  <si>
    <t>https://static.www.nfl.com/image/upload/f_auto,q_auto/league/vumoaka528nab6au7caj</t>
  </si>
  <si>
    <t>00-0035386</t>
  </si>
  <si>
    <t>T.Edwards</t>
  </si>
  <si>
    <t>T.J. Edwards</t>
  </si>
  <si>
    <t>https://static.www.nfl.com/image/upload/f_auto,q_auto/league/tqu3uz4nzkcq4crcepj3</t>
  </si>
  <si>
    <t>00-0035402</t>
  </si>
  <si>
    <t>C.Granderson</t>
  </si>
  <si>
    <t>Carl Granderson</t>
  </si>
  <si>
    <t>https://static.www.nfl.com/image/upload/f_auto,q_auto/league/qubwfcjeareypbdlvwnb</t>
  </si>
  <si>
    <t>00-0035406</t>
  </si>
  <si>
    <t>L.Humphrey</t>
  </si>
  <si>
    <t>https://static.www.nfl.com/image/upload/f_auto,q_auto/league/otxrvkflhixz9akhmfqq</t>
  </si>
  <si>
    <t>00-0035409</t>
  </si>
  <si>
    <t>S.Tuttle</t>
  </si>
  <si>
    <t>Shy Tuttle</t>
  </si>
  <si>
    <t>https://static.www.nfl.com/image/upload/f_auto,q_auto/league/dbtt4xlpqoytpgiswgal</t>
  </si>
  <si>
    <t>00-0035413</t>
  </si>
  <si>
    <t>L.Gifford</t>
  </si>
  <si>
    <t>Luke Gifford</t>
  </si>
  <si>
    <t>https://static.www.nfl.com/image/upload/f_auto,q_auto/league/zuskjpnniq2xwnao6tuk</t>
  </si>
  <si>
    <t>00-0035500</t>
  </si>
  <si>
    <t>G.Dortch</t>
  </si>
  <si>
    <t>https://static.www.nfl.com/image/upload/f_auto,q_auto/league/jt4lbkjxkkrw3f644sft</t>
  </si>
  <si>
    <t>00-0035525</t>
  </si>
  <si>
    <t>D.Bush</t>
  </si>
  <si>
    <t>Devin Bush</t>
  </si>
  <si>
    <t>https://static.www.nfl.com/image/upload/f_auto,q_auto/league/pgpf5oeyel2jgsz2luaq</t>
  </si>
  <si>
    <t>00-0035526</t>
  </si>
  <si>
    <t>E.Jenkins</t>
  </si>
  <si>
    <t>Elgton Jenkins</t>
  </si>
  <si>
    <t>https://static.www.nfl.com/image/upload/f_auto,q_auto/league/wrahpqtdvxipwmrepiyl</t>
  </si>
  <si>
    <t>00-0035535</t>
  </si>
  <si>
    <t>D.Slayton</t>
  </si>
  <si>
    <t>https://static.www.nfl.com/image/upload/f_auto,q_auto/league/fyjkvaekv40jn72d0b3q</t>
  </si>
  <si>
    <t>00-0035537</t>
  </si>
  <si>
    <t>Ty.Johnson</t>
  </si>
  <si>
    <t>https://static.www.nfl.com/image/upload/f_auto,q_auto/league/hmnzcfm56ojey6myomjg</t>
  </si>
  <si>
    <t>00-0035542</t>
  </si>
  <si>
    <t>K.Hall</t>
  </si>
  <si>
    <t>Kemon Hall</t>
  </si>
  <si>
    <t>https://static.www.nfl.com/image/upload/f_auto,q_auto/league/bttfbfwzvxgoxcnmvqsx</t>
  </si>
  <si>
    <t>00-0035544</t>
  </si>
  <si>
    <t>T.Kennedy</t>
  </si>
  <si>
    <t>https://static.www.nfl.com/image/upload/f_auto,q_auto/league/gvqhhlipkpytuu4lqnps</t>
  </si>
  <si>
    <t>00-0035567</t>
  </si>
  <si>
    <t>C.Reynolds</t>
  </si>
  <si>
    <t>Craig Reynolds</t>
  </si>
  <si>
    <t>https://static.www.nfl.com/image/upload/f_auto,q_auto/league/f5zuttg3hinfqgronrsg</t>
  </si>
  <si>
    <t>00-0035588</t>
  </si>
  <si>
    <t>G.Bradbury</t>
  </si>
  <si>
    <t>Garrett Bradbury</t>
  </si>
  <si>
    <t>https://static.www.nfl.com/image/upload/f_auto,q_auto/league/ww9iafyxzq6olacamaow</t>
  </si>
  <si>
    <t>00-0035594</t>
  </si>
  <si>
    <t>T.Homer</t>
  </si>
  <si>
    <t>https://static.www.nfl.com/image/upload/f_auto,q_auto/league/dyyclvfaagspov2ydf3i</t>
  </si>
  <si>
    <t>00-0035602</t>
  </si>
  <si>
    <t>A.Bachman</t>
  </si>
  <si>
    <t>Alex Bachman</t>
  </si>
  <si>
    <t>https://static.www.nfl.com/image/upload/f_auto,q_auto/league/xebxem8tzjm0yyygaklg</t>
  </si>
  <si>
    <t>00-0035617</t>
  </si>
  <si>
    <t>T.Reeder</t>
  </si>
  <si>
    <t>Troy Reeder</t>
  </si>
  <si>
    <t>https://static.www.nfl.com/image/upload/f_auto,q_auto/league/laiuwnorvmneuwvav61k</t>
  </si>
  <si>
    <t>00-0035625</t>
  </si>
  <si>
    <t>J.Thornhill</t>
  </si>
  <si>
    <t>Juan Thornhill</t>
  </si>
  <si>
    <t>https://static.www.nfl.com/image/upload/f_auto,q_auto/league/os3bpcmalytfuwosxpzj</t>
  </si>
  <si>
    <t>00-0035628</t>
  </si>
  <si>
    <t>D.Johnson</t>
  </si>
  <si>
    <t>D'Ernest Johnson</t>
  </si>
  <si>
    <t>https://static.www.nfl.com/image/upload/f_auto,q_auto/league/gbe2eojaxid4n3pmo0rj</t>
  </si>
  <si>
    <t>00-0035629</t>
  </si>
  <si>
    <t>J.Williams</t>
  </si>
  <si>
    <t>Jonah Williams</t>
  </si>
  <si>
    <t>https://static.www.nfl.com/image/upload/f_auto,q_auto/league/ton1hb2fidrdk6zv8erf</t>
  </si>
  <si>
    <t>00-0035630</t>
  </si>
  <si>
    <t>C.Lindstrom</t>
  </si>
  <si>
    <t>Chris Lindstrom</t>
  </si>
  <si>
    <t>https://static.www.nfl.com/image/upload/f_auto,q_auto/league/siocu1rimlusd0x8ut1w</t>
  </si>
  <si>
    <t>00-0035631</t>
  </si>
  <si>
    <t>D.Sample</t>
  </si>
  <si>
    <t>https://static.www.nfl.com/image/upload/f_auto,q_auto/league/dvq8fanrbrpfgf2j3kpm</t>
  </si>
  <si>
    <t>00-0035632</t>
  </si>
  <si>
    <t>A.Hooker</t>
  </si>
  <si>
    <t>Amani Hooker</t>
  </si>
  <si>
    <t>https://static.www.nfl.com/image/upload/f_auto,q_auto/league/u9zrvmlfnvzmgttdcsn6</t>
  </si>
  <si>
    <t>00-0035633</t>
  </si>
  <si>
    <t>C.Ballentine</t>
  </si>
  <si>
    <t>Corey Ballentine</t>
  </si>
  <si>
    <t>https://static.www.nfl.com/image/upload/f_auto,q_auto/league/p1pbz0j3iviqhqtltudy</t>
  </si>
  <si>
    <t>00-0035636</t>
  </si>
  <si>
    <t>L.Collier</t>
  </si>
  <si>
    <t>L.J. Collier</t>
  </si>
  <si>
    <t>https://static.www.nfl.com/image/private/f_auto,q_auto/league/i39nt3smr30rgznvlal3</t>
  </si>
  <si>
    <t>00-0035637</t>
  </si>
  <si>
    <t>R.Ya-Sin</t>
  </si>
  <si>
    <t>Rock Ya-Sin</t>
  </si>
  <si>
    <t>https://static.www.nfl.com/image/upload/f_auto,q_auto/league/ezahxzran7e2ohnmtndh</t>
  </si>
  <si>
    <t>00-0035639</t>
  </si>
  <si>
    <t>P.Campbell</t>
  </si>
  <si>
    <t>https://static.www.nfl.com/image/upload/f_auto,q_auto/league/pmb3ypquiy5a2qzzmio4</t>
  </si>
  <si>
    <t>00-0035640</t>
  </si>
  <si>
    <t>D.Metcalf</t>
  </si>
  <si>
    <t>https://static.www.nfl.com/image/upload/f_auto,q_auto/league/tknefloqsleltfmslj2y</t>
  </si>
  <si>
    <t>00-0035642</t>
  </si>
  <si>
    <t>J.Hines-Allen</t>
  </si>
  <si>
    <t>Josh Hines-Allen</t>
  </si>
  <si>
    <t>https://static.www.nfl.com/image/upload/f_auto,q_auto/league/frooc3vy4adlwpkdnyks</t>
  </si>
  <si>
    <t>00-0035643</t>
  </si>
  <si>
    <t>J.Simmons</t>
  </si>
  <si>
    <t>Jeffery Simmons</t>
  </si>
  <si>
    <t>https://static.www.nfl.com/image/upload/f_auto,q_auto/league/gi2z8wipg8w9vnxwbav0</t>
  </si>
  <si>
    <t>00-0035644</t>
  </si>
  <si>
    <t>N.Fant</t>
  </si>
  <si>
    <t>https://static.www.nfl.com/image/upload/f_auto,q_auto/league/s4idwk38z6bin9lnnw9f</t>
  </si>
  <si>
    <t>00-0035645</t>
  </si>
  <si>
    <t>G.Olszewski</t>
  </si>
  <si>
    <t>https://static.www.nfl.com/image/upload/f_auto,q_auto/league/q6fs5e2eotgeh47xeo74</t>
  </si>
  <si>
    <t>00-0035646</t>
  </si>
  <si>
    <t>S.Takitaki</t>
  </si>
  <si>
    <t>Sione Takitaki</t>
  </si>
  <si>
    <t>https://static.www.nfl.com/image/upload/f_auto,q_auto/league/mx5kjkwhlgzbuhagmsb7</t>
  </si>
  <si>
    <t>00-0035647</t>
  </si>
  <si>
    <t>M.Sweat</t>
  </si>
  <si>
    <t>Montez Sweat</t>
  </si>
  <si>
    <t>https://static.www.nfl.com/image/upload/f_auto,q_auto/league/lmaq9dyixaolzxleqb5e</t>
  </si>
  <si>
    <t>00-0035655</t>
  </si>
  <si>
    <t>W.Harris</t>
  </si>
  <si>
    <t>Will Harris</t>
  </si>
  <si>
    <t>https://static.www.nfl.com/image/upload/f_auto,q_auto/league/u5dy7qow1rg8c8768koq</t>
  </si>
  <si>
    <t>00-0035656</t>
  </si>
  <si>
    <t>K.Saunders</t>
  </si>
  <si>
    <t>Khalen Saunders</t>
  </si>
  <si>
    <t>https://static.www.nfl.com/image/upload/f_auto,q_auto/league/ory67tgth5h9zjiriihh</t>
  </si>
  <si>
    <t>00-0035659</t>
  </si>
  <si>
    <t>T.McLaurin</t>
  </si>
  <si>
    <t>https://static.www.nfl.com/image/upload/f_auto,q_auto/league/wokz1etv1wj1vhbmvxgs</t>
  </si>
  <si>
    <t>00-0035662</t>
  </si>
  <si>
    <t>M.Brown</t>
  </si>
  <si>
    <t>Marquise Brown</t>
  </si>
  <si>
    <t>https://static.www.nfl.com/image/upload/f_auto,q_auto/league/ixuddegcphzmvjn4jq6r</t>
  </si>
  <si>
    <t>00-0035663</t>
  </si>
  <si>
    <t>T.Rapp</t>
  </si>
  <si>
    <t>Taylor Rapp</t>
  </si>
  <si>
    <t>https://static.www.nfl.com/image/upload/f_auto,q_auto/league/olasn9vezmd1uvomkpws</t>
  </si>
  <si>
    <t>00-0035667</t>
  </si>
  <si>
    <t>G.Gaines</t>
  </si>
  <si>
    <t>Greg Gaines</t>
  </si>
  <si>
    <t>https://static.www.nfl.com/image/upload/f_auto,q_auto/league/zo3aqstf8ng4tju17tid</t>
  </si>
  <si>
    <t>00-0035668</t>
  </si>
  <si>
    <t>D.Edwards</t>
  </si>
  <si>
    <t>David Edwards</t>
  </si>
  <si>
    <t>https://static.www.nfl.com/image/upload/f_auto,q_auto/league/bqypawezfqwbjzic4qty</t>
  </si>
  <si>
    <t>00-0035669</t>
  </si>
  <si>
    <t>N.Scott</t>
  </si>
  <si>
    <t>Nick Scott</t>
  </si>
  <si>
    <t>https://static.www.nfl.com/image/upload/f_auto,q_auto/league/cjfueipnys7gl5bby6gc</t>
  </si>
  <si>
    <t>00-0035672</t>
  </si>
  <si>
    <t>C.Barton</t>
  </si>
  <si>
    <t>Cody Barton</t>
  </si>
  <si>
    <t>https://static.www.nfl.com/image/upload/f_auto,q_auto/league/wbbjzgrgoi4nbgyqmjcs</t>
  </si>
  <si>
    <t>00-0035674</t>
  </si>
  <si>
    <t>J.Tillery</t>
  </si>
  <si>
    <t>Jerry Tillery</t>
  </si>
  <si>
    <t>https://static.www.nfl.com/image/upload/f_auto,q_auto/league/hyof95ttrz9czoqaxac7</t>
  </si>
  <si>
    <t>00-0035676</t>
  </si>
  <si>
    <t>A.Brown</t>
  </si>
  <si>
    <t>https://static.www.nfl.com/image/private/f_auto,q_auto/league/a014sgzctarbvhwb35lw</t>
  </si>
  <si>
    <t>00-0035678</t>
  </si>
  <si>
    <t>Dre'Mont Jones</t>
  </si>
  <si>
    <t>https://static.www.nfl.com/image/upload/f_auto,q_auto/league/tfkjcyycf2wcwb87ddjw</t>
  </si>
  <si>
    <t>00-0035679</t>
  </si>
  <si>
    <t>C.McGovern</t>
  </si>
  <si>
    <t>Connor McGovern</t>
  </si>
  <si>
    <t>https://static.www.nfl.com/image/upload/f_auto,q_auto/league/ahtkw1j1fygkhnbzv5ax</t>
  </si>
  <si>
    <t>00-0035680</t>
  </si>
  <si>
    <t>Q.Williams</t>
  </si>
  <si>
    <t>Quincy Williams</t>
  </si>
  <si>
    <t>https://static.www.nfl.com/image/upload/f_auto,q_auto/league/ukxxxlah4iappss0ro9e</t>
  </si>
  <si>
    <t>00-0035681</t>
  </si>
  <si>
    <t>Mike Edwards</t>
  </si>
  <si>
    <t>https://static.www.nfl.com/image/upload/f_auto,q_auto/league/bk3iu3ki1uhkalg3dt28</t>
  </si>
  <si>
    <t>00-0035683</t>
  </si>
  <si>
    <t>Dexter Lawrence</t>
  </si>
  <si>
    <t>https://static.www.nfl.com/image/upload/f_auto,q_auto/league/t204hku4pnzartvixi2m</t>
  </si>
  <si>
    <t>00-0035685</t>
  </si>
  <si>
    <t>D.Montgomery</t>
  </si>
  <si>
    <t>https://static.www.nfl.com/image/upload/f_auto,q_auto/league/xeb6fq4zimgkksq7uari</t>
  </si>
  <si>
    <t>00-0035687</t>
  </si>
  <si>
    <t>B.Okereke</t>
  </si>
  <si>
    <t>Bobby Okereke</t>
  </si>
  <si>
    <t>https://static.www.nfl.com/image/upload/f_auto,q_auto/league/q5gc9nwmikqcyza7m3ku</t>
  </si>
  <si>
    <t>00-0035688</t>
  </si>
  <si>
    <t>T.Pipkins</t>
  </si>
  <si>
    <t>Trey Pipkins</t>
  </si>
  <si>
    <t>https://static.www.nfl.com/image/upload/f_auto,q_auto/league/nhze2mywnxrcmwyck0x4</t>
  </si>
  <si>
    <t>00-0035689</t>
  </si>
  <si>
    <t>D.Knox</t>
  </si>
  <si>
    <t>https://static.www.nfl.com/image/upload/f_auto,q_auto/league/mswln16dmfhi7m7pzh7q</t>
  </si>
  <si>
    <t>00-0035692</t>
  </si>
  <si>
    <t>C.Ferrell</t>
  </si>
  <si>
    <t>Clelin Ferrell</t>
  </si>
  <si>
    <t>https://static.www.nfl.com/image/upload/f_auto,q_auto/league/rit24n5qbvlrxdv6w9fq</t>
  </si>
  <si>
    <t>00-0035697</t>
  </si>
  <si>
    <t>G.Pratt</t>
  </si>
  <si>
    <t>Germaine Pratt</t>
  </si>
  <si>
    <t>https://static.www.nfl.com/image/upload/f_auto,q_auto/league/genaletbuldhonkf0zlc</t>
  </si>
  <si>
    <t>00-0035698</t>
  </si>
  <si>
    <t>C.Edoga</t>
  </si>
  <si>
    <t>Chuma Edoga</t>
  </si>
  <si>
    <t>https://static.www.nfl.com/image/upload/f_auto,q_auto/league/cjz3anx4ehf8eny1p11v</t>
  </si>
  <si>
    <t>00-0035699</t>
  </si>
  <si>
    <t>J.Dean</t>
  </si>
  <si>
    <t>Jamel Dean</t>
  </si>
  <si>
    <t>https://static.www.nfl.com/image/private/f_auto,q_auto/league/s0k1zs9nyl2cqsjwf5cs</t>
  </si>
  <si>
    <t>00-0035700</t>
  </si>
  <si>
    <t>J.Jacobs</t>
  </si>
  <si>
    <t>https://static.www.nfl.com/image/upload/f_auto,q_auto/league/drtobqw2mk7yw3edjgwo</t>
  </si>
  <si>
    <t>00-0035702</t>
  </si>
  <si>
    <t>D.Risner</t>
  </si>
  <si>
    <t>Dalton Risner</t>
  </si>
  <si>
    <t>https://static.www.nfl.com/image/upload/f_auto,q_auto/league/zjxm9sjrgpebfesh1b0h</t>
  </si>
  <si>
    <t>00-0035704</t>
  </si>
  <si>
    <t>D.Lock</t>
  </si>
  <si>
    <t>Drew Lock</t>
  </si>
  <si>
    <t>https://static.www.nfl.com/image/upload/f_auto,q_auto/league/e0xz0hu8s0lpbwlr0bzj</t>
  </si>
  <si>
    <t>00-0035705</t>
  </si>
  <si>
    <t>J.Thompson</t>
  </si>
  <si>
    <t>Jalen Thompson</t>
  </si>
  <si>
    <t>https://static.www.nfl.com/image/upload/f_auto,q_auto/league/gbb1sb2kkjlihuax2cud</t>
  </si>
  <si>
    <t>00-0035707</t>
  </si>
  <si>
    <t>D.White</t>
  </si>
  <si>
    <t>Devin White</t>
  </si>
  <si>
    <t>https://static.www.nfl.com/image/upload/f_auto,q_auto/league/oqv87a7jn67zgnlplnbp</t>
  </si>
  <si>
    <t>00-0035710</t>
  </si>
  <si>
    <t>Daniel Jones</t>
  </si>
  <si>
    <t>https://static.www.nfl.com/image/upload/f_auto,q_auto/league/nhuiypfjzpkisxllinyv</t>
  </si>
  <si>
    <t>00-0035713</t>
  </si>
  <si>
    <t>B.Burns</t>
  </si>
  <si>
    <t>Brian Burns</t>
  </si>
  <si>
    <t>https://static.www.nfl.com/image/upload/f_auto,q_auto/league/glmrmpqkmsc0jiyicmlg</t>
  </si>
  <si>
    <t>00-0035717</t>
  </si>
  <si>
    <t>N.Bosa</t>
  </si>
  <si>
    <t>Nick Bosa</t>
  </si>
  <si>
    <t>https://static.www.nfl.com/image/upload/f_auto,q_auto/league/d41bo71xbojqb4picswi</t>
  </si>
  <si>
    <t>00-0035718</t>
  </si>
  <si>
    <t>Quinnen Williams</t>
  </si>
  <si>
    <t>https://static.www.nfl.com/image/upload/f_auto,q_auto/league/iag4dppbwkghvogebnpc</t>
  </si>
  <si>
    <t>00-0035719</t>
  </si>
  <si>
    <t>D.Samuel</t>
  </si>
  <si>
    <t>Deebo Samuel Sr.</t>
  </si>
  <si>
    <t>https://static.www.nfl.com/image/upload/f_auto,q_auto/league/ntgyhqg6hq7fanhhsqiw</t>
  </si>
  <si>
    <t>00-0035726</t>
  </si>
  <si>
    <t>Jakob Johnson</t>
  </si>
  <si>
    <t>https://static.www.nfl.com/image/upload/f_auto,q_auto/league/awuzhbfuubbmxzxxdtsb</t>
  </si>
  <si>
    <t>00-0035743</t>
  </si>
  <si>
    <t>B.Toth</t>
  </si>
  <si>
    <t>Brett Toth</t>
  </si>
  <si>
    <t>https://static.www.nfl.com/image/upload/f_auto,q_auto/league/zizzehbd7dm27rhfeu0d</t>
  </si>
  <si>
    <t>00-0035757</t>
  </si>
  <si>
    <t>J.Bobenmoyer</t>
  </si>
  <si>
    <t>Jacob Bobenmoyer</t>
  </si>
  <si>
    <t>https://static.www.nfl.com/image/upload/f_auto,q_auto/league/cjpwsinxkggwwfhaahga</t>
  </si>
  <si>
    <t>00-0035763</t>
  </si>
  <si>
    <t>M.Roach</t>
  </si>
  <si>
    <t>Malcolm Roach</t>
  </si>
  <si>
    <t>https://static.www.nfl.com/image/upload/f_auto,q_auto/league/oxcd8veodm7hkiualglu</t>
  </si>
  <si>
    <t>00-0035795</t>
  </si>
  <si>
    <t>J.Pierre</t>
  </si>
  <si>
    <t>James Pierre</t>
  </si>
  <si>
    <t>https://static.www.nfl.com/image/upload/f_auto,q_auto/league/zasdorlctouussgqzvwm</t>
  </si>
  <si>
    <t>00-0035821</t>
  </si>
  <si>
    <t>C.Waitman</t>
  </si>
  <si>
    <t>Corliss Waitman</t>
  </si>
  <si>
    <t>https://static.www.nfl.com/image/upload/f_auto,q_auto/league/ob1q154g57ksxc5iskbw</t>
  </si>
  <si>
    <t>00-0035827</t>
  </si>
  <si>
    <t>R.Matiscik</t>
  </si>
  <si>
    <t>Ross Matiscik</t>
  </si>
  <si>
    <t>https://static.www.nfl.com/image/upload/f_auto,q_auto/league/peerx3z23y51k34wfqps</t>
  </si>
  <si>
    <t>00-0035841</t>
  </si>
  <si>
    <t>B.Jones</t>
  </si>
  <si>
    <t>Benito Jones</t>
  </si>
  <si>
    <t>https://static.www.nfl.com/image/upload/f_auto,q_auto/league/mjruxqws2pnnpe4e0u2r</t>
  </si>
  <si>
    <t>00-0035857</t>
  </si>
  <si>
    <t>Ch.Williams</t>
  </si>
  <si>
    <t>Chris Williams</t>
  </si>
  <si>
    <t>https://static.www.nfl.com/image/upload/f_auto,q_auto/league/bbjvbvpdww9kquh969zh</t>
  </si>
  <si>
    <t>00-0035859</t>
  </si>
  <si>
    <t>B.Gillikin</t>
  </si>
  <si>
    <t>Blake Gillikin</t>
  </si>
  <si>
    <t>https://static.www.nfl.com/image/upload/f_auto,q_auto/league/idkikmdoy9mz7fw2dgl0</t>
  </si>
  <si>
    <t>00-0035876</t>
  </si>
  <si>
    <t>A.Baccellia</t>
  </si>
  <si>
    <t>https://static.www.nfl.com/image/upload/f_auto,q_auto/league/uaqykjil87rj71rkyz70</t>
  </si>
  <si>
    <t>00-0035889</t>
  </si>
  <si>
    <t>T.Townsend</t>
  </si>
  <si>
    <t>Tommy Townsend</t>
  </si>
  <si>
    <t>https://static.www.nfl.com/image/upload/f_auto,q_auto/league/ct2iphnvz4vl1tdy5wym</t>
  </si>
  <si>
    <t>00-0035890</t>
  </si>
  <si>
    <t>T.Wharton</t>
  </si>
  <si>
    <t>Tershawn Wharton</t>
  </si>
  <si>
    <t>https://static.www.nfl.com/image/upload/f_auto,q_auto/league/mj9xqaj2jvv5unjgxomd</t>
  </si>
  <si>
    <t>00-0035891</t>
  </si>
  <si>
    <t>C.White</t>
  </si>
  <si>
    <t>https://static.www.nfl.com/image/upload/f_auto,q_auto/league/tt9wl5yecg6zcnfnledb</t>
  </si>
  <si>
    <t>00-0035895</t>
  </si>
  <si>
    <t>J.Bachie</t>
  </si>
  <si>
    <t>Joe Bachie</t>
  </si>
  <si>
    <t>https://static.www.nfl.com/image/upload/f_auto,q_auto/league/jystq5jdj84wi0pwqzbi</t>
  </si>
  <si>
    <t>00-0035900</t>
  </si>
  <si>
    <t>C.Christiansen</t>
  </si>
  <si>
    <t>Cole Christiansen</t>
  </si>
  <si>
    <t>https://static.www.nfl.com/image/upload/f_auto,q_auto/league/nrj9fpwkb4zt9jh2yjp9</t>
  </si>
  <si>
    <t>00-0035933</t>
  </si>
  <si>
    <t>M.Hoecht</t>
  </si>
  <si>
    <t>Michael Hoecht</t>
  </si>
  <si>
    <t>https://static.www.nfl.com/image/upload/f_auto,q_auto/league/zpg40jv0kwikhxtmcfsi</t>
  </si>
  <si>
    <t>00-0035942</t>
  </si>
  <si>
    <t>C.Rozeboom</t>
  </si>
  <si>
    <t>Christian Rozeboom</t>
  </si>
  <si>
    <t>https://static.www.nfl.com/image/upload/f_auto,q_auto/league/kobbnik0wg5amqr1imnr</t>
  </si>
  <si>
    <t>00-0035944</t>
  </si>
  <si>
    <t>https://static.www.nfl.com/image/upload/f_auto,q_auto/league/d5yxodbic254mvmcqvel</t>
  </si>
  <si>
    <t>00-0035956</t>
  </si>
  <si>
    <t>G.Ricci</t>
  </si>
  <si>
    <t>Giovanni Ricci</t>
  </si>
  <si>
    <t>https://static.www.nfl.com/image/upload/f_auto,q_auto/league/irj1ejjmt0nvi1hlscr7</t>
  </si>
  <si>
    <t>00-0035961</t>
  </si>
  <si>
    <t>K.Barnes</t>
  </si>
  <si>
    <t>Krys Barnes</t>
  </si>
  <si>
    <t>https://static.www.nfl.com/image/upload/f_auto,q_auto/league/xgq5wwfuk5s2frsx0ha0</t>
  </si>
  <si>
    <t>00-0035993</t>
  </si>
  <si>
    <t>T.Huntley</t>
  </si>
  <si>
    <t>Tyler Huntley</t>
  </si>
  <si>
    <t>https://static.www.nfl.com/image/upload/f_auto,q_auto/league/zqrzxwprqfsh4t4aa8lk</t>
  </si>
  <si>
    <t>00-0036036</t>
  </si>
  <si>
    <t>T.Steele</t>
  </si>
  <si>
    <t>Terence Steele</t>
  </si>
  <si>
    <t>https://static.www.nfl.com/image/upload/f_auto,q_auto/league/ezmoh6joqsserp3ogcqc</t>
  </si>
  <si>
    <t>00-0036037</t>
  </si>
  <si>
    <t>S.Franklin</t>
  </si>
  <si>
    <t>Sam Franklin Jr.</t>
  </si>
  <si>
    <t>https://static.www.nfl.com/image/upload/f_auto,q_auto/league/djoisg0rjwm8t8dlskvn</t>
  </si>
  <si>
    <t>00-0036040</t>
  </si>
  <si>
    <t>https://static.www.nfl.com/image/upload/f_auto,q_auto/league/wuyyzdqkh5fve8t7kfuv</t>
  </si>
  <si>
    <t>00-0036081</t>
  </si>
  <si>
    <t>B.Washington</t>
  </si>
  <si>
    <t>Broderick Washington</t>
  </si>
  <si>
    <t>https://static.www.nfl.com/image/upload/f_auto,q_auto/league/p5tkzkh6v2hda70lwojk</t>
  </si>
  <si>
    <t>00-0036082</t>
  </si>
  <si>
    <t>L.McCullough</t>
  </si>
  <si>
    <t>Liam McCullough</t>
  </si>
  <si>
    <t>https://static.www.nfl.com/image/upload/f_auto,q_auto/league/ahq1mizgl4hoqdfuytlu</t>
  </si>
  <si>
    <t>00-0036087</t>
  </si>
  <si>
    <t>M.Bryant</t>
  </si>
  <si>
    <t>Myles Bryant</t>
  </si>
  <si>
    <t>https://static.www.nfl.com/image/upload/f_auto,q_auto/league/mslszzwcbmt6hafvvu7r</t>
  </si>
  <si>
    <t>00-0036114</t>
  </si>
  <si>
    <t>A.Green</t>
  </si>
  <si>
    <t>A.J. Green</t>
  </si>
  <si>
    <t>https://static.www.nfl.com/image/upload/f_auto,q_auto/league/lacmlfcdn7rcfdxkfkfp</t>
  </si>
  <si>
    <t>00-0036123</t>
  </si>
  <si>
    <t>B.Walton</t>
  </si>
  <si>
    <t>Brandon Walton</t>
  </si>
  <si>
    <t>https://static.www.nfl.com/image/upload/f_auto,q_auto/league/lc7g4r7lftzp99vwtvqv</t>
  </si>
  <si>
    <t>00-0036124</t>
  </si>
  <si>
    <t>K.Dorsey</t>
  </si>
  <si>
    <t>Khalil Dorsey</t>
  </si>
  <si>
    <t>https://static.www.nfl.com/image/upload/f_auto,q_auto/league/wmeizkmh4vdsbkf4uclw</t>
  </si>
  <si>
    <t>00-0036130</t>
  </si>
  <si>
    <t>N.Madubuike</t>
  </si>
  <si>
    <t>Nnamdi Madubuike</t>
  </si>
  <si>
    <t>https://static.www.nfl.com/image/upload/f_auto,q_auto/league/zvqf4b2ks5pwfkzynt5d</t>
  </si>
  <si>
    <t>00-0036132</t>
  </si>
  <si>
    <t>B.Bredeson</t>
  </si>
  <si>
    <t>Ben Bredeson</t>
  </si>
  <si>
    <t>https://static.www.nfl.com/image/upload/f_auto,q_auto/league/i5wt8frcymm1gjbwhlzy</t>
  </si>
  <si>
    <t>00-0036133</t>
  </si>
  <si>
    <t>J.Proche</t>
  </si>
  <si>
    <t>James Proche</t>
  </si>
  <si>
    <t>https://static.www.nfl.com/image/upload/f_auto,q_auto/league/s1jyxzrzgn2od1sempye</t>
  </si>
  <si>
    <t>00-0036139</t>
  </si>
  <si>
    <t>R.Dowdle</t>
  </si>
  <si>
    <t>https://static.www.nfl.com/image/upload/f_auto,q_auto/league/cvnrzndsiaojvvxz8vo5</t>
  </si>
  <si>
    <t>00-0036151</t>
  </si>
  <si>
    <t>B.Huff</t>
  </si>
  <si>
    <t>Bryce Huff</t>
  </si>
  <si>
    <t>https://static.www.nfl.com/image/upload/f_auto,q_auto/league/pminx3vvyt9laihkxk55</t>
  </si>
  <si>
    <t>00-0036157</t>
  </si>
  <si>
    <t>K.Welch</t>
  </si>
  <si>
    <t>Kristian Welch</t>
  </si>
  <si>
    <t>https://static.www.nfl.com/image/upload/f_auto,q_auto/league/ctdrib67gqytr9v2bnpn</t>
  </si>
  <si>
    <t>00-0036158</t>
  </si>
  <si>
    <t>J.Dobbins</t>
  </si>
  <si>
    <t>https://static.www.nfl.com/image/upload/f_auto,q_auto/league/cevotvl3ho5h1mioruyg</t>
  </si>
  <si>
    <t>00-0036159</t>
  </si>
  <si>
    <t>J.Uche</t>
  </si>
  <si>
    <t>Joshua Uche</t>
  </si>
  <si>
    <t>https://static.www.nfl.com/image/upload/f_auto,q_auto/league/t7ahfah5ks9tispkebd5</t>
  </si>
  <si>
    <t>00-0036165</t>
  </si>
  <si>
    <t>I.Hodgins</t>
  </si>
  <si>
    <t>https://static.www.nfl.com/image/upload/f_auto,q_auto/league/d6ezyptfnmmxgm8rykf4</t>
  </si>
  <si>
    <t>00-0036166</t>
  </si>
  <si>
    <t>Dane Jackson</t>
  </si>
  <si>
    <t>https://static.www.nfl.com/image/upload/f_auto,q_auto/league/pd5hj8idoykjrnwurduz</t>
  </si>
  <si>
    <t>00-0036171</t>
  </si>
  <si>
    <t>https://static.www.nfl.com/image/upload/f_auto,q_auto/league/acczyg9uo4jbervsjb4o</t>
  </si>
  <si>
    <t>00-0036176</t>
  </si>
  <si>
    <t>M.Kinsey</t>
  </si>
  <si>
    <t>https://static.www.nfl.com/image/upload/f_auto,q_auto/league/hbslm9pimpxgoeti32jf</t>
  </si>
  <si>
    <t>00-0036181</t>
  </si>
  <si>
    <t>T.Tart</t>
  </si>
  <si>
    <t>Teair Tart</t>
  </si>
  <si>
    <t>https://static.www.nfl.com/image/upload/f_auto,q_auto/league/arx3xgdgct71ljt18bqa</t>
  </si>
  <si>
    <t>00-0036182</t>
  </si>
  <si>
    <t>N.Westbrook-Ikhine</t>
  </si>
  <si>
    <t>https://static.www.nfl.com/image/upload/f_auto,q_auto/league/plgwfjcbl5quoi2jrass</t>
  </si>
  <si>
    <t>00-0036187</t>
  </si>
  <si>
    <t>R.Gilliam</t>
  </si>
  <si>
    <t>Reggie Gilliam</t>
  </si>
  <si>
    <t>https://static.www.nfl.com/image/upload/f_auto,q_auto/league/nizwldzesen1vg31inu1</t>
  </si>
  <si>
    <t>00-0036192</t>
  </si>
  <si>
    <t>A.Epenesa</t>
  </si>
  <si>
    <t>A.J. Epenesa</t>
  </si>
  <si>
    <t>https://static.www.nfl.com/image/upload/f_auto,q_auto/league/t85moy0mhdu6pzxwzgxt</t>
  </si>
  <si>
    <t>00-0036193</t>
  </si>
  <si>
    <t>A.Jennings</t>
  </si>
  <si>
    <t>Anfernee Jennings</t>
  </si>
  <si>
    <t>https://static.www.nfl.com/image/upload/f_auto,q_auto/league/dzstvcdjsmn7imc1eabs</t>
  </si>
  <si>
    <t>00-0036195</t>
  </si>
  <si>
    <t>C.Heck</t>
  </si>
  <si>
    <t>Charlie Heck</t>
  </si>
  <si>
    <t>https://static.www.nfl.com/image/upload/f_auto,q_auto/league/yfjfvnswxtkpiqqv3b16</t>
  </si>
  <si>
    <t>00-0036196</t>
  </si>
  <si>
    <t>G.Davis</t>
  </si>
  <si>
    <t>Gabe Davis</t>
  </si>
  <si>
    <t>https://static.www.nfl.com/image/upload/f_auto,q_auto/league/rlmgjtfct5qjtbwcjqg6</t>
  </si>
  <si>
    <t>00-0036198</t>
  </si>
  <si>
    <t>M.Onwenu</t>
  </si>
  <si>
    <t>Mike Onwenu</t>
  </si>
  <si>
    <t>https://static.www.nfl.com/image/upload/f_auto,q_auto/league/l8gnydhcpahpd20mqqlh</t>
  </si>
  <si>
    <t>00-0036199</t>
  </si>
  <si>
    <t>G.Stone</t>
  </si>
  <si>
    <t>Geno Stone</t>
  </si>
  <si>
    <t>https://static.www.nfl.com/image/upload/f_auto,q_auto/league/upbrq8aqe7yff3pn8a69</t>
  </si>
  <si>
    <t>00-0036204</t>
  </si>
  <si>
    <t>L.London</t>
  </si>
  <si>
    <t>LaCale London</t>
  </si>
  <si>
    <t>https://static.www.nfl.com/image/upload/f_auto,q_auto/league/cbkqmopy7d6b20m7nu2d</t>
  </si>
  <si>
    <t>00-0036212</t>
  </si>
  <si>
    <t>T.Tagovailoa</t>
  </si>
  <si>
    <t>Tua Tagovailoa</t>
  </si>
  <si>
    <t>https://static.www.nfl.com/image/upload/f_auto,q_auto/league/ktqj3s5vofexl2dwrrp4</t>
  </si>
  <si>
    <t>00-0036215</t>
  </si>
  <si>
    <t>D.Pinter</t>
  </si>
  <si>
    <t>Danny Pinter</t>
  </si>
  <si>
    <t>https://static.www.nfl.com/image/upload/f_auto,q_auto/league/g27drkb8qnnkixez0wbl</t>
  </si>
  <si>
    <t>00-0036220</t>
  </si>
  <si>
    <t>D.Brown</t>
  </si>
  <si>
    <t>Derrick Brown</t>
  </si>
  <si>
    <t>https://static.www.nfl.com/image/upload/f_auto,q_auto/league/nneryzn7ehs21yeed5ny</t>
  </si>
  <si>
    <t>00-0036221</t>
  </si>
  <si>
    <t>Brandon Jones</t>
  </si>
  <si>
    <t>https://static.www.nfl.com/image/upload/f_auto,q_auto/league/qcgihmzgbq4osnqywbng</t>
  </si>
  <si>
    <t>00-0036222</t>
  </si>
  <si>
    <t>I.Rodgers</t>
  </si>
  <si>
    <t>Isaiah Rodgers</t>
  </si>
  <si>
    <t>https://static.www.nfl.com/image/upload/f_auto,q_auto/league/uekaq7hovbb6iz95phej</t>
  </si>
  <si>
    <t>00-0036223</t>
  </si>
  <si>
    <t>https://static.www.nfl.com/image/upload/f_auto,q_auto/league/uwmnrhwtwug0wrgkomjk</t>
  </si>
  <si>
    <t>00-0036224</t>
  </si>
  <si>
    <t>J.Greenard</t>
  </si>
  <si>
    <t>Jonathan Greenard</t>
  </si>
  <si>
    <t>https://static.www.nfl.com/image/upload/f_auto,q_auto/league/z49ugsnmbfkldervsiws</t>
  </si>
  <si>
    <t>00-0036231</t>
  </si>
  <si>
    <t>K.Dugger</t>
  </si>
  <si>
    <t>Kyle Dugger</t>
  </si>
  <si>
    <t>https://static.www.nfl.com/image/upload/f_auto,q_auto/league/jqbpdmdm5kvw8qq6qeoe</t>
  </si>
  <si>
    <t>00-0036232</t>
  </si>
  <si>
    <t>H.Bryant</t>
  </si>
  <si>
    <t>Harrison Bryant</t>
  </si>
  <si>
    <t>https://static.www.nfl.com/image/upload/f_auto,q_auto/league/gmguayurr96nolimwmyn</t>
  </si>
  <si>
    <t>00-0036237</t>
  </si>
  <si>
    <t>L.Murchison</t>
  </si>
  <si>
    <t>Larrell Murchison</t>
  </si>
  <si>
    <t>https://static.www.nfl.com/image/upload/f_auto,q_auto/league/b0h5qpz02cuycf85isw4</t>
  </si>
  <si>
    <t>00-0036244</t>
  </si>
  <si>
    <t>C.Parkinson</t>
  </si>
  <si>
    <t>https://static.www.nfl.com/image/upload/f_auto,q_auto/league/b1qzivnz0zqa8cjgah8r</t>
  </si>
  <si>
    <t>00-0036246</t>
  </si>
  <si>
    <t>J.Runyan</t>
  </si>
  <si>
    <t>Jon Runyan</t>
  </si>
  <si>
    <t>https://static.www.nfl.com/image/upload/f_auto,q_auto/league/kauh0olqkhebxe8gf1if</t>
  </si>
  <si>
    <t>00-0036248</t>
  </si>
  <si>
    <t>Austin Jackson</t>
  </si>
  <si>
    <t>https://static.www.nfl.com/image/upload/f_auto,q_auto/league/rc3dp8zdfrgfxxfij96t</t>
  </si>
  <si>
    <t>00-0036252</t>
  </si>
  <si>
    <t>M.Pittman</t>
  </si>
  <si>
    <t>Michael Pittman</t>
  </si>
  <si>
    <t>https://static.www.nfl.com/image/upload/f_auto,q_auto/league/z78xpye9hing1e7wke8b</t>
  </si>
  <si>
    <t>00-0036253</t>
  </si>
  <si>
    <t>J.Blackmon</t>
  </si>
  <si>
    <t>Julian Blackmon</t>
  </si>
  <si>
    <t>https://static.www.nfl.com/image/upload/f_auto,q_auto/league/n0wfy5rqjhlshhn0kaqk</t>
  </si>
  <si>
    <t>00-0036256</t>
  </si>
  <si>
    <t>C.McKivitz</t>
  </si>
  <si>
    <t>Colton McKivitz</t>
  </si>
  <si>
    <t>https://static.www.nfl.com/image/upload/f_auto,q_auto/league/ljxuxdusiz3j2raspwst</t>
  </si>
  <si>
    <t>00-0036258</t>
  </si>
  <si>
    <t>J.Jackson</t>
  </si>
  <si>
    <t>Jonah Jackson</t>
  </si>
  <si>
    <t>https://static.www.nfl.com/image/upload/f_auto,q_auto/league/wm6av5ujifr8uvmdykj7</t>
  </si>
  <si>
    <t>00-0036259</t>
  </si>
  <si>
    <t>J.Jennings</t>
  </si>
  <si>
    <t>https://static.www.nfl.com/image/upload/f_auto,q_auto/league/cdx9mq3iglzog9mkqvdr</t>
  </si>
  <si>
    <t>00-0036260</t>
  </si>
  <si>
    <t>J.Kinlaw</t>
  </si>
  <si>
    <t>Javon Kinlaw</t>
  </si>
  <si>
    <t>https://static.www.nfl.com/image/upload/f_auto,q_auto/league/lxyzkmqmy5sgrjktwq80</t>
  </si>
  <si>
    <t>00-0036262</t>
  </si>
  <si>
    <t>D.Hamilton</t>
  </si>
  <si>
    <t>DaVon Hamilton</t>
  </si>
  <si>
    <t>https://static.www.nfl.com/image/upload/f_auto,q_auto/league/ncq2nx5rlstdnbaokw76</t>
  </si>
  <si>
    <t>00-0036264</t>
  </si>
  <si>
    <t>Jordan Love</t>
  </si>
  <si>
    <t>https://static.www.nfl.com/image/upload/f_auto,q_auto/league/uneiwen9drvci9ahuebp</t>
  </si>
  <si>
    <t>00-0036265</t>
  </si>
  <si>
    <t>A.Dillon</t>
  </si>
  <si>
    <t>https://static.www.nfl.com/image/upload/f_auto,q_auto/league/nknt5pckn5mzq9ll660i</t>
  </si>
  <si>
    <t>00-0036266</t>
  </si>
  <si>
    <t>Jordan Elliott</t>
  </si>
  <si>
    <t>https://static.www.nfl.com/image/upload/f_auto,q_auto/league/vkl6igrusm0srrkge1d9</t>
  </si>
  <si>
    <t>00-0036274</t>
  </si>
  <si>
    <t>J.Okudah</t>
  </si>
  <si>
    <t>Jeff Okudah</t>
  </si>
  <si>
    <t>https://static.www.nfl.com/image/upload/f_auto,q_auto/league/spqqvbna344r34sgvpdk</t>
  </si>
  <si>
    <t>00-0036275</t>
  </si>
  <si>
    <t>D.Swift</t>
  </si>
  <si>
    <t>https://static.www.nfl.com/image/upload/f_auto,q_auto/league/owpmwzoilitcodc6cmxo</t>
  </si>
  <si>
    <t>00-0036280</t>
  </si>
  <si>
    <t>M.Harrison</t>
  </si>
  <si>
    <t>Malik Harrison</t>
  </si>
  <si>
    <t>https://static.www.nfl.com/image/upload/f_auto,q_auto/league/d6ttadigndjeor6gwc8m</t>
  </si>
  <si>
    <t>00-0036281</t>
  </si>
  <si>
    <t>C.Henderson</t>
  </si>
  <si>
    <t>C.J. Henderson</t>
  </si>
  <si>
    <t>https://static.www.nfl.com/image/upload/f_auto,q_auto/league/tna89m19aol0bnfhugay</t>
  </si>
  <si>
    <t>00-0036282</t>
  </si>
  <si>
    <t>G.Delpit</t>
  </si>
  <si>
    <t>Grant Delpit</t>
  </si>
  <si>
    <t>https://static.www.nfl.com/image/upload/f_auto,q_auto/league/vfp5ffmtbfgobosxlxjj</t>
  </si>
  <si>
    <t>00-0036284</t>
  </si>
  <si>
    <t>M.Becton</t>
  </si>
  <si>
    <t>Mekhi Becton</t>
  </si>
  <si>
    <t>https://static.www.nfl.com/image/upload/f_auto,q_auto/league/y8g95wptr3ozqhtj6urd</t>
  </si>
  <si>
    <t>00-0036285</t>
  </si>
  <si>
    <t>A.Terrell</t>
  </si>
  <si>
    <t>A.J. Terrell</t>
  </si>
  <si>
    <t>https://static.www.nfl.com/image/upload/f_auto,q_auto/league/etcev3yjoqtp5tay2ndo</t>
  </si>
  <si>
    <t>00-0036286</t>
  </si>
  <si>
    <t>K.Chaisson</t>
  </si>
  <si>
    <t>K'Lavon Chaisson</t>
  </si>
  <si>
    <t>https://static.www.nfl.com/image/upload/f_auto,q_auto/league/gc9qqj4piwlwse4spobk</t>
  </si>
  <si>
    <t>00-0036287</t>
  </si>
  <si>
    <t>N.Igbinoghene</t>
  </si>
  <si>
    <t>Noah Igbinoghene</t>
  </si>
  <si>
    <t>https://static.www.nfl.com/image/upload/f_auto,q_auto/league/hyu05mp0m5bstdoi0wdx</t>
  </si>
  <si>
    <t>00-0036288</t>
  </si>
  <si>
    <t>Y.Gross-Matos</t>
  </si>
  <si>
    <t>Yetur Gross-Matos</t>
  </si>
  <si>
    <t>https://static.www.nfl.com/image/upload/f_auto,q_auto/league/w1xhz0qsd0rr5hczbpb8</t>
  </si>
  <si>
    <t>00-0036290</t>
  </si>
  <si>
    <t>C.Kmet</t>
  </si>
  <si>
    <t>https://static.www.nfl.com/image/upload/f_auto,q_auto/league/ysnui8mzlu2fo70ub0yt</t>
  </si>
  <si>
    <t>00-0036291</t>
  </si>
  <si>
    <t>M.Davidson</t>
  </si>
  <si>
    <t>Marlon Davidson</t>
  </si>
  <si>
    <t>https://static.www.nfl.com/image/upload/f_auto,q_auto/league/zxqpom7rcenoibhktkyh</t>
  </si>
  <si>
    <t>00-0036292</t>
  </si>
  <si>
    <t>Jaylon Johnson</t>
  </si>
  <si>
    <t>https://static.www.nfl.com/image/upload/f_auto,q_auto/league/mee0icza276avcisghdk</t>
  </si>
  <si>
    <t>00-0036293</t>
  </si>
  <si>
    <t>J.Chinn</t>
  </si>
  <si>
    <t>Jeremy Chinn</t>
  </si>
  <si>
    <t>https://static.www.nfl.com/image/upload/f_auto,q_auto/league/qdvollzto5i4xs6q9gov</t>
  </si>
  <si>
    <t>00-0036294</t>
  </si>
  <si>
    <t>L.Wilson</t>
  </si>
  <si>
    <t>Logan Wilson</t>
  </si>
  <si>
    <t>https://static.www.nfl.com/image/upload/f_auto,q_auto/league/yricskcpoyoucmgfauek</t>
  </si>
  <si>
    <t>00-0036298</t>
  </si>
  <si>
    <t>A.Davis-Gaither</t>
  </si>
  <si>
    <t>Akeem Davis-Gaither</t>
  </si>
  <si>
    <t>https://static.www.nfl.com/image/upload/f_auto,q_auto/league/bh8mbyhyngomfqg3hf2a</t>
  </si>
  <si>
    <t>00-0036300</t>
  </si>
  <si>
    <t>M.Walker</t>
  </si>
  <si>
    <t>Mykal Walker</t>
  </si>
  <si>
    <t>https://static.www.nfl.com/image/upload/f_auto,q_auto/league/tbysjdwb1ea5ya03wnfz</t>
  </si>
  <si>
    <t>00-0036302</t>
  </si>
  <si>
    <t>J.Hawkins</t>
  </si>
  <si>
    <t>Jaylinn Hawkins</t>
  </si>
  <si>
    <t>https://static.www.nfl.com/image/upload/f_auto,q_auto/league/x6aoovce6sz0dxstlb4u</t>
  </si>
  <si>
    <t>00-0036305</t>
  </si>
  <si>
    <t>T.Gipson</t>
  </si>
  <si>
    <t>Trevis Gipson</t>
  </si>
  <si>
    <t>https://static.www.nfl.com/image/upload/f_auto,q_auto/league/mdrrrg7fr2sos9veyyin</t>
  </si>
  <si>
    <t>00-0036306</t>
  </si>
  <si>
    <t>D.Thomas</t>
  </si>
  <si>
    <t>Daniel Thomas</t>
  </si>
  <si>
    <t>https://static.www.nfl.com/image/upload/f_auto,q_auto/league/qbw8gam5wiinqegq213p</t>
  </si>
  <si>
    <t>00-0036307</t>
  </si>
  <si>
    <t>K.Vildor</t>
  </si>
  <si>
    <t>Kindle Vildor</t>
  </si>
  <si>
    <t>https://static.www.nfl.com/image/upload/f_auto,q_auto/league/f1loty6bu2jaxt9bwcbx</t>
  </si>
  <si>
    <t>00-0036309</t>
  </si>
  <si>
    <t>D.Mooney</t>
  </si>
  <si>
    <t>https://static.www.nfl.com/image/upload/f_auto,q_auto/league/eaejonwaflt9drrs9ika</t>
  </si>
  <si>
    <t>00-0036310</t>
  </si>
  <si>
    <t>H.Adeniji</t>
  </si>
  <si>
    <t>Hakeem Adeniji</t>
  </si>
  <si>
    <t>https://static.www.nfl.com/image/upload/f_auto,q_auto/league/qcoi4yerqm7urfbnscft</t>
  </si>
  <si>
    <t>00-0036313</t>
  </si>
  <si>
    <t>B.Mann</t>
  </si>
  <si>
    <t>Braden Mann</t>
  </si>
  <si>
    <t>https://static.www.nfl.com/image/upload/f_auto,q_auto/league/eizeojehmxkvvfahj1tk</t>
  </si>
  <si>
    <t>00-0036321</t>
  </si>
  <si>
    <t>C.Young</t>
  </si>
  <si>
    <t>Chase Young</t>
  </si>
  <si>
    <t>https://static.www.nfl.com/image/upload/f_auto,q_auto/league/oeg7zkuy6zte74pe8pxl</t>
  </si>
  <si>
    <t>00-0036322</t>
  </si>
  <si>
    <t>J.Jefferson</t>
  </si>
  <si>
    <t>https://static.www.nfl.com/image/upload/f_auto,q_auto/league/f0ccavu3ppzcs51e1cuv</t>
  </si>
  <si>
    <t>00-0036323</t>
  </si>
  <si>
    <t>P.Queen</t>
  </si>
  <si>
    <t>Patrick Queen</t>
  </si>
  <si>
    <t>https://static.www.nfl.com/image/upload/f_auto,q_auto/league/doxpcjbw3vigxuj4xdqu</t>
  </si>
  <si>
    <t>00-0036325</t>
  </si>
  <si>
    <t>R.Hunt</t>
  </si>
  <si>
    <t>Robert Hunt</t>
  </si>
  <si>
    <t>https://static.www.nfl.com/image/upload/f_auto,q_auto/league/i7mowb5kq5lqz7tjpstc</t>
  </si>
  <si>
    <t>00-0036327</t>
  </si>
  <si>
    <t>E.Cleveland</t>
  </si>
  <si>
    <t>Ezra Cleveland</t>
  </si>
  <si>
    <t>https://static.www.nfl.com/image/upload/f_auto,q_auto/league/wofagulp593x7i5pjxis</t>
  </si>
  <si>
    <t>00-0036328</t>
  </si>
  <si>
    <t>A.Gibson</t>
  </si>
  <si>
    <t>Antonio Gibson</t>
  </si>
  <si>
    <t>https://static.www.nfl.com/image/upload/f_auto,q_auto/league/j7ixpkm7u4tdoqwzmbt4</t>
  </si>
  <si>
    <t>00-0036329</t>
  </si>
  <si>
    <t>A.Davis</t>
  </si>
  <si>
    <t>Ashtyn Davis</t>
  </si>
  <si>
    <t>https://static.www.nfl.com/image/upload/f_auto,q_auto/league/f1yyvajikoqdnqunml6i</t>
  </si>
  <si>
    <t>00-0036331</t>
  </si>
  <si>
    <t>D.Duvernay</t>
  </si>
  <si>
    <t>https://static.www.nfl.com/image/upload/f_auto,q_auto/league/rhqvgqqfokrv6omkw0lg</t>
  </si>
  <si>
    <t>00-0036332</t>
  </si>
  <si>
    <t>J.Deguara</t>
  </si>
  <si>
    <t>Josiah Deguara</t>
  </si>
  <si>
    <t>https://static.www.nfl.com/image/upload/f_auto,q_auto/league/wivlyvbmlm0aogcvl2yz</t>
  </si>
  <si>
    <t>00-0036333</t>
  </si>
  <si>
    <t>A.Highsmith</t>
  </si>
  <si>
    <t>Alex Highsmith</t>
  </si>
  <si>
    <t>https://static.www.nfl.com/image/upload/f_auto,q_auto/league/cczpmknwul24lusvhzyf</t>
  </si>
  <si>
    <t>00-0036335</t>
  </si>
  <si>
    <t>D.Wonnum</t>
  </si>
  <si>
    <t>D.J. Wonnum</t>
  </si>
  <si>
    <t>https://static.www.nfl.com/image/upload/f_auto,q_auto/league/i4vqp3hdkbfiakcdmnmo</t>
  </si>
  <si>
    <t>00-0036337</t>
  </si>
  <si>
    <t>J.Lynch</t>
  </si>
  <si>
    <t>James Lynch</t>
  </si>
  <si>
    <t>https://static.www.nfl.com/image/upload/f_auto,q_auto/league/d4funuhosghah7ved424</t>
  </si>
  <si>
    <t>00-0036338</t>
  </si>
  <si>
    <t>T.Dye</t>
  </si>
  <si>
    <t>Troy Dye</t>
  </si>
  <si>
    <t>https://static.www.nfl.com/image/upload/f_auto,q_auto/league/szcqhlzfkobuu2vh8s7v</t>
  </si>
  <si>
    <t>00-0036339</t>
  </si>
  <si>
    <t>K.Dotson</t>
  </si>
  <si>
    <t>Kevin Dotson</t>
  </si>
  <si>
    <t>https://static.www.nfl.com/image/upload/f_auto,q_auto/league/nv2c9f4jr08wvzyog86n</t>
  </si>
  <si>
    <t>00-0036341</t>
  </si>
  <si>
    <t>K.Kareem</t>
  </si>
  <si>
    <t>Khalid Kareem</t>
  </si>
  <si>
    <t>https://static.www.nfl.com/image/upload/f_auto,q_auto/league/wv4cxlitwh8mxxpzvka5</t>
  </si>
  <si>
    <t>00-0036347</t>
  </si>
  <si>
    <t>B.Brandel</t>
  </si>
  <si>
    <t>Blake Brandel</t>
  </si>
  <si>
    <t>https://static.www.nfl.com/image/upload/f_auto,q_auto/league/njhqqbqvkymgl8fenuwr</t>
  </si>
  <si>
    <t>00-0036348</t>
  </si>
  <si>
    <t>J.Metellus</t>
  </si>
  <si>
    <t>Josh Metellus</t>
  </si>
  <si>
    <t>https://static.www.nfl.com/image/upload/f_auto,q_auto/league/gmb2ahv4eq0jphammw2h</t>
  </si>
  <si>
    <t>00-0036349</t>
  </si>
  <si>
    <t>K.Curl</t>
  </si>
  <si>
    <t>Kam Curl</t>
  </si>
  <si>
    <t>https://static.www.nfl.com/image/upload/f_auto,q_auto/league/tm9ahrg1kvnyyghpj5sy</t>
  </si>
  <si>
    <t>00-0036355</t>
  </si>
  <si>
    <t>J.Herbert</t>
  </si>
  <si>
    <t>Justin Herbert</t>
  </si>
  <si>
    <t>https://static.www.nfl.com/image/upload/f_auto,q_auto/league/s1oelyaroiaalgilbeqk</t>
  </si>
  <si>
    <t>00-0036356</t>
  </si>
  <si>
    <t>I.Simmons</t>
  </si>
  <si>
    <t>Isaiah Simmons</t>
  </si>
  <si>
    <t>https://static.www.nfl.com/image/upload/f_auto,q_auto/league/zf2q7dv6kkj1v3tfefvx</t>
  </si>
  <si>
    <t>00-0036358</t>
  </si>
  <si>
    <t>C.Lamb</t>
  </si>
  <si>
    <t>https://static.www.nfl.com/image/upload/f_auto,q_auto/league/ijxzvtumjhqu3zva1bwc</t>
  </si>
  <si>
    <t>00-0036359</t>
  </si>
  <si>
    <t>D.Arnette</t>
  </si>
  <si>
    <t>Damon Arnette</t>
  </si>
  <si>
    <t>https://static.www.nfl.com/image/upload/f_auto,q_auto/league/fd2gstkm1skm5r3fxca5</t>
  </si>
  <si>
    <t>00-0036360</t>
  </si>
  <si>
    <t>C.Edwards-Helaire</t>
  </si>
  <si>
    <t>Clyde Edwards-Helaire</t>
  </si>
  <si>
    <t>https://static.www.nfl.com/image/upload/f_auto,q_auto/league/er6tfnyxampiwn74zrui</t>
  </si>
  <si>
    <t>00-0036361</t>
  </si>
  <si>
    <t>T.Diggs</t>
  </si>
  <si>
    <t>Trevon Diggs</t>
  </si>
  <si>
    <t>https://static.www.nfl.com/image/upload/f_auto,q_auto/league/ktdcor3rnkwpgehtwldn</t>
  </si>
  <si>
    <t>00-0036362</t>
  </si>
  <si>
    <t>W.Gay</t>
  </si>
  <si>
    <t>Willie Gay Jr.</t>
  </si>
  <si>
    <t>https://static.www.nfl.com/image/upload/f_auto,q_auto/league/vf0j6vpgfr1vg5wsd7uh</t>
  </si>
  <si>
    <t>00-0036366</t>
  </si>
  <si>
    <t>N.Gallimore</t>
  </si>
  <si>
    <t>Neville Gallimore</t>
  </si>
  <si>
    <t>https://static.www.nfl.com/image/upload/f_auto,q_auto/league/qwrxmtnfxfkhenqgsnjp</t>
  </si>
  <si>
    <t>00-0036369</t>
  </si>
  <si>
    <t>J.Simpson</t>
  </si>
  <si>
    <t>John Simpson</t>
  </si>
  <si>
    <t>https://static.www.nfl.com/image/upload/f_auto,q_auto/league/wv8eiewgjjgiedjzsnmh</t>
  </si>
  <si>
    <t>00-0036371</t>
  </si>
  <si>
    <t>L.Fotu</t>
  </si>
  <si>
    <t>Leki Fotu</t>
  </si>
  <si>
    <t>https://static.www.nfl.com/image/upload/f_auto,q_auto/league/nvivcl9hxccojvuexvmw</t>
  </si>
  <si>
    <t>00-0036374</t>
  </si>
  <si>
    <t>L.Sneed</t>
  </si>
  <si>
    <t>L'Jarius Sneed</t>
  </si>
  <si>
    <t>https://static.www.nfl.com/image/upload/f_auto,q_auto/league/ft4szbihb9vyadwkiszf</t>
  </si>
  <si>
    <t>00-0036375</t>
  </si>
  <si>
    <t>A.Robertson</t>
  </si>
  <si>
    <t>Amik Robertson</t>
  </si>
  <si>
    <t>https://static.www.nfl.com/image/upload/f_auto,q_auto/league/htqmihuu8sds0x3qre8g</t>
  </si>
  <si>
    <t>00-0036376</t>
  </si>
  <si>
    <t>T.Biadasz</t>
  </si>
  <si>
    <t>Tyler Biadasz</t>
  </si>
  <si>
    <t>https://static.www.nfl.com/image/upload/f_auto,q_auto/league/ls6xqzbvxs8pwkhwjwph</t>
  </si>
  <si>
    <t>00-0036378</t>
  </si>
  <si>
    <t>M.Danna</t>
  </si>
  <si>
    <t>Michael Danna</t>
  </si>
  <si>
    <t>https://static.www.nfl.com/image/private/f_auto,q_auto/league/oiywq8es1rm2rjnpbouw</t>
  </si>
  <si>
    <t>00-0036380</t>
  </si>
  <si>
    <t>A.Gilman</t>
  </si>
  <si>
    <t>Alohi Gilman</t>
  </si>
  <si>
    <t>https://static.www.nfl.com/image/upload/f_auto,q_auto/league/t5twpgxuuzuhasid5jzg</t>
  </si>
  <si>
    <t>00-0036386</t>
  </si>
  <si>
    <t>A.Thomas</t>
  </si>
  <si>
    <t>Andrew Thomas</t>
  </si>
  <si>
    <t>https://static.www.nfl.com/image/upload/f_auto,q_auto/league/yuy9qansfewdhoxsi9fq</t>
  </si>
  <si>
    <t>00-0036388</t>
  </si>
  <si>
    <t>X.McKinney</t>
  </si>
  <si>
    <t>Xavier McKinney</t>
  </si>
  <si>
    <t>https://static.www.nfl.com/image/upload/f_auto,q_auto/league/vvjc67dqz3mjghgkdr8v</t>
  </si>
  <si>
    <t>00-0036389</t>
  </si>
  <si>
    <t>J.Hurts</t>
  </si>
  <si>
    <t>Jalen Hurts</t>
  </si>
  <si>
    <t>https://static.www.nfl.com/image/upload/f_auto,q_auto/league/c47i9v6gmokkun9cat9s</t>
  </si>
  <si>
    <t>00-0036391</t>
  </si>
  <si>
    <t>L.Cushenberry</t>
  </si>
  <si>
    <t>Lloyd Cushenberry III</t>
  </si>
  <si>
    <t>https://static.www.nfl.com/image/upload/f_auto,q_auto/league/qfwevbrfaklbqmatvwat</t>
  </si>
  <si>
    <t>00-0036392</t>
  </si>
  <si>
    <t>M.Peart</t>
  </si>
  <si>
    <t>Matt Peart</t>
  </si>
  <si>
    <t>https://static.www.nfl.com/image/upload/f_auto,q_auto/league/zcjwk9shhxnhv8vwjej7</t>
  </si>
  <si>
    <t>00-0036394</t>
  </si>
  <si>
    <t>D.Holmes</t>
  </si>
  <si>
    <t>Darnay Holmes</t>
  </si>
  <si>
    <t>https://static.www.nfl.com/image/upload/f_auto,q_auto/league/pubbkwys2ishkc7i2ljb</t>
  </si>
  <si>
    <t>00-0036395</t>
  </si>
  <si>
    <t>K.Wallace</t>
  </si>
  <si>
    <t>K'Von Wallace</t>
  </si>
  <si>
    <t>https://static.www.nfl.com/image/upload/f_auto,q_auto/league/ytpbcdbdwwlysnjj6uwb</t>
  </si>
  <si>
    <t>00-0036406</t>
  </si>
  <si>
    <t>T.Wirfs</t>
  </si>
  <si>
    <t>Tristan Wirfs</t>
  </si>
  <si>
    <t>https://static.www.nfl.com/image/upload/f_auto,q_auto/league/jiuxi430mkpqe39ikuze</t>
  </si>
  <si>
    <t>00-0036407</t>
  </si>
  <si>
    <t>J.Jeudy</t>
  </si>
  <si>
    <t>https://static.www.nfl.com/image/upload/f_auto,q_auto/league/szca1v9butuqkjs7ekpm</t>
  </si>
  <si>
    <t>00-0036408</t>
  </si>
  <si>
    <t>C.Ruiz</t>
  </si>
  <si>
    <t>Cesar Ruiz</t>
  </si>
  <si>
    <t>https://static.www.nfl.com/image/upload/f_auto,q_auto/league/i0hu869tzhne0frnt7fx</t>
  </si>
  <si>
    <t>00-0036409</t>
  </si>
  <si>
    <t>J.Brooks</t>
  </si>
  <si>
    <t>Jordyn Brooks</t>
  </si>
  <si>
    <t>https://static.www.nfl.com/image/upload/f_auto,q_auto/league/fqpdggqc3fngvkta63zy</t>
  </si>
  <si>
    <t>00-0036410</t>
  </si>
  <si>
    <t>T.Higgins</t>
  </si>
  <si>
    <t>https://static.www.nfl.com/image/upload/f_auto,q_auto/league/flr9f8oqigbyroeaubxb</t>
  </si>
  <si>
    <t>00-0036411</t>
  </si>
  <si>
    <t>A.Winfield</t>
  </si>
  <si>
    <t>Antoine Winfield Jr.</t>
  </si>
  <si>
    <t>https://static.www.nfl.com/image/upload/f_auto,q_auto/league/wn2vlv6eyc9str0ak0fx</t>
  </si>
  <si>
    <t>00-0036413</t>
  </si>
  <si>
    <t>D.Taylor</t>
  </si>
  <si>
    <t>Darrell Taylor</t>
  </si>
  <si>
    <t>https://static.www.nfl.com/image/upload/f_auto,q_auto/league/i0d3vsafckx1qzuzcrp6</t>
  </si>
  <si>
    <t>00-0036414</t>
  </si>
  <si>
    <t>C.Akers</t>
  </si>
  <si>
    <t>https://static.www.nfl.com/image/upload/f_auto,q_auto/league/dutj0wamu7giwghnmr4m</t>
  </si>
  <si>
    <t>00-0036415</t>
  </si>
  <si>
    <t>V.Jefferson</t>
  </si>
  <si>
    <t>https://static.www.nfl.com/image/upload/f_auto,q_auto/league/aavlanyckqnsej61ulir</t>
  </si>
  <si>
    <t>00-0036416</t>
  </si>
  <si>
    <t>K.Fulton</t>
  </si>
  <si>
    <t>Kristian Fulton</t>
  </si>
  <si>
    <t>https://static.www.nfl.com/image/upload/f_auto,q_auto/league/gxh7dcqykzmo2nadvs5u</t>
  </si>
  <si>
    <t>00-0036417</t>
  </si>
  <si>
    <t>D.Lewis</t>
  </si>
  <si>
    <t>Damien Lewis</t>
  </si>
  <si>
    <t>https://static.www.nfl.com/image/upload/f_auto,q_auto/league/aerw6b5qa0plz8ejg68g</t>
  </si>
  <si>
    <t>00-0036418</t>
  </si>
  <si>
    <t>Z.Baun</t>
  </si>
  <si>
    <t>Zack Baun</t>
  </si>
  <si>
    <t>https://static.www.nfl.com/image/upload/f_auto,q_auto/league/lxfptgyjuuwmvxrwr3m4</t>
  </si>
  <si>
    <t>00-0036421</t>
  </si>
  <si>
    <t>T.Burgess</t>
  </si>
  <si>
    <t>Terrell Burgess</t>
  </si>
  <si>
    <t>https://static.www.nfl.com/image/upload/f_auto,q_auto/league/noqfcnfnqtsfgkbg4jum</t>
  </si>
  <si>
    <t>00-0036422</t>
  </si>
  <si>
    <t>A.Trautman</t>
  </si>
  <si>
    <t>https://static.www.nfl.com/image/upload/f_auto,q_auto/league/ck9dspk0ykijetdshyn4</t>
  </si>
  <si>
    <t>00-0036423</t>
  </si>
  <si>
    <t>A.Okwuegbunam</t>
  </si>
  <si>
    <t>Albert Okwuegbunam</t>
  </si>
  <si>
    <t>https://static.www.nfl.com/image/upload/f_auto,q_auto/league/gww1gus87vabpsalkrpc</t>
  </si>
  <si>
    <t>00-0036425</t>
  </si>
  <si>
    <t>D.Dallas</t>
  </si>
  <si>
    <t>https://static.www.nfl.com/image/upload/f_auto,q_auto/league/weotbgqp9f3y1hptcxzm</t>
  </si>
  <si>
    <t>00-0036427</t>
  </si>
  <si>
    <t>T.Johnson</t>
  </si>
  <si>
    <t>https://static.www.nfl.com/image/upload/f_auto,q_auto/league/s6fg2hapxwa9efbrygxf</t>
  </si>
  <si>
    <t>00-0036428</t>
  </si>
  <si>
    <t>J.Strnad</t>
  </si>
  <si>
    <t>Justin Strnad</t>
  </si>
  <si>
    <t>https://static.www.nfl.com/image/upload/f_auto,q_auto/league/qeikhakzijz2ipub82bt</t>
  </si>
  <si>
    <t>00-0036429</t>
  </si>
  <si>
    <t>C.Woerner</t>
  </si>
  <si>
    <t>https://static.www.nfl.com/image/upload/f_auto,q_auto/league/tflwxcx2ohrc6e8j0n5a</t>
  </si>
  <si>
    <t>00-0036431</t>
  </si>
  <si>
    <t>J.Fuller</t>
  </si>
  <si>
    <t>Jordan Fuller</t>
  </si>
  <si>
    <t>https://static.www.nfl.com/image/upload/f_auto,q_auto/league/fels90wvhbe4a0vdjnnu</t>
  </si>
  <si>
    <t>00-0036441</t>
  </si>
  <si>
    <t>Kenneth Murray, Jr.</t>
  </si>
  <si>
    <t>https://static.www.nfl.com/image/upload/f_auto,q_auto/league/up14o9gpznxgcvc5xtqh</t>
  </si>
  <si>
    <t>00-0036442</t>
  </si>
  <si>
    <t>J.Burrow</t>
  </si>
  <si>
    <t>Joe Burrow</t>
  </si>
  <si>
    <t>https://static.www.nfl.com/image/upload/f_auto,q_auto/league/gnnvcgui1cijybukk2w7</t>
  </si>
  <si>
    <t>00-0036443</t>
  </si>
  <si>
    <t>R.Sunahara</t>
  </si>
  <si>
    <t>Rex Sunahara</t>
  </si>
  <si>
    <t>https://static.www.nfl.com/image/upload/f_auto,q_auto/league/lf7vil8wv3cqyumtczbr</t>
  </si>
  <si>
    <t>00-0036463</t>
  </si>
  <si>
    <t>C.Blair</t>
  </si>
  <si>
    <t>https://static.www.nfl.com/image/upload/f_auto,q_auto/league/bbejfkq6pcu7bsnkwgwj</t>
  </si>
  <si>
    <t>00-0036479</t>
  </si>
  <si>
    <t>K.Paye</t>
  </si>
  <si>
    <t>Kwity Paye</t>
  </si>
  <si>
    <t>https://static.www.nfl.com/image/upload/f_auto,q_auto/league/omibgumkgr8ympte4rmo</t>
  </si>
  <si>
    <t>00-0036480</t>
  </si>
  <si>
    <t>D.Odeyingbo</t>
  </si>
  <si>
    <t>Dayo Odeyingbo</t>
  </si>
  <si>
    <t>https://static.www.nfl.com/image/upload/f_auto,q_auto/league/h0brx6vrdusdxl6fkxgv</t>
  </si>
  <si>
    <t>00-0036483</t>
  </si>
  <si>
    <t>W.Fries</t>
  </si>
  <si>
    <t>Will Fries</t>
  </si>
  <si>
    <t>https://static.www.nfl.com/image/upload/f_auto,q_auto/league/lswimbqlz0wdbsuq1wsh</t>
  </si>
  <si>
    <t>00-0036497</t>
  </si>
  <si>
    <t>T.Jones</t>
  </si>
  <si>
    <t>https://static.www.nfl.com/image/upload/f_auto,q_auto/league/gimunqcnpgtctbdba53c</t>
  </si>
  <si>
    <t>00-0036500</t>
  </si>
  <si>
    <t>J.Sherwood</t>
  </si>
  <si>
    <t>Jamien Sherwood</t>
  </si>
  <si>
    <t>https://static.www.nfl.com/image/upload/f_auto,q_auto/league/fvyykbueuzcivau5d9qq</t>
  </si>
  <si>
    <t>00-0036501</t>
  </si>
  <si>
    <t>M.Carter</t>
  </si>
  <si>
    <t>Michael Carter II</t>
  </si>
  <si>
    <t>https://static.www.nfl.com/image/upload/f_auto,q_auto/league/a7yskzasxy1hjvyqql1t</t>
  </si>
  <si>
    <t>00-0036502</t>
  </si>
  <si>
    <t>J.Pinnock</t>
  </si>
  <si>
    <t>Jason Pinnock</t>
  </si>
  <si>
    <t>https://static.www.nfl.com/image/upload/f_auto,q_auto/league/vfudin1xe9wdv1bv6awj</t>
  </si>
  <si>
    <t>00-0036504</t>
  </si>
  <si>
    <t>B.Echols</t>
  </si>
  <si>
    <t>Brandin Echols</t>
  </si>
  <si>
    <t>https://static.www.nfl.com/image/upload/f_auto,q_auto/league/ckxgtnxueibsimypf1qt</t>
  </si>
  <si>
    <t>00-0036527</t>
  </si>
  <si>
    <t>D.Turner</t>
  </si>
  <si>
    <t>DJ Turner</t>
  </si>
  <si>
    <t>https://static.www.nfl.com/image/upload/f_auto,q_auto/league/os5eurhh1y45sixa8phl</t>
  </si>
  <si>
    <t>00-0036534</t>
  </si>
  <si>
    <t>S.Zylstra</t>
  </si>
  <si>
    <t>Shane Zylstra</t>
  </si>
  <si>
    <t>https://static.www.nfl.com/image/upload/f_auto,q_auto/league/jwgarjssm9bd9ek6cbhr</t>
  </si>
  <si>
    <t>00-0036550</t>
  </si>
  <si>
    <t>R.Bateman</t>
  </si>
  <si>
    <t>https://static.www.nfl.com/image/upload/f_auto,q_auto/league/gtktmsfcxc1eijwpwzyq</t>
  </si>
  <si>
    <t>00-0036551</t>
  </si>
  <si>
    <t>A.Banks</t>
  </si>
  <si>
    <t>Aaron Banks</t>
  </si>
  <si>
    <t>https://static.www.nfl.com/image/upload/f_auto,q_auto/league/mkhxl0el2fj3i7k4adsl</t>
  </si>
  <si>
    <t>00-0036552</t>
  </si>
  <si>
    <t>A.Ojulari</t>
  </si>
  <si>
    <t>Azeez Ojulari</t>
  </si>
  <si>
    <t>https://static.www.nfl.com/image/upload/f_auto,q_auto/league/gfq1w3tlod06bgxdnfdc</t>
  </si>
  <si>
    <t>00-0036553</t>
  </si>
  <si>
    <t>C.Basham</t>
  </si>
  <si>
    <t>Carlos Basham</t>
  </si>
  <si>
    <t>https://static.www.nfl.com/image/upload/f_auto,q_auto/league/stlyey1t2lotlwldzprf</t>
  </si>
  <si>
    <t>00-0036554</t>
  </si>
  <si>
    <t>N.Collins</t>
  </si>
  <si>
    <t>https://static.www.nfl.com/image/upload/f_auto,q_auto/league/osmqyvmib3pssxi6cyic</t>
  </si>
  <si>
    <t>00-0036555</t>
  </si>
  <si>
    <t>https://static.www.nfl.com/image/upload/f_auto,q_auto/league/pjgml85ghq7oa48dctn7</t>
  </si>
  <si>
    <t>00-0036561</t>
  </si>
  <si>
    <t>K.Taylor</t>
  </si>
  <si>
    <t>Keith Taylor</t>
  </si>
  <si>
    <t>https://static.www.nfl.com/image/upload/f_auto,q_auto/league/dag6regaijwshj8f1uyn</t>
  </si>
  <si>
    <t>00-0036563</t>
  </si>
  <si>
    <t>D.Lenoir</t>
  </si>
  <si>
    <t>Deommodore Lenoir</t>
  </si>
  <si>
    <t>https://static.www.nfl.com/image/upload/f_auto,q_auto/league/ypghnprlnzwmxjcrbpk7</t>
  </si>
  <si>
    <t>00-0036564</t>
  </si>
  <si>
    <t>T.Hufanga</t>
  </si>
  <si>
    <t>Talanoa Hufanga</t>
  </si>
  <si>
    <t>https://static.www.nfl.com/image/upload/f_auto,q_auto/league/gyoo1p5nckluov1mihbe</t>
  </si>
  <si>
    <t>00-0036567</t>
  </si>
  <si>
    <t>E.Mitchell</t>
  </si>
  <si>
    <t>https://static.www.nfl.com/image/upload/f_auto,q_auto/league/xf383ph8bz6dpp0u9lcd</t>
  </si>
  <si>
    <t>00-0036568</t>
  </si>
  <si>
    <t>R.Lopez</t>
  </si>
  <si>
    <t>Roy Lopez</t>
  </si>
  <si>
    <t>https://static.www.nfl.com/image/upload/f_auto,q_auto/league/i4a37cibk9pwjjgq4rla</t>
  </si>
  <si>
    <t>00-0036569</t>
  </si>
  <si>
    <t>G.Brightwell</t>
  </si>
  <si>
    <t>https://static.www.nfl.com/image/upload/f_auto,q_auto/league/egwohqryh9q3pa7erynt</t>
  </si>
  <si>
    <t>00-0036587</t>
  </si>
  <si>
    <t>A.Washington</t>
  </si>
  <si>
    <t>Ar'Darius Washington</t>
  </si>
  <si>
    <t>https://static.www.nfl.com/image/upload/f_auto,q_auto/league/ptjh8ufk5zfpdc0yrpeq</t>
  </si>
  <si>
    <t>00-0036589</t>
  </si>
  <si>
    <t>N.McCloud</t>
  </si>
  <si>
    <t>Nick McCloud</t>
  </si>
  <si>
    <t>https://static.www.nfl.com/image/upload/f_auto,q_auto/league/tktqsmdus8y1alse43j5</t>
  </si>
  <si>
    <t>00-0036590</t>
  </si>
  <si>
    <t>Q.Morris</t>
  </si>
  <si>
    <t>https://static.www.nfl.com/image/upload/f_auto,q_auto/league/lvmccekmoj82dzw00xcl</t>
  </si>
  <si>
    <t>00-0036603</t>
  </si>
  <si>
    <t>Alaric Jackson</t>
  </si>
  <si>
    <t>https://static.www.nfl.com/image/upload/f_auto,q_auto/league/p7eblgie3na4hjdl6pzb</t>
  </si>
  <si>
    <t>00-0036604</t>
  </si>
  <si>
    <t>J.Meredith</t>
  </si>
  <si>
    <t>Jordan Meredith</t>
  </si>
  <si>
    <t>https://static.www.nfl.com/image/upload/f_auto,q_auto/league/mcahbqsrb49owl6ipc2y</t>
  </si>
  <si>
    <t>00-0036613</t>
  </si>
  <si>
    <t>J.Waddle</t>
  </si>
  <si>
    <t>https://static.www.nfl.com/image/upload/f_auto,q_auto/league/dsxd2zcqm42wsv4ewtfc</t>
  </si>
  <si>
    <t>00-0036614</t>
  </si>
  <si>
    <t>Jamin Davis</t>
  </si>
  <si>
    <t>https://static.www.nfl.com/image/upload/f_auto,q_auto/league/opdsr5ttchmbpuyw4vgf</t>
  </si>
  <si>
    <t>00-0036616</t>
  </si>
  <si>
    <t>C.Darrisaw</t>
  </si>
  <si>
    <t>Christian Darrisaw</t>
  </si>
  <si>
    <t>https://static.www.nfl.com/image/upload/f_auto,q_auto/league/i6lajihxkwue0ntawn10</t>
  </si>
  <si>
    <t>00-0036617</t>
  </si>
  <si>
    <t>A.Samuel</t>
  </si>
  <si>
    <t>Asante Samuel Jr.</t>
  </si>
  <si>
    <t>https://static.www.nfl.com/image/private/f_auto,q_auto/league/hrnnoumk2vtrx9yhqs6n</t>
  </si>
  <si>
    <t>00-0036618</t>
  </si>
  <si>
    <t>S.Cosmi</t>
  </si>
  <si>
    <t>Sam Cosmi</t>
  </si>
  <si>
    <t>https://static.www.nfl.com/image/upload/f_auto,q_auto/league/n6vudhzl0uiaffexr81u</t>
  </si>
  <si>
    <t>00-0036619</t>
  </si>
  <si>
    <t>D.Radunz</t>
  </si>
  <si>
    <t>Dillon Radunz</t>
  </si>
  <si>
    <t>https://static.www.nfl.com/image/upload/f_auto,q_auto/league/yg2itp7chkpsn8etgdh1</t>
  </si>
  <si>
    <t>00-0036620</t>
  </si>
  <si>
    <t>D.Eskridge</t>
  </si>
  <si>
    <t>https://static.www.nfl.com/image/upload/f_auto,q_auto/league/baasw8ia3qztewmawfnz</t>
  </si>
  <si>
    <t>00-0036621</t>
  </si>
  <si>
    <t>N.Bolton</t>
  </si>
  <si>
    <t>Nick Bolton</t>
  </si>
  <si>
    <t>https://static.www.nfl.com/image/upload/f_auto,q_auto/league/qwdpcmobp7qgdzqgltlr</t>
  </si>
  <si>
    <t>00-0036622</t>
  </si>
  <si>
    <t>Josh Myers</t>
  </si>
  <si>
    <t>https://static.www.nfl.com/image/upload/f_auto,q_auto/league/ejnbuy27sru95vzzxdp3</t>
  </si>
  <si>
    <t>00-0036623</t>
  </si>
  <si>
    <t>C.Humphrey</t>
  </si>
  <si>
    <t>Creed Humphrey</t>
  </si>
  <si>
    <t>https://static.www.nfl.com/image/upload/f_auto,q_auto/league/ggz2h81ghybmrerlgdsq</t>
  </si>
  <si>
    <t>00-0036624</t>
  </si>
  <si>
    <t>A.McNeill</t>
  </si>
  <si>
    <t>Alim McNeill</t>
  </si>
  <si>
    <t>https://static.www.nfl.com/image/upload/f_auto,q_auto/league/udieb8v70ple2vt3zyof</t>
  </si>
  <si>
    <t>00-0036625</t>
  </si>
  <si>
    <t>B.St-Juste</t>
  </si>
  <si>
    <t>Benjamin St-Juste</t>
  </si>
  <si>
    <t>https://static.www.nfl.com/image/upload/f_auto,q_auto/league/mad9dx5zee70kec6lpan</t>
  </si>
  <si>
    <t>00-0036626</t>
  </si>
  <si>
    <t>https://static.www.nfl.com/image/upload/f_auto,q_auto/league/wwl9s886olkkvu67qktp</t>
  </si>
  <si>
    <t>00-0036628</t>
  </si>
  <si>
    <t>https://static.www.nfl.com/image/upload/f_auto,q_auto/league/edpnkleev10rpzfgjakv</t>
  </si>
  <si>
    <t>00-0036629</t>
  </si>
  <si>
    <t>C.Bynum</t>
  </si>
  <si>
    <t>Camryn Bynum</t>
  </si>
  <si>
    <t>https://static.www.nfl.com/image/upload/f_auto,q_auto/league/rncq5z5bfhigx2atid7k</t>
  </si>
  <si>
    <t>00-0036630</t>
  </si>
  <si>
    <t>T.Wallace</t>
  </si>
  <si>
    <t>https://static.www.nfl.com/image/upload/f_auto,q_auto/league/rifnnpeub6okv41offnd</t>
  </si>
  <si>
    <t>00-0036637</t>
  </si>
  <si>
    <t>N.Gray</t>
  </si>
  <si>
    <t>https://static.www.nfl.com/image/upload/f_auto,q_auto/league/yugngcrdfxh0nwzl4zwp</t>
  </si>
  <si>
    <t>00-0036642</t>
  </si>
  <si>
    <t>T.Slaton</t>
  </si>
  <si>
    <t>Tedarrell Slaton</t>
  </si>
  <si>
    <t>https://static.www.nfl.com/image/upload/f_auto,q_auto/league/oktzavt6whxgvr6ukmhl</t>
  </si>
  <si>
    <t>00-0036643</t>
  </si>
  <si>
    <t>K.Britt</t>
  </si>
  <si>
    <t>K.J. Britt</t>
  </si>
  <si>
    <t>https://static.www.nfl.com/image/upload/f_auto,q_auto/league/kca9qozdfs1albiamsq0</t>
  </si>
  <si>
    <t>00-0036644</t>
  </si>
  <si>
    <t>C.McGrone</t>
  </si>
  <si>
    <t>Cameron McGrone</t>
  </si>
  <si>
    <t>https://static.www.nfl.com/image/upload/f_auto,q_auto/league/ngmm9gg0mcgzufrizd80</t>
  </si>
  <si>
    <t>00-0036646</t>
  </si>
  <si>
    <t>S.Fehoko</t>
  </si>
  <si>
    <t>https://static.www.nfl.com/image/upload/f_auto,q_auto/league/kbnk59cdzp2opegnrom8</t>
  </si>
  <si>
    <t>00-0036648</t>
  </si>
  <si>
    <t>N.Niemann</t>
  </si>
  <si>
    <t>Nick Niemann</t>
  </si>
  <si>
    <t>https://static.www.nfl.com/image/upload/f_auto,q_auto/league/nbizfccowpxtgytc4n2u</t>
  </si>
  <si>
    <t>00-0036649</t>
  </si>
  <si>
    <t>Q.Bohanna</t>
  </si>
  <si>
    <t>Quinton Bohanna</t>
  </si>
  <si>
    <t>https://static.www.nfl.com/image/upload/f_auto,q_auto/league/jfyxrdrkpytiahvsoatj</t>
  </si>
  <si>
    <t>00-0036653</t>
  </si>
  <si>
    <t>S.Forsythe</t>
  </si>
  <si>
    <t>Stone Forsythe</t>
  </si>
  <si>
    <t>https://static.www.nfl.com/image/upload/f_auto,q_auto/league/iptr66al3wmni1hpipbo</t>
  </si>
  <si>
    <t>00-0036655</t>
  </si>
  <si>
    <t>C.Van Lanen</t>
  </si>
  <si>
    <t>Cole Van Lanen</t>
  </si>
  <si>
    <t>https://static.www.nfl.com/image/upload/f_auto,q_auto/league/oe5pfxi1iqbeskvwciii</t>
  </si>
  <si>
    <t>00-0036658</t>
  </si>
  <si>
    <t>I.McDuffie</t>
  </si>
  <si>
    <t>Isaiah McDuffie</t>
  </si>
  <si>
    <t>https://static.www.nfl.com/image/upload/f_auto,q_auto/league/kfscpyshsfu3hswm7lkd</t>
  </si>
  <si>
    <t>00-0036660</t>
  </si>
  <si>
    <t>Trey Smith</t>
  </si>
  <si>
    <t>https://static.www.nfl.com/image/upload/f_auto,q_auto/league/tevu0zoswqcvyjtweopr</t>
  </si>
  <si>
    <t>00-0036661</t>
  </si>
  <si>
    <t>I.Mukuamu</t>
  </si>
  <si>
    <t>Israel Mukuamu</t>
  </si>
  <si>
    <t>https://static.www.nfl.com/image/upload/f_auto,q_auto/league/suoepvbxuplqnqestfsz</t>
  </si>
  <si>
    <t>00-0036672</t>
  </si>
  <si>
    <t>G.Stuard</t>
  </si>
  <si>
    <t>Grant Stuard</t>
  </si>
  <si>
    <t>https://static.www.nfl.com/image/upload/f_auto,q_auto/league/ws9nh7wahkmhwqnpi7zv</t>
  </si>
  <si>
    <t>00-0036677</t>
  </si>
  <si>
    <t>Z.Anderson</t>
  </si>
  <si>
    <t>Zayne Anderson</t>
  </si>
  <si>
    <t>https://static.www.nfl.com/image/upload/f_auto,q_auto/league/r4j0wtxm67rnmxl6zajl</t>
  </si>
  <si>
    <t>00-0036679</t>
  </si>
  <si>
    <t>S.Buechele</t>
  </si>
  <si>
    <t>Shane Buechele</t>
  </si>
  <si>
    <t>https://static.www.nfl.com/image/upload/f_auto,q_auto/league/f8debemuxxzrosthavuu</t>
  </si>
  <si>
    <t>00-0036683</t>
  </si>
  <si>
    <t>D.Key</t>
  </si>
  <si>
    <t>Devon Key</t>
  </si>
  <si>
    <t>https://static.www.nfl.com/image/upload/f_auto,q_auto/league/aax1z5qptzbpatde06cf</t>
  </si>
  <si>
    <t>00-0036695</t>
  </si>
  <si>
    <t>N.Jones</t>
  </si>
  <si>
    <t>Naquan Jones</t>
  </si>
  <si>
    <t>https://static.www.nfl.com/image/upload/f_auto,q_auto/league/i4edhuakry7za5kzgbov</t>
  </si>
  <si>
    <t>00-0036704</t>
  </si>
  <si>
    <t>C.Johnson</t>
  </si>
  <si>
    <t>Caleb Johnson</t>
  </si>
  <si>
    <t>https://static.www.nfl.com/image/upload/f_auto,q_auto/league/cpvxwusivovnovmryprc</t>
  </si>
  <si>
    <t>00-0036705</t>
  </si>
  <si>
    <t>S.Kamara</t>
  </si>
  <si>
    <t>Sam Kamara</t>
  </si>
  <si>
    <t>https://static.www.nfl.com/image/private/f_auto,q_auto/league/aakuha494hvtrja3dwjn</t>
  </si>
  <si>
    <t>00-0036711</t>
  </si>
  <si>
    <t>C.Snowden</t>
  </si>
  <si>
    <t>Charles Snowden</t>
  </si>
  <si>
    <t>https://static.www.nfl.com/image/upload/f_auto,q_auto/league/lwfjnx5rgx1hanfqfnl7</t>
  </si>
  <si>
    <t>00-0036716</t>
  </si>
  <si>
    <t>A.Ogbongbemiga</t>
  </si>
  <si>
    <t>Amen Ogbongbemiga</t>
  </si>
  <si>
    <t>https://static.www.nfl.com/image/upload/f_auto,q_auto/league/liyabetbezsk9lvuuphd</t>
  </si>
  <si>
    <t>00-0036727</t>
  </si>
  <si>
    <t>A.Prentice</t>
  </si>
  <si>
    <t>Adam Prentice</t>
  </si>
  <si>
    <t>https://static.www.nfl.com/image/upload/f_auto,q_auto/league/v7eu5mvg4n0cg3cbrjxn</t>
  </si>
  <si>
    <t>00-0036728</t>
  </si>
  <si>
    <t>Curtis Robinson</t>
  </si>
  <si>
    <t>https://static.www.nfl.com/image/upload/f_auto,q_auto/league/t0a61ugsjq7akmobnrh5</t>
  </si>
  <si>
    <t>00-0036741</t>
  </si>
  <si>
    <t>J.Stoll</t>
  </si>
  <si>
    <t>https://static.www.nfl.com/image/upload/f_auto,q_auto/league/rtgfs8jwzhtmupqxqgmz</t>
  </si>
  <si>
    <t>00-0036754</t>
  </si>
  <si>
    <t>B.Wright</t>
  </si>
  <si>
    <t>https://static.www.nfl.com/image/upload/f_auto,q_auto/league/bd8sqnzheg7zetlhvku5</t>
  </si>
  <si>
    <t>00-0036755</t>
  </si>
  <si>
    <t>J.Patterson</t>
  </si>
  <si>
    <t>https://static.www.nfl.com/image/upload/f_auto,q_auto/league/n1rttxv1rhvjagyjgxvk</t>
  </si>
  <si>
    <t>00-0036788</t>
  </si>
  <si>
    <t>J.Heflin</t>
  </si>
  <si>
    <t>Jack Heflin</t>
  </si>
  <si>
    <t>https://static.www.nfl.com/image/upload/f_auto,q_auto/league/fpbxakmvdtvwmxmu6rl4</t>
  </si>
  <si>
    <t>00-0036802</t>
  </si>
  <si>
    <t>J.Rhattigan</t>
  </si>
  <si>
    <t>Jon Rhattigan</t>
  </si>
  <si>
    <t>https://static.www.nfl.com/image/upload/f_auto,q_auto/league/im8y1u3b8ptowjxz56en</t>
  </si>
  <si>
    <t>00-0036813</t>
  </si>
  <si>
    <t>C.Elliss</t>
  </si>
  <si>
    <t>Christian Elliss</t>
  </si>
  <si>
    <t>https://static.www.nfl.com/image/upload/f_auto,q_auto/league/g78euyfj7wtinnylus04</t>
  </si>
  <si>
    <t>00-0036816</t>
  </si>
  <si>
    <t>R.Patterson</t>
  </si>
  <si>
    <t>Riley Patterson</t>
  </si>
  <si>
    <t>https://static.www.nfl.com/image/upload/f_auto,q_auto/league/gzvyb1u3dueikfy3otlq</t>
  </si>
  <si>
    <t>40;44;47;36;43;47;27;33;26;34;36;49;43;46;46;39;29;39;25;48;33;43;53;54;29;31;52</t>
  </si>
  <si>
    <t>57;35</t>
  </si>
  <si>
    <t>00-0036825</t>
  </si>
  <si>
    <t>F.Franks</t>
  </si>
  <si>
    <t>https://static.www.nfl.com/image/upload/f_auto,q_auto/league/v5zscuctkdetzfstqouf</t>
  </si>
  <si>
    <t>00-0036833</t>
  </si>
  <si>
    <t>R.Neuzil</t>
  </si>
  <si>
    <t>Ryan Neuzil</t>
  </si>
  <si>
    <t>https://static.www.nfl.com/image/upload/f_auto,q_auto/league/zhgrjqtmbyx5lzwaflbr</t>
  </si>
  <si>
    <t>00-0036839</t>
  </si>
  <si>
    <t>K.Smith</t>
  </si>
  <si>
    <t>Kion Smith</t>
  </si>
  <si>
    <t>https://static.www.nfl.com/image/upload/f_auto,q_auto/league/rawjlqbe9aroo9cqkpfv</t>
  </si>
  <si>
    <t>00-0036841</t>
  </si>
  <si>
    <t>A.Trammell</t>
  </si>
  <si>
    <t>https://static.www.nfl.com/image/upload/f_auto,q_auto/league/wycm0dz06421rredzyrq</t>
  </si>
  <si>
    <t>00-0036842</t>
  </si>
  <si>
    <t>K.Nwangwu</t>
  </si>
  <si>
    <t>https://static.www.nfl.com/image/upload/f_auto,q_auto/league/rlnqgz517fsohrndgjrb</t>
  </si>
  <si>
    <t>00-0036844</t>
  </si>
  <si>
    <t>G.Wallow</t>
  </si>
  <si>
    <t>Garret Wallow</t>
  </si>
  <si>
    <t>https://static.www.nfl.com/image/upload/f_auto,q_auto/league/jf7xnestp0wmq0lbezxs</t>
  </si>
  <si>
    <t>00-0036849</t>
  </si>
  <si>
    <t>T.Atwell</t>
  </si>
  <si>
    <t>https://static.www.nfl.com/image/upload/f_auto,q_auto/league/twlslcaa7c2wblveaafu</t>
  </si>
  <si>
    <t>00-0036850</t>
  </si>
  <si>
    <t>C.Sample</t>
  </si>
  <si>
    <t>Cameron Sample</t>
  </si>
  <si>
    <t>https://static.www.nfl.com/image/private/f_auto,q_auto/league/kvkvhvbvcebjkevxjdhd</t>
  </si>
  <si>
    <t>00-0036854</t>
  </si>
  <si>
    <t>E.McPherson</t>
  </si>
  <si>
    <t>Evan McPherson</t>
  </si>
  <si>
    <t>https://static.www.nfl.com/image/upload/f_auto,q_auto/league/cpvujaqwscupzvbbx7oe</t>
  </si>
  <si>
    <t>35;31;45;26;50;45;49;23;45;36;26;41;33;43;48;54;63;31;42;24;33;52;41;45;57</t>
  </si>
  <si>
    <t>67;56;54</t>
  </si>
  <si>
    <t>00-0036862</t>
  </si>
  <si>
    <t>B.Skowronek</t>
  </si>
  <si>
    <t>https://static.www.nfl.com/image/upload/f_auto,q_auto/league/drojmh3dbpuagobvilzv</t>
  </si>
  <si>
    <t>00-0036866</t>
  </si>
  <si>
    <t>J.Hudson</t>
  </si>
  <si>
    <t>James Hudson</t>
  </si>
  <si>
    <t>https://static.www.nfl.com/image/upload/f_auto,q_auto/league/awncy5wgubdzptt9ici9</t>
  </si>
  <si>
    <t>00-0036867</t>
  </si>
  <si>
    <t>C.Rumph</t>
  </si>
  <si>
    <t>Chris Rumph II</t>
  </si>
  <si>
    <t>https://static.www.nfl.com/image/upload/f_auto,q_auto/league/ayrvlbmyxlvek7afcioc</t>
  </si>
  <si>
    <t>00-0036869</t>
  </si>
  <si>
    <t>Dan Moore Jr.</t>
  </si>
  <si>
    <t>https://static.www.nfl.com/image/upload/f_auto,q_auto/league/boxltktohmx9eqfrjr9c</t>
  </si>
  <si>
    <t>00-0036870</t>
  </si>
  <si>
    <t>B.Johnson</t>
  </si>
  <si>
    <t>Buddy Johnson</t>
  </si>
  <si>
    <t>https://static.www.nfl.com/image/upload/f_auto,q_auto/league/aa4htfuz4uxcprkmmvii</t>
  </si>
  <si>
    <t>00-0036871</t>
  </si>
  <si>
    <t>N.Hobbs</t>
  </si>
  <si>
    <t>Nate Hobbs</t>
  </si>
  <si>
    <t>https://static.www.nfl.com/image/upload/f_auto,q_auto/league/tqngf0urgkjrrqtx0kzl</t>
  </si>
  <si>
    <t>00-0036874</t>
  </si>
  <si>
    <t>P.Surtain</t>
  </si>
  <si>
    <t>Pat Surtain II</t>
  </si>
  <si>
    <t>https://static.www.nfl.com/image/upload/f_auto,q_auto/league/soec8zk3n5jvxvywq1gm</t>
  </si>
  <si>
    <t>00-0036875</t>
  </si>
  <si>
    <t>R.Stevenson</t>
  </si>
  <si>
    <t>https://static.www.nfl.com/image/upload/f_auto,q_auto/league/ed09migntlyy8ntgvcu1</t>
  </si>
  <si>
    <t>00-0036876</t>
  </si>
  <si>
    <t>K.Granson</t>
  </si>
  <si>
    <t>https://static.www.nfl.com/image/upload/f_auto,q_auto/league/ysbxmdw4da30q3kjb571</t>
  </si>
  <si>
    <t>00-0036880</t>
  </si>
  <si>
    <t>P.Sewell</t>
  </si>
  <si>
    <t>Penei Sewell</t>
  </si>
  <si>
    <t>https://static.www.nfl.com/image/upload/f_auto,q_auto/league/bfdl9aba5nufevjfckeb</t>
  </si>
  <si>
    <t>00-0036881</t>
  </si>
  <si>
    <t>J.Tufele</t>
  </si>
  <si>
    <t>Jay Tufele</t>
  </si>
  <si>
    <t>https://static.www.nfl.com/image/upload/f_auto,q_auto/league/w0b0txntjiv6diob9u5k</t>
  </si>
  <si>
    <t>00-0036883</t>
  </si>
  <si>
    <t>T.Togiai</t>
  </si>
  <si>
    <t>Tommy Togiai</t>
  </si>
  <si>
    <t>https://static.www.nfl.com/image/upload/f_auto,q_auto/league/vq1st1d5nifz8aze1aix</t>
  </si>
  <si>
    <t>00-0036884</t>
  </si>
  <si>
    <t>M.Wilson</t>
  </si>
  <si>
    <t>Marco Wilson</t>
  </si>
  <si>
    <t>https://static.www.nfl.com/image/upload/f_auto,q_auto/league/mcmzfcisg5pkfulsp0tr</t>
  </si>
  <si>
    <t>00-0036885</t>
  </si>
  <si>
    <t>Tre Brown</t>
  </si>
  <si>
    <t>https://static.www.nfl.com/image/upload/f_auto,q_auto/league/rsa4qgvqzrmqgonwf3co</t>
  </si>
  <si>
    <t>00-0036887</t>
  </si>
  <si>
    <t>L.Farrell</t>
  </si>
  <si>
    <t>https://static.www.nfl.com/image/upload/f_auto,q_auto/league/sccmpo8xbzdbjasmwcfj</t>
  </si>
  <si>
    <t>00-0036888</t>
  </si>
  <si>
    <t>D.Hamlin</t>
  </si>
  <si>
    <t>Damar Hamlin</t>
  </si>
  <si>
    <t>https://static.www.nfl.com/image/upload/f_auto,q_auto/league/y3up9bdo5vczbq5zskxo</t>
  </si>
  <si>
    <t>00-0036893</t>
  </si>
  <si>
    <t>N.Harris</t>
  </si>
  <si>
    <t>Najee Harris</t>
  </si>
  <si>
    <t>https://static.www.nfl.com/image/upload/f_auto,q_auto/league/grfxgbvqnzz40r7rdtvk</t>
  </si>
  <si>
    <t>00-0036894</t>
  </si>
  <si>
    <t>P.Freiermuth</t>
  </si>
  <si>
    <t>https://static.www.nfl.com/image/upload/f_auto,q_auto/league/vmwioi77upc9hqwaskfa</t>
  </si>
  <si>
    <t>00-0036896</t>
  </si>
  <si>
    <t>V.Dimukeje</t>
  </si>
  <si>
    <t>Victor Dimukeje</t>
  </si>
  <si>
    <t>https://static.www.nfl.com/image/upload/f_auto,q_auto/league/timanef1mpwuc1cqmptm</t>
  </si>
  <si>
    <t>00-0036898</t>
  </si>
  <si>
    <t>D.Mills</t>
  </si>
  <si>
    <t>Davis Mills</t>
  </si>
  <si>
    <t>https://static.www.nfl.com/image/upload/f_auto,q_auto/league/v3bofeusytvkogvqichy</t>
  </si>
  <si>
    <t>00-0036900</t>
  </si>
  <si>
    <t>J.Chase</t>
  </si>
  <si>
    <t>https://static.www.nfl.com/image/upload/f_auto,q_auto/league/qya3dtjb5kgofcuj2tuw</t>
  </si>
  <si>
    <t>00-0036901</t>
  </si>
  <si>
    <t>E.Stokes</t>
  </si>
  <si>
    <t>Eric Stokes</t>
  </si>
  <si>
    <t>https://static.www.nfl.com/image/upload/f_auto,q_auto/league/utosvktgajhtqd2px9xp</t>
  </si>
  <si>
    <t>00-0036902</t>
  </si>
  <si>
    <t>J.Ossai</t>
  </si>
  <si>
    <t>Joseph Ossai</t>
  </si>
  <si>
    <t>https://static.www.nfl.com/image/upload/f_auto,q_auto/league/ixgqo1gn6f79bhhoyirq</t>
  </si>
  <si>
    <t>00-0036903</t>
  </si>
  <si>
    <t>B.Brown</t>
  </si>
  <si>
    <t>Bobby Brown III</t>
  </si>
  <si>
    <t>https://static.www.nfl.com/image/upload/f_auto,q_auto/league/f3fspidlfqws3asws3gw</t>
  </si>
  <si>
    <t>00-0036904</t>
  </si>
  <si>
    <t>R.Rochell</t>
  </si>
  <si>
    <t>Robert Rochell</t>
  </si>
  <si>
    <t>https://static.www.nfl.com/image/upload/f_auto,q_auto/league/oqn1nnmeqppzkymivtfe</t>
  </si>
  <si>
    <t>00-0036905</t>
  </si>
  <si>
    <t>L.Borom</t>
  </si>
  <si>
    <t>Larry Borom</t>
  </si>
  <si>
    <t>https://static.www.nfl.com/image/upload/f_auto,q_auto/league/n9k0wubk028m5ecfwg8x</t>
  </si>
  <si>
    <t>00-0036906</t>
  </si>
  <si>
    <t>K.Herbert</t>
  </si>
  <si>
    <t>https://static.www.nfl.com/image/upload/f_auto,q_auto/league/gjwksf9ygntjmtceeerh</t>
  </si>
  <si>
    <t>00-0036909</t>
  </si>
  <si>
    <t>K.Tonga</t>
  </si>
  <si>
    <t>Khyiris Tonga</t>
  </si>
  <si>
    <t>https://static.www.nfl.com/image/upload/f_auto,q_auto/league/sd2nd0xkekkuf2hrlcjq</t>
  </si>
  <si>
    <t>00-0036912</t>
  </si>
  <si>
    <t>D.Smith</t>
  </si>
  <si>
    <t>https://static.www.nfl.com/image/upload/f_auto,q_auto/league/vj2fz8veorg1k5qthnjm</t>
  </si>
  <si>
    <t>00-0036914</t>
  </si>
  <si>
    <t>G.Rousseau</t>
  </si>
  <si>
    <t>Greg Rousseau</t>
  </si>
  <si>
    <t>https://static.www.nfl.com/image/upload/f_auto,q_auto/league/oljb2xg9fry8gnuqz66k</t>
  </si>
  <si>
    <t>00-0036916</t>
  </si>
  <si>
    <t>Milton Williams</t>
  </si>
  <si>
    <t>https://static.www.nfl.com/image/upload/f_auto,q_auto/league/pne778olspa9ercg4e56</t>
  </si>
  <si>
    <t>00-0036919</t>
  </si>
  <si>
    <t>K.Gainwell</t>
  </si>
  <si>
    <t>https://static.www.nfl.com/image/upload/f_auto,q_auto/league/f74x1ywy7oo5kq81vblh</t>
  </si>
  <si>
    <t>00-0036920</t>
  </si>
  <si>
    <t>M.Tuipulotu</t>
  </si>
  <si>
    <t>Marlon Tuipulotu</t>
  </si>
  <si>
    <t>https://static.www.nfl.com/image/upload/f_auto,q_auto/league/ho9eokvcqvge4qdld2ie</t>
  </si>
  <si>
    <t>00-0036922</t>
  </si>
  <si>
    <t>P.Johnson</t>
  </si>
  <si>
    <t>Patrick Johnson</t>
  </si>
  <si>
    <t>https://static.www.nfl.com/image/upload/f_auto,q_auto/league/qtngv13hh6rm4kfc52jt</t>
  </si>
  <si>
    <t>00-0036924</t>
  </si>
  <si>
    <t>Michael Carter</t>
  </si>
  <si>
    <t>https://static.www.nfl.com/image/upload/f_auto,q_auto/league/e1y7zhd7w3xbthodfa3m</t>
  </si>
  <si>
    <t>00-0036927</t>
  </si>
  <si>
    <t>P.Werner</t>
  </si>
  <si>
    <t>Pete Werner</t>
  </si>
  <si>
    <t>https://static.www.nfl.com/image/upload/f_auto,q_auto/league/nqs87jnlklns7tm7w5jj</t>
  </si>
  <si>
    <t>00-0036932</t>
  </si>
  <si>
    <t>M.Parsons</t>
  </si>
  <si>
    <t>Micah Parsons</t>
  </si>
  <si>
    <t>https://static.www.nfl.com/image/upload/f_auto,q_auto/league/igbkpnpsezgrvngnf5ck</t>
  </si>
  <si>
    <t>00-0036933</t>
  </si>
  <si>
    <t>Z.Collins</t>
  </si>
  <si>
    <t>Zaven Collins</t>
  </si>
  <si>
    <t>https://static.www.nfl.com/image/upload/f_auto,q_auto/league/kyzjrpamx2gfuumvpxai</t>
  </si>
  <si>
    <t>00-0036934</t>
  </si>
  <si>
    <t>Jaelan Phillips</t>
  </si>
  <si>
    <t>https://static.www.nfl.com/image/upload/f_auto,q_auto/league/etpp0zmoctw8uweix07f</t>
  </si>
  <si>
    <t>00-0036937</t>
  </si>
  <si>
    <t>P.Adebo</t>
  </si>
  <si>
    <t>Paulson Adebo</t>
  </si>
  <si>
    <t>https://static.www.nfl.com/image/upload/f_auto,q_auto/league/syndlzqvjmmeplufohl8</t>
  </si>
  <si>
    <t>00-0036940</t>
  </si>
  <si>
    <t>O.Oweh</t>
  </si>
  <si>
    <t>Odafe Oweh</t>
  </si>
  <si>
    <t>https://static.www.nfl.com/image/upload/f_auto,q_auto/league/xjfiyufnofknncgkmbyy</t>
  </si>
  <si>
    <t>00-0036941</t>
  </si>
  <si>
    <t>A.Cisco</t>
  </si>
  <si>
    <t>Andre Cisco</t>
  </si>
  <si>
    <t>https://static.www.nfl.com/image/upload/f_auto,q_auto/league/sdk8jvmv30mvetujj7bs</t>
  </si>
  <si>
    <t>00-0036942</t>
  </si>
  <si>
    <t>O.Odighizuwa</t>
  </si>
  <si>
    <t>Osa Odighizuwa</t>
  </si>
  <si>
    <t>https://static.www.nfl.com/image/upload/f_auto,q_auto/league/xjx8vxlafv4i0hmvtrje</t>
  </si>
  <si>
    <t>00-0036943</t>
  </si>
  <si>
    <t>M.Fraboni</t>
  </si>
  <si>
    <t>Mitchell Fraboni</t>
  </si>
  <si>
    <t>https://static.www.nfl.com/image/upload/f_auto,q_auto/league/csvbeqtitr9ixpgdt0fu</t>
  </si>
  <si>
    <t>00-0036944</t>
  </si>
  <si>
    <t>Ja.Horn</t>
  </si>
  <si>
    <t>Jaycee Horn</t>
  </si>
  <si>
    <t>https://static.www.nfl.com/image/upload/f_auto,q_auto/league/lvqdczrm0ebvb8m3n5fu</t>
  </si>
  <si>
    <t>00-0036945</t>
  </si>
  <si>
    <t>J.Fields</t>
  </si>
  <si>
    <t>Justin Fields</t>
  </si>
  <si>
    <t>https://static.www.nfl.com/image/upload/f_auto,q_auto/league/fbteankooq2c33yquq2j</t>
  </si>
  <si>
    <t>00-0036948</t>
  </si>
  <si>
    <t>T.Graham</t>
  </si>
  <si>
    <t>Ta'Quon Graham</t>
  </si>
  <si>
    <t>https://static.www.nfl.com/image/upload/f_auto,q_auto/league/guxpxgrm0ulryqybspna</t>
  </si>
  <si>
    <t>00-0036950</t>
  </si>
  <si>
    <t>A.Williams</t>
  </si>
  <si>
    <t>Avery Williams</t>
  </si>
  <si>
    <t>https://static.www.nfl.com/image/upload/f_auto,q_auto/league/udxcy5ukuuppfhemywfn</t>
  </si>
  <si>
    <t>00-0036952</t>
  </si>
  <si>
    <t>J.Cooper</t>
  </si>
  <si>
    <t>Jonathon Cooper</t>
  </si>
  <si>
    <t>https://static.www.nfl.com/image/upload/f_auto,q_auto/league/rzjdnsaz0sfs9v4xetov</t>
  </si>
  <si>
    <t>00-0036953</t>
  </si>
  <si>
    <t>T.Jenkins</t>
  </si>
  <si>
    <t>Teven Jenkins</t>
  </si>
  <si>
    <t>https://static.www.nfl.com/image/upload/f_auto,q_auto/league/i0oiehuaelpnrtrlfmfl</t>
  </si>
  <si>
    <t>00-0036956</t>
  </si>
  <si>
    <t>D.Hall</t>
  </si>
  <si>
    <t>Darren Hall</t>
  </si>
  <si>
    <t>https://static.www.nfl.com/image/upload/f_auto,q_auto/league/btpudohpy5mnzimqn2xm</t>
  </si>
  <si>
    <t>00-0036957</t>
  </si>
  <si>
    <t>D.Dalman</t>
  </si>
  <si>
    <t>Drew Dalman</t>
  </si>
  <si>
    <t>https://static.www.nfl.com/image/upload/f_auto,q_auto/league/dbs2xvntmad015bo7qxe</t>
  </si>
  <si>
    <t>00-0036959</t>
  </si>
  <si>
    <t>M.Bandy</t>
  </si>
  <si>
    <t>https://static.www.nfl.com/image/upload/f_auto,q_auto/league/chfu1cqtulkawqq1mulx</t>
  </si>
  <si>
    <t>00-0036961</t>
  </si>
  <si>
    <t>R.Grant</t>
  </si>
  <si>
    <t>Richie Grant</t>
  </si>
  <si>
    <t>https://static.www.nfl.com/image/upload/f_auto,q_auto/league/hzzmvmlmkqe6sn4g1d4j</t>
  </si>
  <si>
    <t>00-0036962</t>
  </si>
  <si>
    <t>T.Moehrig</t>
  </si>
  <si>
    <t>Tre'von Moehrig</t>
  </si>
  <si>
    <t>https://static.www.nfl.com/image/upload/f_auto,q_auto/league/cyprwi2vzj1a3oitgseo</t>
  </si>
  <si>
    <t>00-0036963</t>
  </si>
  <si>
    <t>A.St. Brown</t>
  </si>
  <si>
    <t>https://static.www.nfl.com/image/upload/f_auto,q_auto/league/fd8nwhm6pvxfyzphzl6i</t>
  </si>
  <si>
    <t>00-0036964</t>
  </si>
  <si>
    <t>D.Barnes</t>
  </si>
  <si>
    <t>Derrick Barnes</t>
  </si>
  <si>
    <t>https://static.www.nfl.com/image/upload/f_auto,q_auto/league/jksvb5xfttcodlgvlyjo</t>
  </si>
  <si>
    <t>00-0036967</t>
  </si>
  <si>
    <t>J.Tryon</t>
  </si>
  <si>
    <t>Joe Tryon-Shoyinka</t>
  </si>
  <si>
    <t>https://static.www.nfl.com/image/upload/f_auto,q_auto/league/it6wkxysejicc83azqkd</t>
  </si>
  <si>
    <t>00-0036968</t>
  </si>
  <si>
    <t>B.Christensen</t>
  </si>
  <si>
    <t>Brady Christensen</t>
  </si>
  <si>
    <t>https://static.www.nfl.com/image/upload/f_auto,q_auto/league/pbj2pkbe5cwtomutayd1</t>
  </si>
  <si>
    <t>00-0036970</t>
  </si>
  <si>
    <t>K.Pitts</t>
  </si>
  <si>
    <t>Kyle Pitts</t>
  </si>
  <si>
    <t>https://static.www.nfl.com/image/upload/f_auto,q_auto/league/tbec213me3pszzszecqo</t>
  </si>
  <si>
    <t>00-0036971</t>
  </si>
  <si>
    <t>T.Lawrence</t>
  </si>
  <si>
    <t>Trevor Lawrence</t>
  </si>
  <si>
    <t>https://static.www.nfl.com/image/upload/f_auto,q_auto/league/d75srntioly7fq0z8vip</t>
  </si>
  <si>
    <t>00-0036972</t>
  </si>
  <si>
    <t>M.Jones</t>
  </si>
  <si>
    <t>Mac Jones</t>
  </si>
  <si>
    <t>https://static.www.nfl.com/image/upload/f_auto,q_auto/league/v5sg1z9qvdpjeapblndz</t>
  </si>
  <si>
    <t>00-0036973</t>
  </si>
  <si>
    <t>T.Etienne</t>
  </si>
  <si>
    <t>Travis Etienne</t>
  </si>
  <si>
    <t>https://static.www.nfl.com/image/upload/f_auto,q_auto/league/gc0iljgj34piecyfueyd</t>
  </si>
  <si>
    <t>00-0036974</t>
  </si>
  <si>
    <t>T.Campbell</t>
  </si>
  <si>
    <t>Tyson Campbell</t>
  </si>
  <si>
    <t>https://static.www.nfl.com/image/upload/f_auto,q_auto/league/qhtmkkoqakioplm2vfrw</t>
  </si>
  <si>
    <t>00-0036975</t>
  </si>
  <si>
    <t>W.Little</t>
  </si>
  <si>
    <t>Walker Little</t>
  </si>
  <si>
    <t>https://static.www.nfl.com/image/upload/f_auto,q_auto/league/rcvi4hvhzassjkeya7z9</t>
  </si>
  <si>
    <t>00-0036976</t>
  </si>
  <si>
    <t>S.Brown</t>
  </si>
  <si>
    <t>Spencer Brown</t>
  </si>
  <si>
    <t>https://static.www.nfl.com/image/upload/f_auto,q_auto/league/q2lsfuxunzzgso9rtldu</t>
  </si>
  <si>
    <t>00-0036980</t>
  </si>
  <si>
    <t>E.Moore</t>
  </si>
  <si>
    <t>Elijah Moore</t>
  </si>
  <si>
    <t>https://static.www.nfl.com/image/upload/f_auto,q_auto/league/hglegw8qqnvb8fghc8cq</t>
  </si>
  <si>
    <t>00-0036981</t>
  </si>
  <si>
    <t>C.Barmore</t>
  </si>
  <si>
    <t>Christian Barmore</t>
  </si>
  <si>
    <t>https://static.www.nfl.com/image/upload/f_auto,q_auto/league/r2qnczxwkpqhk8is5jkv</t>
  </si>
  <si>
    <t>00-0036982</t>
  </si>
  <si>
    <t>C.Golston</t>
  </si>
  <si>
    <t>Chauncey Golston</t>
  </si>
  <si>
    <t>https://static.www.nfl.com/image/upload/f_auto,q_auto/league/sxmy7rxufyanqn2mpsba</t>
  </si>
  <si>
    <t>00-0036984</t>
  </si>
  <si>
    <t>T.Sermon</t>
  </si>
  <si>
    <t>Trey Sermon</t>
  </si>
  <si>
    <t>https://static.www.nfl.com/image/upload/f_auto,q_auto/league/eqhl3xiczodsyqlmsxvr</t>
  </si>
  <si>
    <t>00-0036985</t>
  </si>
  <si>
    <t>R.Hainsey</t>
  </si>
  <si>
    <t>Robert Hainsey</t>
  </si>
  <si>
    <t>https://static.www.nfl.com/image/upload/f_auto,q_auto/league/gaphcunqg5idsedj7rjv</t>
  </si>
  <si>
    <t>00-0036986</t>
  </si>
  <si>
    <t>N.Wright</t>
  </si>
  <si>
    <t>Nahshon Wright</t>
  </si>
  <si>
    <t>https://static.www.nfl.com/image/upload/f_auto,q_auto/league/muwpbl5yr0o4yvkcxtu3</t>
  </si>
  <si>
    <t>00-0036987</t>
  </si>
  <si>
    <t>B.Stephens</t>
  </si>
  <si>
    <t>Brandon Stephens</t>
  </si>
  <si>
    <t>https://static.www.nfl.com/image/upload/f_auto,q_auto/league/xvwpf9u0s2yj7ldppaen</t>
  </si>
  <si>
    <t>00-0036988</t>
  </si>
  <si>
    <t>J.Palmer</t>
  </si>
  <si>
    <t>Josh Palmer</t>
  </si>
  <si>
    <t>https://static.www.nfl.com/image/upload/f_auto,q_auto/league/woswdfrtxnsfgzsjvsxx</t>
  </si>
  <si>
    <t>00-0036989</t>
  </si>
  <si>
    <t>M.Koonce</t>
  </si>
  <si>
    <t>Malcolm Koonce</t>
  </si>
  <si>
    <t>https://static.www.nfl.com/image/upload/f_auto,q_auto/league/cujkqhjibrywjodwgfyp</t>
  </si>
  <si>
    <t>00-0036990</t>
  </si>
  <si>
    <t>D.Deablo</t>
  </si>
  <si>
    <t>Divine Deablo</t>
  </si>
  <si>
    <t>https://static.www.nfl.com/image/upload/f_auto,q_auto/league/btw2sohcblkqvpsrctio</t>
  </si>
  <si>
    <t>00-0036992</t>
  </si>
  <si>
    <t>E.Molden</t>
  </si>
  <si>
    <t>Elijah Molden</t>
  </si>
  <si>
    <t>https://static.www.nfl.com/image/upload/f_auto,q_auto/league/yxq6pkgcvnln5riyonff</t>
  </si>
  <si>
    <t>00-0036993</t>
  </si>
  <si>
    <t>I.Melifonwu</t>
  </si>
  <si>
    <t>Ifeatu Melifonwu</t>
  </si>
  <si>
    <t>https://static.www.nfl.com/image/upload/f_auto,q_auto/league/ftt7jc1nr0hmf1xmzyh2</t>
  </si>
  <si>
    <t>00-0036994</t>
  </si>
  <si>
    <t>E.Jones</t>
  </si>
  <si>
    <t>Ernest Jones</t>
  </si>
  <si>
    <t>https://static.www.nfl.com/image/upload/f_auto,q_auto/league/zn0pz6okty7vbj5ryryt</t>
  </si>
  <si>
    <t>00-0036995</t>
  </si>
  <si>
    <t>B.Browning</t>
  </si>
  <si>
    <t>Baron Browning</t>
  </si>
  <si>
    <t>https://static.www.nfl.com/image/upload/f_auto,q_auto/league/nd86rlr1op1wgkbpfcxv</t>
  </si>
  <si>
    <t>00-0036996</t>
  </si>
  <si>
    <t>G.Newsome</t>
  </si>
  <si>
    <t>Greg Newsome II</t>
  </si>
  <si>
    <t>https://static.www.nfl.com/image/upload/f_auto,q_auto/league/zyfy3onrys9i6ounvai8</t>
  </si>
  <si>
    <t>00-0036997</t>
  </si>
  <si>
    <t>https://static.www.nfl.com/image/upload/f_auto,q_auto/league/hwzske22c4wrlf27qrih</t>
  </si>
  <si>
    <t>00-0036998</t>
  </si>
  <si>
    <t>J.Holland</t>
  </si>
  <si>
    <t>Jevon Holland</t>
  </si>
  <si>
    <t>https://static.www.nfl.com/image/upload/f_auto,q_auto/league/zuvtkp7vhs3iqvpj9nen</t>
  </si>
  <si>
    <t>00-0037000</t>
  </si>
  <si>
    <t>M.Rice</t>
  </si>
  <si>
    <t>Monty Rice</t>
  </si>
  <si>
    <t>https://static.www.nfl.com/image/upload/f_auto,q_auto/league/rrcuqfoaipif1vrlobuz</t>
  </si>
  <si>
    <t>00-0037001</t>
  </si>
  <si>
    <t>Q.Meinerz</t>
  </si>
  <si>
    <t>Quinn Meinerz</t>
  </si>
  <si>
    <t>https://static.www.nfl.com/image/upload/f_auto,q_auto/league/wataecqih21xww0giu06</t>
  </si>
  <si>
    <t>00-0037002</t>
  </si>
  <si>
    <t>L.Dickerson</t>
  </si>
  <si>
    <t>Landon Dickerson</t>
  </si>
  <si>
    <t>https://static.www.nfl.com/image/upload/f_auto,q_auto/league/xmdowvfxum5huo9ahemm</t>
  </si>
  <si>
    <t>00-0037003</t>
  </si>
  <si>
    <t>C.Surratt</t>
  </si>
  <si>
    <t>Chazz Surratt</t>
  </si>
  <si>
    <t>https://static.www.nfl.com/image/upload/f_auto,q_auto/league/wvgrytpf6ymlzcmxcnch</t>
  </si>
  <si>
    <t>00-0037004</t>
  </si>
  <si>
    <t>H.Long</t>
  </si>
  <si>
    <t>https://static.www.nfl.com/image/upload/f_auto,q_auto/league/n1kvmijdfpyv1dwlwqa6</t>
  </si>
  <si>
    <t>00-0037005</t>
  </si>
  <si>
    <t>T.Tremble</t>
  </si>
  <si>
    <t>https://static.www.nfl.com/image/upload/f_auto,q_auto/league/j0atbeflgj05pldxfon6</t>
  </si>
  <si>
    <t>00-0037007</t>
  </si>
  <si>
    <t>P.Jones</t>
  </si>
  <si>
    <t>Patrick Jones II</t>
  </si>
  <si>
    <t>https://static.www.nfl.com/image/upload/f_auto,q_auto/league/yj0r18rgx7oishozdalv</t>
  </si>
  <si>
    <t>00-0037012</t>
  </si>
  <si>
    <t>T.Lance</t>
  </si>
  <si>
    <t>Trey Lance</t>
  </si>
  <si>
    <t>https://static.www.nfl.com/image/upload/f_auto,q_auto/league/gu6ewpdscaswlet6pbq0</t>
  </si>
  <si>
    <t>00-0037013</t>
  </si>
  <si>
    <t>Z.Wilson</t>
  </si>
  <si>
    <t>Zach Wilson</t>
  </si>
  <si>
    <t>https://static.www.nfl.com/image/upload/f_auto,q_auto/league/i17xpbsar7evcypbhtel</t>
  </si>
  <si>
    <t>00-0037015</t>
  </si>
  <si>
    <t>S.Cannella</t>
  </si>
  <si>
    <t>00-0037031</t>
  </si>
  <si>
    <t>N.Kalinic</t>
  </si>
  <si>
    <t>https://static.www.nfl.com/image/upload/f_auto,q_auto/league/fyvri4pofkob6yclq4kz</t>
  </si>
  <si>
    <t>00-0037034</t>
  </si>
  <si>
    <t>D.Alford</t>
  </si>
  <si>
    <t>Dee Alford</t>
  </si>
  <si>
    <t>https://static.www.nfl.com/image/upload/f_auto,q_auto/league/ekj8kwdcwmajijqt1ce2</t>
  </si>
  <si>
    <t>00-0037041</t>
  </si>
  <si>
    <t>H.Ndubuisi</t>
  </si>
  <si>
    <t>Haggai Ndubuisi</t>
  </si>
  <si>
    <t>https://static.www.nfl.com/image/upload/f_auto,q_auto/league/jalumajq4tyslz16v8j0</t>
  </si>
  <si>
    <t>00-0037051</t>
  </si>
  <si>
    <t>E.Garcia</t>
  </si>
  <si>
    <t>Elijah Garcia</t>
  </si>
  <si>
    <t>https://static.www.nfl.com/image/upload/f_auto,q_auto/league/mdhtfrrfmfeop2secu2c</t>
  </si>
  <si>
    <t>00-0037073</t>
  </si>
  <si>
    <t>Jordan Davis</t>
  </si>
  <si>
    <t>https://static.www.nfl.com/image/upload/f_auto,q_auto/league/tcepyh61e1ct4vhdeaer</t>
  </si>
  <si>
    <t>00-0037074</t>
  </si>
  <si>
    <t>Q.Walker</t>
  </si>
  <si>
    <t>Quay Walker</t>
  </si>
  <si>
    <t>https://static.www.nfl.com/image/upload/f_auto,q_auto/league/dkqnq4ccxwrr7u34aqrz</t>
  </si>
  <si>
    <t>00-0037075</t>
  </si>
  <si>
    <t>D.Wyatt</t>
  </si>
  <si>
    <t>Devonte Wyatt</t>
  </si>
  <si>
    <t>https://static.www.nfl.com/image/upload/f_auto,q_auto/league/p1oupvtm9kcm0wpuhape</t>
  </si>
  <si>
    <t>00-0037076</t>
  </si>
  <si>
    <t>S.Rhyan</t>
  </si>
  <si>
    <t>Sean Rhyan</t>
  </si>
  <si>
    <t>https://static.www.nfl.com/image/upload/f_auto,q_auto/league/qkl36vd0ozvjal6lisw9</t>
  </si>
  <si>
    <t>00-0037079</t>
  </si>
  <si>
    <t>T.Woolen</t>
  </si>
  <si>
    <t>Riq Woolen</t>
  </si>
  <si>
    <t>https://static.www.nfl.com/image/upload/f_auto,q_auto/league/rup4lbocfzdeohfrzfq9</t>
  </si>
  <si>
    <t>00-0037081</t>
  </si>
  <si>
    <t>Braxton Jones</t>
  </si>
  <si>
    <t>https://static.www.nfl.com/image/upload/f_auto,q_auto/league/mjifvwkjowxkcdn61opd</t>
  </si>
  <si>
    <t>00-0037082</t>
  </si>
  <si>
    <t>Dominique Robinson</t>
  </si>
  <si>
    <t>https://static.www.nfl.com/image/upload/f_auto,q_auto/league/ces5sntijczc3q0pabay</t>
  </si>
  <si>
    <t>00-0037083</t>
  </si>
  <si>
    <t>K.Enagbare</t>
  </si>
  <si>
    <t>Kingsley Enagbare</t>
  </si>
  <si>
    <t>https://static.www.nfl.com/image/upload/f_auto,q_auto/league/ty3h4h6l190fjiwmczlt</t>
  </si>
  <si>
    <t>00-0037085</t>
  </si>
  <si>
    <t>T.Badie</t>
  </si>
  <si>
    <t>https://static.www.nfl.com/image/upload/f_auto,q_auto/league/ger5eiktec0vzmrxjnaw</t>
  </si>
  <si>
    <t>00-0037086</t>
  </si>
  <si>
    <t>G.Calcaterra</t>
  </si>
  <si>
    <t>https://static.www.nfl.com/image/upload/f_auto,q_auto/league/xzfqqlmavruytirlmg3n</t>
  </si>
  <si>
    <t>00-0037091</t>
  </si>
  <si>
    <t>B.Melton</t>
  </si>
  <si>
    <t>Bo Melton</t>
  </si>
  <si>
    <t>https://static.www.nfl.com/image/upload/f_auto,q_auto/league/yt6xe5fxszt0byq1uszm</t>
  </si>
  <si>
    <t>00-0037092</t>
  </si>
  <si>
    <t>C.Paul</t>
  </si>
  <si>
    <t>Chris Paul</t>
  </si>
  <si>
    <t>https://static.www.nfl.com/image/upload/f_auto,q_auto/league/mr885ffyaer4nyo820dq</t>
  </si>
  <si>
    <t>00-0037093</t>
  </si>
  <si>
    <t>D.Young</t>
  </si>
  <si>
    <t>https://static.www.nfl.com/image/upload/f_auto,q_auto/league/umjr6zhpksws2vpfo0qe</t>
  </si>
  <si>
    <t>00-0037094</t>
  </si>
  <si>
    <t>J.Ford</t>
  </si>
  <si>
    <t>Jonathan Ford</t>
  </si>
  <si>
    <t>https://static.www.nfl.com/image/upload/f_auto,q_auto/league/jxuuhxzzlpfhtm20j9qb</t>
  </si>
  <si>
    <t>00-0037096</t>
  </si>
  <si>
    <t>E.Hicks</t>
  </si>
  <si>
    <t>Elijah Hicks</t>
  </si>
  <si>
    <t>https://static.www.nfl.com/image/upload/f_auto,q_auto/league/uxf5ugo9enwnd8vyxwyv</t>
  </si>
  <si>
    <t>00-0037098</t>
  </si>
  <si>
    <t>S.Toure</t>
  </si>
  <si>
    <t>https://static.www.nfl.com/image/upload/f_auto,q_auto/league/k6s7xiugz2wgqjc7zsny</t>
  </si>
  <si>
    <t>00-0037106</t>
  </si>
  <si>
    <t>Jaylon Jones</t>
  </si>
  <si>
    <t>https://static.www.nfl.com/image/upload/f_auto,q_auto/league/xzmtw9ip1b8psz4u9nd0</t>
  </si>
  <si>
    <t>00-0037109</t>
  </si>
  <si>
    <t>J.Sanborn</t>
  </si>
  <si>
    <t>Jack Sanborn</t>
  </si>
  <si>
    <t>https://static.www.nfl.com/image/upload/f_auto,q_auto/league/zlvowg4wze6yjwccibk2</t>
  </si>
  <si>
    <t>00-0037112</t>
  </si>
  <si>
    <t>J.Tonges</t>
  </si>
  <si>
    <t>https://static.www.nfl.com/image/upload/f_auto,q_auto/league/uztcdowl4wig2uhy1qxh</t>
  </si>
  <si>
    <t>00-0037120</t>
  </si>
  <si>
    <t>T.Goodson</t>
  </si>
  <si>
    <t>https://static.www.nfl.com/image/upload/f_auto,q_auto/league/fvuevf0apxtfjwdj7l0e</t>
  </si>
  <si>
    <t>00-0037129</t>
  </si>
  <si>
    <t>J.Blackwell</t>
  </si>
  <si>
    <t>Josh Blackwell</t>
  </si>
  <si>
    <t>https://static.www.nfl.com/image/upload/f_auto,q_auto/league/cigs4edcf8auxzzv5klc</t>
  </si>
  <si>
    <t>00-0037130</t>
  </si>
  <si>
    <t>R.Blankenship</t>
  </si>
  <si>
    <t>Reed Blankenship</t>
  </si>
  <si>
    <t>https://static.www.nfl.com/image/upload/f_auto,q_auto/league/fot7g8gs7nv4ecavlisf</t>
  </si>
  <si>
    <t>00-0037132</t>
  </si>
  <si>
    <t>B.Covey</t>
  </si>
  <si>
    <t>https://static.www.nfl.com/image/upload/f_auto,q_auto/league/ccxa0mqgouhyluizjbwt</t>
  </si>
  <si>
    <t>00-0037137</t>
  </si>
  <si>
    <t>J.Jobe</t>
  </si>
  <si>
    <t>Josh Jobe</t>
  </si>
  <si>
    <t>https://static.www.nfl.com/image/upload/f_auto,q_auto/league/tfksoqwgf4axolfjv6zi</t>
  </si>
  <si>
    <t>00-0037155</t>
  </si>
  <si>
    <t>T.Adams</t>
  </si>
  <si>
    <t>Tony Adams</t>
  </si>
  <si>
    <t>https://static.www.nfl.com/image/upload/f_auto,q_auto/league/lajc14lel9fjm8p6flnc</t>
  </si>
  <si>
    <t>00-0037157</t>
  </si>
  <si>
    <t>Z.Knight</t>
  </si>
  <si>
    <t>https://static.www.nfl.com/image/upload/f_auto,q_auto/league/mjxnlzlnnwlfqayeybut</t>
  </si>
  <si>
    <t>00-0037179</t>
  </si>
  <si>
    <t>J.Moon</t>
  </si>
  <si>
    <t>Jeremiah Moon</t>
  </si>
  <si>
    <t>https://static.www.nfl.com/image/upload/f_auto,q_auto/league/x2he3hockgnqfmxlxctw</t>
  </si>
  <si>
    <t>00-0037190</t>
  </si>
  <si>
    <t>A.Gardner</t>
  </si>
  <si>
    <t>Sauce Gardner</t>
  </si>
  <si>
    <t>https://static.www.nfl.com/image/upload/f_auto,q_auto/league/tzp7ta7zvziaahtuxhlc</t>
  </si>
  <si>
    <t>00-0037191</t>
  </si>
  <si>
    <t>T.McDuffie</t>
  </si>
  <si>
    <t>Trent McDuffie</t>
  </si>
  <si>
    <t>https://static.www.nfl.com/image/upload/f_auto,q_auto/league/nkb7xmyxy4uxe4qhablh</t>
  </si>
  <si>
    <t>00-0037192</t>
  </si>
  <si>
    <t>G.Karlaftis</t>
  </si>
  <si>
    <t>George Karlaftis</t>
  </si>
  <si>
    <t>https://static.www.nfl.com/image/upload/f_auto,q_auto/league/hxs6hihwuusxydnr8skh</t>
  </si>
  <si>
    <t>00-0037193</t>
  </si>
  <si>
    <t>B.Cook</t>
  </si>
  <si>
    <t>Bryan Cook</t>
  </si>
  <si>
    <t>https://static.www.nfl.com/image/upload/f_auto,q_auto/league/ge8j9sel1xacfl2plnol</t>
  </si>
  <si>
    <t>00-0037194</t>
  </si>
  <si>
    <t>D.Kinnard</t>
  </si>
  <si>
    <t>Darian Kinnard</t>
  </si>
  <si>
    <t>https://static.www.nfl.com/image/upload/f_auto,q_auto/league/zb5y9bkkhojda6ljs8sn</t>
  </si>
  <si>
    <t>00-0037195</t>
  </si>
  <si>
    <t>Jaylen Watson</t>
  </si>
  <si>
    <t>https://static.www.nfl.com/image/upload/f_auto,q_auto/league/vxmoq9pwno4z14gldecd</t>
  </si>
  <si>
    <t>00-0037196</t>
  </si>
  <si>
    <t>R.Walker</t>
  </si>
  <si>
    <t>Rasheed Walker</t>
  </si>
  <si>
    <t>https://static.www.nfl.com/image/upload/f_auto,q_auto/league/txizso7r4uhuocg4uhks</t>
  </si>
  <si>
    <t>00-0037197</t>
  </si>
  <si>
    <t>I.Pacheco</t>
  </si>
  <si>
    <t>https://static.www.nfl.com/image/upload/f_auto,q_auto/league/tqshteijt4xhgk2ei9sx</t>
  </si>
  <si>
    <t>00-0037198</t>
  </si>
  <si>
    <t>N.Johnson</t>
  </si>
  <si>
    <t>Nazeeh Johnson</t>
  </si>
  <si>
    <t>https://static.www.nfl.com/image/upload/f_auto,q_auto/league/illwkijgasazqecvkgd0</t>
  </si>
  <si>
    <t>00-0037203</t>
  </si>
  <si>
    <t>L.Ray</t>
  </si>
  <si>
    <t>LaBryan Ray</t>
  </si>
  <si>
    <t>https://static.www.nfl.com/image/upload/f_auto,q_auto/league/sa3cqqnsfpbh8hbn6ga3</t>
  </si>
  <si>
    <t>00-0037205</t>
  </si>
  <si>
    <t>B.Schooler</t>
  </si>
  <si>
    <t>Brenden Schooler</t>
  </si>
  <si>
    <t>https://static.www.nfl.com/image/upload/f_auto,q_auto/league/lawgvaccr2r2susesv1g</t>
  </si>
  <si>
    <t>00-0037207</t>
  </si>
  <si>
    <t>M.Caliendo</t>
  </si>
  <si>
    <t>Mike Caliendo</t>
  </si>
  <si>
    <t>https://static.www.nfl.com/image/upload/f_auto,q_auto/league/xfghkpipwwva7x4vs6xk</t>
  </si>
  <si>
    <t>00-0037208</t>
  </si>
  <si>
    <t>J.Cochrane</t>
  </si>
  <si>
    <t>Jack Cochrane</t>
  </si>
  <si>
    <t>https://static.www.nfl.com/image/upload/f_auto,q_auto/league/oh1dnddhxhzozoatq0z9</t>
  </si>
  <si>
    <t>00-0037224</t>
  </si>
  <si>
    <t>C.Dicker</t>
  </si>
  <si>
    <t>Cameron Dicker</t>
  </si>
  <si>
    <t>https://static.www.nfl.com/image/upload/f_auto,q_auto/league/vd4nd1hoax82j7fi2bx0</t>
  </si>
  <si>
    <t>39;36;38;20;32;24;43;43;55;35;31;29;35;33;43;43;34;45;27;52;32;59;42;41;46;56;45;34;31;46;54;49;23;49;37;27;27;30</t>
  </si>
  <si>
    <t>49;55;32</t>
  </si>
  <si>
    <t>43;33</t>
  </si>
  <si>
    <t>00-0037228</t>
  </si>
  <si>
    <t>J.Warren</t>
  </si>
  <si>
    <t>https://static.www.nfl.com/image/upload/f_auto,q_auto/league/f3txbqdarbabqtq4sx98</t>
  </si>
  <si>
    <t>00-0037229</t>
  </si>
  <si>
    <t>I.Ekwonu</t>
  </si>
  <si>
    <t>Ikem Ekwonu</t>
  </si>
  <si>
    <t>https://static.www.nfl.com/image/upload/f_auto,q_auto/league/fcta66ia7jfaml7vssru</t>
  </si>
  <si>
    <t>00-0037231</t>
  </si>
  <si>
    <t>K.Austin</t>
  </si>
  <si>
    <t>https://static.www.nfl.com/image/upload/f_auto,q_auto/league/fh2yaqaxkornxeb7d9ie</t>
  </si>
  <si>
    <t>00-0037235</t>
  </si>
  <si>
    <t>T.Walker</t>
  </si>
  <si>
    <t>Travon Walker</t>
  </si>
  <si>
    <t>https://static.www.nfl.com/image/upload/f_auto,q_auto/league/dg4shgrhcxlmhrdaifiu</t>
  </si>
  <si>
    <t>00-0037236</t>
  </si>
  <si>
    <t>A.Hutchinson</t>
  </si>
  <si>
    <t>Aidan Hutchinson</t>
  </si>
  <si>
    <t>https://static.www.nfl.com/image/upload/f_auto,q_auto/league/mnv2cpjveex9rtrkkaly</t>
  </si>
  <si>
    <t>00-0037237</t>
  </si>
  <si>
    <t>D.Stingley</t>
  </si>
  <si>
    <t>Derek Stingley Jr.</t>
  </si>
  <si>
    <t>https://static.www.nfl.com/image/upload/f_auto,q_auto/league/wkzinciyrrmsqdlda8lj</t>
  </si>
  <si>
    <t>00-0037238</t>
  </si>
  <si>
    <t>D.London</t>
  </si>
  <si>
    <t>https://static.www.nfl.com/image/upload/f_auto,q_auto/league/np91pvk7mczra1iyjkmo</t>
  </si>
  <si>
    <t>00-0037239</t>
  </si>
  <si>
    <t>C.Olave</t>
  </si>
  <si>
    <t>https://static.www.nfl.com/image/upload/f_auto,q_auto/league/vrrmyvpvujynckag9jop</t>
  </si>
  <si>
    <t>00-0037240</t>
  </si>
  <si>
    <t>https://static.www.nfl.com/image/upload/f_auto,q_auto/league/gpjarmglg1jhwq5wr1uu</t>
  </si>
  <si>
    <t>00-0037241</t>
  </si>
  <si>
    <t>T.Penning</t>
  </si>
  <si>
    <t>Trevor Penning</t>
  </si>
  <si>
    <t>https://static.www.nfl.com/image/upload/f_auto,q_auto/league/ph1yzzisvtcuhbjb4uct</t>
  </si>
  <si>
    <t>00-0037242</t>
  </si>
  <si>
    <t>K.Elam</t>
  </si>
  <si>
    <t>Kaiir Elam</t>
  </si>
  <si>
    <t>https://static.www.nfl.com/image/upload/f_auto,q_auto/league/ye7stldje2waxyyjukvw</t>
  </si>
  <si>
    <t>00-0037243</t>
  </si>
  <si>
    <t>Tyler Smith</t>
  </si>
  <si>
    <t>https://static.www.nfl.com/image/upload/f_auto,q_auto/league/hem9gdkwxuowfcvomvfx</t>
  </si>
  <si>
    <t>00-0037244</t>
  </si>
  <si>
    <t>D.Lloyd</t>
  </si>
  <si>
    <t>Devin Lloyd</t>
  </si>
  <si>
    <t>https://static.www.nfl.com/image/upload/f_auto,q_auto/league/f4iyy3k80fzfzsgavxon</t>
  </si>
  <si>
    <t>00-0037246</t>
  </si>
  <si>
    <t>J.Pitre</t>
  </si>
  <si>
    <t>Jalen Pitre</t>
  </si>
  <si>
    <t>https://static.www.nfl.com/image/upload/f_auto,q_auto/league/nq8a3zanbbjoihquklor</t>
  </si>
  <si>
    <t>00-0037247</t>
  </si>
  <si>
    <t>G.Pickens</t>
  </si>
  <si>
    <t>https://static.www.nfl.com/image/upload/f_auto,q_auto/league/cbpyykoguf7rsxezqzvk</t>
  </si>
  <si>
    <t>00-0037248</t>
  </si>
  <si>
    <t>J.Cook</t>
  </si>
  <si>
    <t>James Cook</t>
  </si>
  <si>
    <t>https://static.www.nfl.com/image/upload/f_auto,q_auto/league/anjbznqb9i21wzcgrtbs</t>
  </si>
  <si>
    <t>00-0037249</t>
  </si>
  <si>
    <t>N.Bonitto</t>
  </si>
  <si>
    <t>Nik Bonitto</t>
  </si>
  <si>
    <t>https://static.www.nfl.com/image/upload/f_auto,q_auto/league/y1ptokk7b6jovbe2gtss</t>
  </si>
  <si>
    <t>00-0037251</t>
  </si>
  <si>
    <t>A.Wright</t>
  </si>
  <si>
    <t>Alex Wright</t>
  </si>
  <si>
    <t>https://static.www.nfl.com/image/upload/f_auto,q_auto/league/rwvd1sputd9x1dziyznz</t>
  </si>
  <si>
    <t>00-0037252</t>
  </si>
  <si>
    <t>G.Dulcich</t>
  </si>
  <si>
    <t>https://static.www.nfl.com/image/upload/f_auto,q_auto/league/kirfnwuge3eam1s0ycne</t>
  </si>
  <si>
    <t>00-0037253</t>
  </si>
  <si>
    <t>Marcus Jones</t>
  </si>
  <si>
    <t>https://static.www.nfl.com/image/upload/f_auto,q_auto/league/bwy0az1y2vgvirna4bye</t>
  </si>
  <si>
    <t>00-0037254</t>
  </si>
  <si>
    <t>T.Bernard</t>
  </si>
  <si>
    <t>Terrel Bernard</t>
  </si>
  <si>
    <t>https://static.www.nfl.com/image/upload/f_auto,q_auto/league/ryvz6uol9kymdgslc0rh</t>
  </si>
  <si>
    <t>00-0037255</t>
  </si>
  <si>
    <t>D.Parham</t>
  </si>
  <si>
    <t>Dylan Parham</t>
  </si>
  <si>
    <t>https://static.www.nfl.com/image/upload/f_auto,q_auto/league/wcuxehe604u11ay7hbpm</t>
  </si>
  <si>
    <t>00-0037256</t>
  </si>
  <si>
    <t>R.White</t>
  </si>
  <si>
    <t>https://static.www.nfl.com/image/upload/f_auto,q_auto/league/sxugbms8ketvgmilnlu3</t>
  </si>
  <si>
    <t>00-0037258</t>
  </si>
  <si>
    <t>D.Pierce</t>
  </si>
  <si>
    <t>https://static.www.nfl.com/image/upload/f_auto,q_auto/league/lifrupicniyrosy1vj9c</t>
  </si>
  <si>
    <t>00-0037259</t>
  </si>
  <si>
    <t>M.McFadden</t>
  </si>
  <si>
    <t>Micah McFadden</t>
  </si>
  <si>
    <t>https://static.www.nfl.com/image/upload/f_auto,q_auto/league/a5tbqialvnrvrvntreuj</t>
  </si>
  <si>
    <t>00-0037260</t>
  </si>
  <si>
    <t>D.Davidson</t>
  </si>
  <si>
    <t>DJ Davidson</t>
  </si>
  <si>
    <t>https://static.www.nfl.com/image/upload/f_auto,q_auto/league/qnrdocqxvfswgpfdskkp</t>
  </si>
  <si>
    <t>00-0037261</t>
  </si>
  <si>
    <t>K.Shakir</t>
  </si>
  <si>
    <t>https://static.www.nfl.com/image/upload/f_auto,q_auto/league/otadttbhvkmavhsonnqm</t>
  </si>
  <si>
    <t>00-0037262</t>
  </si>
  <si>
    <t>T.Booker</t>
  </si>
  <si>
    <t>Thomas Booker</t>
  </si>
  <si>
    <t>https://static.www.nfl.com/image/upload/f_auto,q_auto/league/mial4vlgplowh3uxrnmk</t>
  </si>
  <si>
    <t>00-0037263</t>
  </si>
  <si>
    <t>T.Allgeier</t>
  </si>
  <si>
    <t>https://static.www.nfl.com/image/upload/f_auto,q_auto/league/buwaomfsz4y6orgb0cyg</t>
  </si>
  <si>
    <t>00-0037264</t>
  </si>
  <si>
    <t>D.Turner-Yell</t>
  </si>
  <si>
    <t>Delarrin Turner-Yell</t>
  </si>
  <si>
    <t>https://static.www.nfl.com/image/upload/f_auto,q_auto/league/p3ngd3m6wcijmxglj06j</t>
  </si>
  <si>
    <t>00-0037267</t>
  </si>
  <si>
    <t>https://static.www.nfl.com/image/private/f_auto,q_auto/league/djggmwo5v8osoboiseo2</t>
  </si>
  <si>
    <t>00-0037268</t>
  </si>
  <si>
    <t>Z.McCollum</t>
  </si>
  <si>
    <t>Zyon McCollum</t>
  </si>
  <si>
    <t>https://static.www.nfl.com/image/upload/f_auto,q_auto/league/pkpopwwr1bwjvpxwqs94</t>
  </si>
  <si>
    <t>00-0037269</t>
  </si>
  <si>
    <t>E.Johnson</t>
  </si>
  <si>
    <t>Eric Johnson</t>
  </si>
  <si>
    <t>https://static.www.nfl.com/image/upload/f_auto,q_auto/league/fsvxbdkpnaondae99zbl</t>
  </si>
  <si>
    <t>00-0037270</t>
  </si>
  <si>
    <t>O.Ogbonnia</t>
  </si>
  <si>
    <t>Otito Ogbonnia</t>
  </si>
  <si>
    <t>https://static.www.nfl.com/image/upload/f_auto,q_auto/league/ktcgvykjyamzn8vj2vt1</t>
  </si>
  <si>
    <t>00-0037271</t>
  </si>
  <si>
    <t>D'Marco Jackson</t>
  </si>
  <si>
    <t>https://static.www.nfl.com/image/upload/f_auto,q_auto/league/bwbialh78nao9svr8jqn</t>
  </si>
  <si>
    <t>00-0037274</t>
  </si>
  <si>
    <t>E.Otomewo</t>
  </si>
  <si>
    <t>Esezi Otomewo</t>
  </si>
  <si>
    <t>https://static.www.nfl.com/image/upload/f_auto,q_auto/league/a0mfh8bdgpmqoiqt65ze</t>
  </si>
  <si>
    <t>00-0037275</t>
  </si>
  <si>
    <t>D.Bland</t>
  </si>
  <si>
    <t>DaRon Bland</t>
  </si>
  <si>
    <t>https://static.www.nfl.com/image/upload/f_auto,q_auto/league/cl7cnkp2mm58j8o086nm</t>
  </si>
  <si>
    <t>00-0037276</t>
  </si>
  <si>
    <t>T.Chandler</t>
  </si>
  <si>
    <t>https://static.www.nfl.com/image/upload/f_auto,q_auto/league/i3urodji7vrb11n4pl06</t>
  </si>
  <si>
    <t>00-0037277</t>
  </si>
  <si>
    <t>T.Quitoriano</t>
  </si>
  <si>
    <t>https://static.www.nfl.com/image/upload/f_auto,q_auto/league/ecx86iiwr69wkwupjvzk</t>
  </si>
  <si>
    <t>00-0037278</t>
  </si>
  <si>
    <t>L.Wattenberg</t>
  </si>
  <si>
    <t>Luke Wattenberg</t>
  </si>
  <si>
    <t>https://static.www.nfl.com/image/upload/f_auto,q_auto/league/sedgtg4ekxez8itnkm2d</t>
  </si>
  <si>
    <t>00-0037280</t>
  </si>
  <si>
    <t>M.Butler</t>
  </si>
  <si>
    <t>Matthew Butler</t>
  </si>
  <si>
    <t>https://static.www.nfl.com/image/upload/f_auto,q_auto/league/nsv9pnp9s8oaxaepftzk</t>
  </si>
  <si>
    <t>00-0037281</t>
  </si>
  <si>
    <t>D.Clark</t>
  </si>
  <si>
    <t>Damone Clark</t>
  </si>
  <si>
    <t>https://static.www.nfl.com/image/upload/f_auto,q_auto/league/gmsr31hk1blgplqqkzml</t>
  </si>
  <si>
    <t>00-0037282</t>
  </si>
  <si>
    <t>J.Mitchell</t>
  </si>
  <si>
    <t>https://static.www.nfl.com/image/upload/f_auto,q_auto/league/ragin6kbjyfeffii1hrl</t>
  </si>
  <si>
    <t>00-0037283</t>
  </si>
  <si>
    <t>J.Ridgeway</t>
  </si>
  <si>
    <t>John Ridgeway</t>
  </si>
  <si>
    <t>https://static.www.nfl.com/image/upload/f_auto,q_auto/league/irpvoorgwwezk7qxrp0m</t>
  </si>
  <si>
    <t>00-0037284</t>
  </si>
  <si>
    <t>M.Araiza</t>
  </si>
  <si>
    <t>Matt Araiza</t>
  </si>
  <si>
    <t>https://static.www.nfl.com/image/upload/f_auto,q_auto/league/q4wjyhw18fj0omjkzql4</t>
  </si>
  <si>
    <t>00-0037287</t>
  </si>
  <si>
    <t>V.Lowe</t>
  </si>
  <si>
    <t>Vederian Lowe</t>
  </si>
  <si>
    <t>https://static.www.nfl.com/image/upload/f_auto,q_auto/league/a72w3jazmnecd5nepevf</t>
  </si>
  <si>
    <t>00-0037288</t>
  </si>
  <si>
    <t>C.Benford</t>
  </si>
  <si>
    <t>Christian Benford</t>
  </si>
  <si>
    <t>https://static.www.nfl.com/image/upload/f_auto,q_auto/league/nltmhbxql5thc91mk1xy</t>
  </si>
  <si>
    <t>00-0037289</t>
  </si>
  <si>
    <t>M.Rodriguez</t>
  </si>
  <si>
    <t>Malcolm Rodriguez</t>
  </si>
  <si>
    <t>https://static.www.nfl.com/image/upload/f_auto,q_auto/league/ofwspc5nzlzqdvxqvpxc</t>
  </si>
  <si>
    <t>00-0037291</t>
  </si>
  <si>
    <t>J.Nailor</t>
  </si>
  <si>
    <t>https://static.www.nfl.com/image/upload/f_auto,q_auto/league/sdsx2pttiiwbfpyuuwiz</t>
  </si>
  <si>
    <t>00-0037292</t>
  </si>
  <si>
    <t>A.Ogletree</t>
  </si>
  <si>
    <t>Andrew Ogletree</t>
  </si>
  <si>
    <t>https://static.www.nfl.com/image/upload/f_auto,q_auto/league/gw6pbughf5gdn2sm189f</t>
  </si>
  <si>
    <t>00-0037294</t>
  </si>
  <si>
    <t>Jordan Jackson</t>
  </si>
  <si>
    <t>https://static.www.nfl.com/image/upload/f_auto,q_auto/league/mygiulff7wmcrv8menhg</t>
  </si>
  <si>
    <t>00-0037295</t>
  </si>
  <si>
    <t>J.Salyer</t>
  </si>
  <si>
    <t>Jamaree Salyer</t>
  </si>
  <si>
    <t>https://static.www.nfl.com/image/upload/f_auto,q_auto/league/u3uyixtjb60xtwwth40a</t>
  </si>
  <si>
    <t>00-0037297</t>
  </si>
  <si>
    <t>C.Mays</t>
  </si>
  <si>
    <t>Cade Mays</t>
  </si>
  <si>
    <t>https://static.www.nfl.com/image/upload/f_auto,q_auto/league/lvwir8l56pkjixweaca4</t>
  </si>
  <si>
    <t>00-0037298</t>
  </si>
  <si>
    <t>S.Roberts</t>
  </si>
  <si>
    <t>Sam Roberts</t>
  </si>
  <si>
    <t>https://static.www.nfl.com/image/upload/f_auto,q_auto/league/lpeonw4s0htacobg1qa4</t>
  </si>
  <si>
    <t>00-0037301</t>
  </si>
  <si>
    <t>T.Jackson</t>
  </si>
  <si>
    <t>Theo Jackson</t>
  </si>
  <si>
    <t>https://static.www.nfl.com/image/upload/f_auto,q_auto/league/g9hb4dnu5xp63p5wjvrw</t>
  </si>
  <si>
    <t>00-0037302</t>
  </si>
  <si>
    <t>A.Deculus</t>
  </si>
  <si>
    <t>Austin Deculus</t>
  </si>
  <si>
    <t>https://static.www.nfl.com/image/upload/f_auto,q_auto/league/mfiu08h46jezawozpma8</t>
  </si>
  <si>
    <t>00-0037304</t>
  </si>
  <si>
    <t>Co.Heyward</t>
  </si>
  <si>
    <t>https://static.www.nfl.com/image/upload/f_auto,q_auto/league/b9bnasge2v2dtctdtqnf</t>
  </si>
  <si>
    <t>00-0037306</t>
  </si>
  <si>
    <t>J.FitzPatrick</t>
  </si>
  <si>
    <t>John FitzPatrick</t>
  </si>
  <si>
    <t>https://static.www.nfl.com/image/upload/f_auto,q_auto/league/kopyksw2p51nivtldayc</t>
  </si>
  <si>
    <t>00-0037307</t>
  </si>
  <si>
    <t>Ja'Sir Taylor</t>
  </si>
  <si>
    <t>https://static.www.nfl.com/image/upload/f_auto,q_auto/league/usnlevporxzqj27zhgwu</t>
  </si>
  <si>
    <t>00-0037310</t>
  </si>
  <si>
    <t>J.Houston</t>
  </si>
  <si>
    <t>James Houston</t>
  </si>
  <si>
    <t>https://static.www.nfl.com/image/upload/f_auto,q_auto/league/wrqp1yxxj1diweafto22</t>
  </si>
  <si>
    <t>00-0037311</t>
  </si>
  <si>
    <t>K.Kieft</t>
  </si>
  <si>
    <t>https://static.www.nfl.com/image/upload/f_auto,q_auto/league/ibtxauqcq4tjq4xsgf6a</t>
  </si>
  <si>
    <t>00-0037313</t>
  </si>
  <si>
    <t>Montaric Brown</t>
  </si>
  <si>
    <t>https://static.www.nfl.com/image/upload/f_auto,q_auto/league/hvnfc3mqxut3v0mufgg5</t>
  </si>
  <si>
    <t>00-0037315</t>
  </si>
  <si>
    <t>C.Goode</t>
  </si>
  <si>
    <t>Cameron Goode</t>
  </si>
  <si>
    <t>https://static.www.nfl.com/image/upload/f_auto,q_auto/league/y9nbijy8p3twagggyodh</t>
  </si>
  <si>
    <t>00-0037316</t>
  </si>
  <si>
    <t>M.Robinson</t>
  </si>
  <si>
    <t>Mark Robinson</t>
  </si>
  <si>
    <t>https://static.www.nfl.com/image/upload/f_auto,q_auto/league/l7u61ekvlhzwchpxcdbo</t>
  </si>
  <si>
    <t>00-0037318</t>
  </si>
  <si>
    <t>B.Spector</t>
  </si>
  <si>
    <t>Baylon Spector</t>
  </si>
  <si>
    <t>https://static.www.nfl.com/image/upload/f_auto,q_auto/league/ekmjqmhpbhtlydc3sfag</t>
  </si>
  <si>
    <t>00-0037320</t>
  </si>
  <si>
    <t>D.Leonard</t>
  </si>
  <si>
    <t>Deane Leonard</t>
  </si>
  <si>
    <t>https://static.www.nfl.com/image/upload/f_auto,q_auto/league/jk2a21dqnjr8ssq5s0tv</t>
  </si>
  <si>
    <t>00-0037321</t>
  </si>
  <si>
    <t>Chase Lucas</t>
  </si>
  <si>
    <t>https://static.www.nfl.com/image/upload/f_auto,q_auto/league/ftkp0eabjmqrbftyddyo</t>
  </si>
  <si>
    <t>00-0037323</t>
  </si>
  <si>
    <t>R.Thomas</t>
  </si>
  <si>
    <t>Rodney Thomas</t>
  </si>
  <si>
    <t>https://static.www.nfl.com/image/upload/f_auto,q_auto/league/rmch7ilcol08gczhpwp6</t>
  </si>
  <si>
    <t>00-0037324</t>
  </si>
  <si>
    <t>C.Oladokun</t>
  </si>
  <si>
    <t>Chris Oladokun</t>
  </si>
  <si>
    <t>https://static.www.nfl.com/image/upload/f_auto,q_auto/league/qnyw1gqkqfll2lxppzlv</t>
  </si>
  <si>
    <t>00-0037329</t>
  </si>
  <si>
    <t>https://static.www.nfl.com/image/upload/f_auto,q_auto/league/zpugbbzvxbpemoif9txa</t>
  </si>
  <si>
    <t>00-0037332</t>
  </si>
  <si>
    <t>D.Bell</t>
  </si>
  <si>
    <t>D'Anthony Bell</t>
  </si>
  <si>
    <t>https://static.www.nfl.com/image/upload/f_auto,q_auto/league/ckont3gxmlaebwbbkplr</t>
  </si>
  <si>
    <t>00-0037336</t>
  </si>
  <si>
    <t>B.Hoffman</t>
  </si>
  <si>
    <t>Brock Hoffman</t>
  </si>
  <si>
    <t>https://static.www.nfl.com/image/upload/f_auto,q_auto/league/yzgyme4uziotnwqbfn7x</t>
  </si>
  <si>
    <t>00-0037340</t>
  </si>
  <si>
    <t>Z.Mitchell-Paden</t>
  </si>
  <si>
    <t>https://static.www.nfl.com/image/upload/f_auto,q_auto/league/koebkhaljopitnuvfgbb</t>
  </si>
  <si>
    <t>00-0037348</t>
  </si>
  <si>
    <t>T.Conner</t>
  </si>
  <si>
    <t>https://static.www.nfl.com/image/upload/f_auto,q_auto/league/ndhpqkxblrd3vcbcfadw</t>
  </si>
  <si>
    <t>00-0037364</t>
  </si>
  <si>
    <t>A.Mosby</t>
  </si>
  <si>
    <t>Arron Mosby</t>
  </si>
  <si>
    <t>https://static.www.nfl.com/image/upload/f_auto,q_auto/league/sub2rfbfzebhuxzlt2jd</t>
  </si>
  <si>
    <t>00-0037380</t>
  </si>
  <si>
    <t>K.Davis</t>
  </si>
  <si>
    <t>Kaden Davis</t>
  </si>
  <si>
    <t>https://static.www.nfl.com/image/upload/f_auto,q_auto/league/z8viajevykmyr0utahgl</t>
  </si>
  <si>
    <t>00-0037384</t>
  </si>
  <si>
    <t>J.McMillian</t>
  </si>
  <si>
    <t>Ja'Quan McMillian</t>
  </si>
  <si>
    <t>https://static.www.nfl.com/image/upload/f_auto,q_auto/league/kpgabuesfqci0swbrkem</t>
  </si>
  <si>
    <t>00-0037395</t>
  </si>
  <si>
    <t>D.Flowers</t>
  </si>
  <si>
    <t>Dallis Flowers</t>
  </si>
  <si>
    <t>https://static.www.nfl.com/image/upload/f_auto,q_auto/league/ejoqt02yk1eubbibnxre</t>
  </si>
  <si>
    <t>00-0037404</t>
  </si>
  <si>
    <t>R.Van Demark</t>
  </si>
  <si>
    <t>Ryan Van Demark</t>
  </si>
  <si>
    <t>https://static.www.nfl.com/image/upload/f_auto,q_auto/league/ofqc3dzngumitn9vx8ug</t>
  </si>
  <si>
    <t>00-0037412</t>
  </si>
  <si>
    <t>C.Adomitis</t>
  </si>
  <si>
    <t>Cal Adomitis</t>
  </si>
  <si>
    <t>https://static.www.nfl.com/image/upload/f_auto,q_auto/league/hi1jz8g2dtq0l6efegra</t>
  </si>
  <si>
    <t>00-0037413</t>
  </si>
  <si>
    <t>Ben Brown</t>
  </si>
  <si>
    <t>https://static.www.nfl.com/image/upload/f_auto,q_auto/league/imfnoemmtvdrjtdh7auo</t>
  </si>
  <si>
    <t>00-0037428</t>
  </si>
  <si>
    <t>A.Anderson</t>
  </si>
  <si>
    <t>Alec Anderson</t>
  </si>
  <si>
    <t>https://static.www.nfl.com/image/upload/f_auto,q_auto/league/zmxbsuvvy2qtzfvrqcac</t>
  </si>
  <si>
    <t>00-0037431</t>
  </si>
  <si>
    <t>K.Jonathan</t>
  </si>
  <si>
    <t>Kingsley Jonathan</t>
  </si>
  <si>
    <t>https://static.www.nfl.com/image/upload/f_auto,q_auto/league/bqknndwhdjnpkzp9h59r</t>
  </si>
  <si>
    <t>00-0037447</t>
  </si>
  <si>
    <t>T.Fox</t>
  </si>
  <si>
    <t>Tomon Fox</t>
  </si>
  <si>
    <t>https://static.www.nfl.com/image/upload/f_auto,q_auto/league/lccvchowchcmx5ymg67u</t>
  </si>
  <si>
    <t>00-0037457</t>
  </si>
  <si>
    <t>J.Hansen</t>
  </si>
  <si>
    <t>Jake Hansen</t>
  </si>
  <si>
    <t>https://static.www.nfl.com/image/upload/f_auto,q_auto/league/x63vwyjtybkdrulfmr2j</t>
  </si>
  <si>
    <t>00-0037461</t>
  </si>
  <si>
    <t>T.McCollum</t>
  </si>
  <si>
    <t>Tristin McCollum</t>
  </si>
  <si>
    <t>https://static.www.nfl.com/image/upload/f_auto,q_auto/league/lob4yulcbxvkweblc0dg</t>
  </si>
  <si>
    <t>00-0037468</t>
  </si>
  <si>
    <t>R.Layne</t>
  </si>
  <si>
    <t>Raheem Layne</t>
  </si>
  <si>
    <t>https://static.www.nfl.com/image/upload/f_auto,q_auto/league/gb6jlranah8r9odgtmhd</t>
  </si>
  <si>
    <t>00-0037475</t>
  </si>
  <si>
    <t>S.Smartt</t>
  </si>
  <si>
    <t>https://static.www.nfl.com/image/upload/f_auto,q_auto/league/fdmnvrjgz8cqnxjtukzd</t>
  </si>
  <si>
    <t>00-0037480</t>
  </si>
  <si>
    <t>D.Cook</t>
  </si>
  <si>
    <t>Dylan Cook</t>
  </si>
  <si>
    <t>https://static.www.nfl.com/image/upload/f_auto,q_auto/league/iok20w4kxwuzicm3mnar</t>
  </si>
  <si>
    <t>00-0037487</t>
  </si>
  <si>
    <t>D.Thompkins</t>
  </si>
  <si>
    <t>https://static.www.nfl.com/image/private/f_auto,q_auto/league/gt0yeyl9y8s6onw8wcdr</t>
  </si>
  <si>
    <t>00-0037493</t>
  </si>
  <si>
    <t>Mike Brown</t>
  </si>
  <si>
    <t>https://static.www.nfl.com/image/upload/f_auto,q_auto/league/ztb9tdt5ihd7gmjyspbz</t>
  </si>
  <si>
    <t>00-0037500</t>
  </si>
  <si>
    <t>R.Wright</t>
  </si>
  <si>
    <t>Ryan Wright</t>
  </si>
  <si>
    <t>https://static.www.nfl.com/image/upload/f_auto,q_auto/league/n7t34xvfvc2pxgtcwnlw</t>
  </si>
  <si>
    <t>00-0037512</t>
  </si>
  <si>
    <t>I.Pola-Mao</t>
  </si>
  <si>
    <t>Isaiah Pola-Mao</t>
  </si>
  <si>
    <t>https://static.www.nfl.com/image/upload/f_auto,q_auto/league/iv2fsbkqbciaglpqrlbd</t>
  </si>
  <si>
    <t>00-0037516</t>
  </si>
  <si>
    <t>S.Webb</t>
  </si>
  <si>
    <t>Sam Webb</t>
  </si>
  <si>
    <t>https://static.www.nfl.com/image/upload/f_auto,q_auto/league/x0xcfspsmbddxk8autai</t>
  </si>
  <si>
    <t>00-0037524</t>
  </si>
  <si>
    <t>T.Martin</t>
  </si>
  <si>
    <t>Tay Martin</t>
  </si>
  <si>
    <t>https://static.www.nfl.com/image/upload/f_auto,q_auto/league/lw5fyir7yjme4qxrrxfy</t>
  </si>
  <si>
    <t>00-0037525</t>
  </si>
  <si>
    <t>J.Mason</t>
  </si>
  <si>
    <t>https://static.www.nfl.com/image/upload/f_auto,q_auto/league/ixykwytfrfz1cdxlhj5w</t>
  </si>
  <si>
    <t>00-0037526</t>
  </si>
  <si>
    <t>M.McCrary-Ball</t>
  </si>
  <si>
    <t>Marcelino McCrary-Ball</t>
  </si>
  <si>
    <t>https://static.www.nfl.com/image/upload/f_auto,q_auto/league/q0ik6bvofk4zrgsartd2</t>
  </si>
  <si>
    <t>00-0037527</t>
  </si>
  <si>
    <t>S.Olubi</t>
  </si>
  <si>
    <t>Segun Olubi</t>
  </si>
  <si>
    <t>https://static.www.nfl.com/image/upload/f_auto,q_auto/league/llpctz5sjgveunckp3pe</t>
  </si>
  <si>
    <t>00-0037539</t>
  </si>
  <si>
    <t>L.Krull</t>
  </si>
  <si>
    <t>https://static.www.nfl.com/image/upload/f_auto,q_auto/league/eolvpkk5jjmipuqmf5v6</t>
  </si>
  <si>
    <t>00-0037542</t>
  </si>
  <si>
    <t>J.Romo</t>
  </si>
  <si>
    <t>John Parker Romo</t>
  </si>
  <si>
    <t>https://static.www.nfl.com/image/upload/f_auto,q_auto/league/pgbqca2tf4hcq4vxv13m</t>
  </si>
  <si>
    <t>38;29;33;33;54;38;26;33;38;45;38</t>
  </si>
  <si>
    <t>49;55</t>
  </si>
  <si>
    <t>00-0037544</t>
  </si>
  <si>
    <t>N.Sewell</t>
  </si>
  <si>
    <t>Nephi Sewell</t>
  </si>
  <si>
    <t>https://static.www.nfl.com/image/upload/f_auto,q_auto/league/hxphcudtmtcfbazd36kn</t>
  </si>
  <si>
    <t>00-0037545</t>
  </si>
  <si>
    <t>R.Shaheed</t>
  </si>
  <si>
    <t>https://static.www.nfl.com/image/upload/f_auto,q_auto/league/ynsy489xqmiwt5q9whty</t>
  </si>
  <si>
    <t>00-0037547</t>
  </si>
  <si>
    <t>D.Whelan</t>
  </si>
  <si>
    <t>Daniel Whelan</t>
  </si>
  <si>
    <t>https://static.www.nfl.com/image/upload/f_auto,q_auto/league/lqnpsqdo5gpoxxirr9b6</t>
  </si>
  <si>
    <t>00-0037549</t>
  </si>
  <si>
    <t>D.Baker</t>
  </si>
  <si>
    <t>Darrell Baker Jr.</t>
  </si>
  <si>
    <t>https://static.www.nfl.com/image/upload/f_auto,q_auto/league/e536r65rabmkj6idcwpb</t>
  </si>
  <si>
    <t>00-0037557</t>
  </si>
  <si>
    <t>R.Rivers</t>
  </si>
  <si>
    <t>https://static.www.nfl.com/image/upload/f_auto,q_auto/league/ykza0uhrd73htnmjwbrk</t>
  </si>
  <si>
    <t>00-0037561</t>
  </si>
  <si>
    <t>M.Bell</t>
  </si>
  <si>
    <t>Markquese Bell</t>
  </si>
  <si>
    <t>https://static.www.nfl.com/image/upload/f_auto,q_auto/league/tltiuomelvkre4tsp25s</t>
  </si>
  <si>
    <t>00-0037563</t>
  </si>
  <si>
    <t>https://static.www.nfl.com/image/upload/f_auto,q_auto/league/mdjhv8xuitxkn7oefwty</t>
  </si>
  <si>
    <t>00-0037578</t>
  </si>
  <si>
    <t>J.Thomas</t>
  </si>
  <si>
    <t>Juanyeh Thomas</t>
  </si>
  <si>
    <t>https://static.www.nfl.com/image/upload/f_auto,q_auto/league/ftxdnkfoymrgcc96zlnt</t>
  </si>
  <si>
    <t>00-0037587</t>
  </si>
  <si>
    <t>N.Landman</t>
  </si>
  <si>
    <t>Nate Landman</t>
  </si>
  <si>
    <t>https://static.www.nfl.com/image/upload/f_auto,q_auto/league/s9kvdztegpkmihjpwj0q</t>
  </si>
  <si>
    <t>00-0037593</t>
  </si>
  <si>
    <t>T.Avery</t>
  </si>
  <si>
    <t>Tre Avery</t>
  </si>
  <si>
    <t>https://static.www.nfl.com/image/upload/f_auto,q_auto/league/malahw9czftvuse45ebp</t>
  </si>
  <si>
    <t>00-0037594</t>
  </si>
  <si>
    <t>J.Chestnut</t>
  </si>
  <si>
    <t>https://static.www.nfl.com/image/upload/f_auto,q_auto/league/glst6wabuuvbrssmidng</t>
  </si>
  <si>
    <t>00-0037596</t>
  </si>
  <si>
    <t>J.Gibbens</t>
  </si>
  <si>
    <t>Jack Gibbens</t>
  </si>
  <si>
    <t>https://static.www.nfl.com/image/upload/f_auto,q_auto/league/yrjlzoh5qps1evqxpcks</t>
  </si>
  <si>
    <t>00-0037602</t>
  </si>
  <si>
    <t>S.Okuayinonu</t>
  </si>
  <si>
    <t>Sam Okuayinonu</t>
  </si>
  <si>
    <t>https://static.www.nfl.com/image/upload/f_auto,q_auto/league/bz3qx6p6ua5e7e5kuukk</t>
  </si>
  <si>
    <t>00-0037611</t>
  </si>
  <si>
    <t>K.Thibodeaux</t>
  </si>
  <si>
    <t>Kayvon Thibodeaux</t>
  </si>
  <si>
    <t>https://static.www.nfl.com/image/upload/f_auto,q_auto/league/dbu5kzu0gwuszwd81dcz</t>
  </si>
  <si>
    <t>00-0037614</t>
  </si>
  <si>
    <t>J.Metchie</t>
  </si>
  <si>
    <t>https://static.www.nfl.com/image/upload/f_auto,q_auto/league/u7ir1sy2vrpidvwpndqd</t>
  </si>
  <si>
    <t>00-0037615</t>
  </si>
  <si>
    <t>N.Dean</t>
  </si>
  <si>
    <t>Nakobe Dean</t>
  </si>
  <si>
    <t>https://static.www.nfl.com/image/upload/f_auto,q_auto/league/ivady9pej8rcuwf1lf3h</t>
  </si>
  <si>
    <t>00-0037616</t>
  </si>
  <si>
    <t>N.Cross</t>
  </si>
  <si>
    <t>Nick Cross</t>
  </si>
  <si>
    <t>https://static.www.nfl.com/image/upload/f_auto,q_auto/league/kpyjflkuqsthoic5pcrm</t>
  </si>
  <si>
    <t>00-0037617</t>
  </si>
  <si>
    <t>H.Haskins</t>
  </si>
  <si>
    <t>Hassan Haskins</t>
  </si>
  <si>
    <t>https://static.www.nfl.com/image/upload/f_auto,q_auto/league/n9jwsfxyo1xppmhscpik</t>
  </si>
  <si>
    <t>00-0037633</t>
  </si>
  <si>
    <t>J.Hummel</t>
  </si>
  <si>
    <t>Jacob Hummel</t>
  </si>
  <si>
    <t>https://static.www.nfl.com/image/upload/f_auto,q_auto/league/yeqyn79axqsyvi7iqcpl</t>
  </si>
  <si>
    <t>00-0037654</t>
  </si>
  <si>
    <t>T.Fisk</t>
  </si>
  <si>
    <t>https://static.www.nfl.com/image/upload/f_auto,q_auto/league/yqaco04wjatmxlmxpq1y</t>
  </si>
  <si>
    <t>00-0037661</t>
  </si>
  <si>
    <t>J.Ingram</t>
  </si>
  <si>
    <t>Ja'Marcus Ingram</t>
  </si>
  <si>
    <t>https://static.www.nfl.com/image/upload/f_auto,q_auto/league/d0p0jgugnjuez8uwejbl</t>
  </si>
  <si>
    <t>00-0037662</t>
  </si>
  <si>
    <t>C.Brewer</t>
  </si>
  <si>
    <t>C.J. Brewer</t>
  </si>
  <si>
    <t>https://static.www.nfl.com/image/upload/f_auto,q_auto/league/t7msnroiny0ywfscrymd</t>
  </si>
  <si>
    <t>00-0037663</t>
  </si>
  <si>
    <t>Jermaine Johnson II</t>
  </si>
  <si>
    <t>https://static.www.nfl.com/image/upload/f_auto,q_auto/league/kihqeivcgubenrrjopew</t>
  </si>
  <si>
    <t>00-0037664</t>
  </si>
  <si>
    <t>A.Pierce</t>
  </si>
  <si>
    <t>https://static.www.nfl.com/image/upload/f_auto,q_auto/league/zeghrjc8rir3r3zi6det</t>
  </si>
  <si>
    <t>00-0037665</t>
  </si>
  <si>
    <t>S.Williams</t>
  </si>
  <si>
    <t>Sam Williams</t>
  </si>
  <si>
    <t>https://static.www.nfl.com/image/upload/f_auto,q_auto/league/vspx1wxdwmektj1pjd6c</t>
  </si>
  <si>
    <t>00-0037666</t>
  </si>
  <si>
    <t>J.Tolbert</t>
  </si>
  <si>
    <t>https://static.www.nfl.com/image/upload/f_auto,q_auto/league/pif5ffxlibkfp90k1sj4</t>
  </si>
  <si>
    <t>00-0037667</t>
  </si>
  <si>
    <t>K.Joseph</t>
  </si>
  <si>
    <t>Kerby Joseph</t>
  </si>
  <si>
    <t>https://static.www.nfl.com/image/upload/f_auto,q_auto/league/oeybnj8im7exzevs0jkh</t>
  </si>
  <si>
    <t>00-0037692</t>
  </si>
  <si>
    <t>B.Aubrey</t>
  </si>
  <si>
    <t>Brandon Aubrey</t>
  </si>
  <si>
    <t>https://static.www.nfl.com/image/upload/f_auto,q_auto/league/ynyyootbeabm5sx4ejgt</t>
  </si>
  <si>
    <t>41;53;51;44;64;46;53;33;22;35;23;28;47;61;29;24;26;50;42;49;36;26;57;42;55;63;29;37;26;41;41;33;42;52;51;22</t>
  </si>
  <si>
    <t>68;51;51;59;58;57</t>
  </si>
  <si>
    <t>46;42</t>
  </si>
  <si>
    <t>00-0037711</t>
  </si>
  <si>
    <t>J.Pharms</t>
  </si>
  <si>
    <t>Jeremiah Pharms Jr.</t>
  </si>
  <si>
    <t>https://static.www.nfl.com/image/upload/f_auto,q_auto/league/bhm6towuahy7ztd8zkna</t>
  </si>
  <si>
    <t>00-0037740</t>
  </si>
  <si>
    <t>G.Wilson</t>
  </si>
  <si>
    <t>https://static.www.nfl.com/image/upload/f_auto,q_auto/league/kbijsheobhwej7lh8mvf</t>
  </si>
  <si>
    <t>00-0037741</t>
  </si>
  <si>
    <t>J.Dotson</t>
  </si>
  <si>
    <t>https://static.www.nfl.com/image/upload/f_auto,q_auto/league/dbtou5ln1kwjutixywie</t>
  </si>
  <si>
    <t>00-0037742</t>
  </si>
  <si>
    <t>T.Burks</t>
  </si>
  <si>
    <t>https://static.www.nfl.com/image/upload/f_auto,q_auto/league/dkgspszcaouw7lkpjmio</t>
  </si>
  <si>
    <t>00-0037743</t>
  </si>
  <si>
    <t>D.Hill</t>
  </si>
  <si>
    <t>Daxton Hill</t>
  </si>
  <si>
    <t>https://static.www.nfl.com/image/upload/f_auto,q_auto/league/onw9ijbhtrdvjqpi0toh</t>
  </si>
  <si>
    <t>00-0037744</t>
  </si>
  <si>
    <t>T.McBride</t>
  </si>
  <si>
    <t>https://static.www.nfl.com/image/upload/f_auto,q_auto/league/vd7av3vdfs6q7ncjogac</t>
  </si>
  <si>
    <t>00-0037745</t>
  </si>
  <si>
    <t>V.Jones</t>
  </si>
  <si>
    <t>https://static.www.nfl.com/image/upload/f_auto,q_auto/league/fchis2k7zzpqg9sv1ya1</t>
  </si>
  <si>
    <t>00-0037746</t>
  </si>
  <si>
    <t>B.Robinson</t>
  </si>
  <si>
    <t>Brian Robinson</t>
  </si>
  <si>
    <t>https://static.www.nfl.com/image/upload/f_auto,q_auto/league/n1xhex1ytisxcbcggqu7</t>
  </si>
  <si>
    <t>00-0037752</t>
  </si>
  <si>
    <t>T.Anderson</t>
  </si>
  <si>
    <t>Tycen Anderson</t>
  </si>
  <si>
    <t>https://static.www.nfl.com/image/upload/f_auto,q_auto/league/j3dvzorwxkvvf7ljykzu</t>
  </si>
  <si>
    <t>00-0037753</t>
  </si>
  <si>
    <t>C.Taylor-Britt</t>
  </si>
  <si>
    <t>Cam Taylor-Britt</t>
  </si>
  <si>
    <t>https://static.www.nfl.com/image/upload/f_auto,q_auto/league/m6dqiwllhwoc2rd5gns1</t>
  </si>
  <si>
    <t>00-0037755</t>
  </si>
  <si>
    <t>https://static.www.nfl.com/image/upload/f_auto,q_auto/league/jpipxh1d5vzrwaug8djv</t>
  </si>
  <si>
    <t>00-0037756</t>
  </si>
  <si>
    <t>Travis Jones</t>
  </si>
  <si>
    <t>https://static.www.nfl.com/image/upload/f_auto,q_auto/league/wm1f5uddgq3xmivgmrkz</t>
  </si>
  <si>
    <t>00-0037757</t>
  </si>
  <si>
    <t>B.Raimann</t>
  </si>
  <si>
    <t>Bernhard Raimann</t>
  </si>
  <si>
    <t>https://static.www.nfl.com/image/upload/f_auto,q_auto/league/cis1c2tzux68l6ca07hp</t>
  </si>
  <si>
    <t>00-0037758</t>
  </si>
  <si>
    <t>C.Flott</t>
  </si>
  <si>
    <t>Cordale Flott</t>
  </si>
  <si>
    <t>https://static.www.nfl.com/image/upload/f_auto,q_auto/league/dk8b5dpa5fflut1j4ynl</t>
  </si>
  <si>
    <t>00-0037759</t>
  </si>
  <si>
    <t>D.Leal</t>
  </si>
  <si>
    <t>DeMarvin Leal</t>
  </si>
  <si>
    <t>https://static.www.nfl.com/image/upload/f_auto,q_auto/league/gqsxinwxry4uggkdd90r</t>
  </si>
  <si>
    <t>00-0037799</t>
  </si>
  <si>
    <t>D.Tillman</t>
  </si>
  <si>
    <t>Dondrea Tillman</t>
  </si>
  <si>
    <t>https://static.www.nfl.com/image/upload/f_auto,q_auto/league/gb1dadvtgeeixkcqjwgv</t>
  </si>
  <si>
    <t>00-0037801</t>
  </si>
  <si>
    <t>K.Turpin</t>
  </si>
  <si>
    <t>https://static.www.nfl.com/image/upload/f_auto,q_auto/league/cgjwzierootp8gjem5oe</t>
  </si>
  <si>
    <t>00-0037804</t>
  </si>
  <si>
    <t>Z.Carter</t>
  </si>
  <si>
    <t>Zachary Carter</t>
  </si>
  <si>
    <t>https://static.www.nfl.com/image/upload/f_auto,q_auto/league/f64doat4n78solyaa7xv</t>
  </si>
  <si>
    <t>00-0037805</t>
  </si>
  <si>
    <t>J.Ruckert</t>
  </si>
  <si>
    <t>https://static.www.nfl.com/image/upload/f_auto,q_auto/league/jnwpnpbukmzrsuutpufx</t>
  </si>
  <si>
    <t>00-0037808</t>
  </si>
  <si>
    <t>D.Malone</t>
  </si>
  <si>
    <t>DeAngelo Malone</t>
  </si>
  <si>
    <t>https://static.www.nfl.com/image/upload/f_auto,q_auto/league/yywbozwgj0uqnexmdaex</t>
  </si>
  <si>
    <t>00-0037809</t>
  </si>
  <si>
    <t>C.Okonkwo</t>
  </si>
  <si>
    <t>https://static.www.nfl.com/image/upload/f_auto,q_auto/league/omm5z5iq6dlmidqz1sgz</t>
  </si>
  <si>
    <t>00-0037811</t>
  </si>
  <si>
    <t>C.Muma</t>
  </si>
  <si>
    <t>Chad Muma</t>
  </si>
  <si>
    <t>https://static.www.nfl.com/image/upload/f_auto,q_auto/league/wwf5gmaohjdyvpigwu5e</t>
  </si>
  <si>
    <t>00-0037812</t>
  </si>
  <si>
    <t>A.Lucas</t>
  </si>
  <si>
    <t>Abraham Lucas</t>
  </si>
  <si>
    <t>https://static.www.nfl.com/image/upload/f_auto,q_auto/league/aamlxw3fhqra37ablds8</t>
  </si>
  <si>
    <t>00-0037813</t>
  </si>
  <si>
    <t>C.Tindall</t>
  </si>
  <si>
    <t>Channing Tindall</t>
  </si>
  <si>
    <t>https://static.www.nfl.com/image/upload/f_auto,q_auto/league/iop376y4dj0sxvhznh3f</t>
  </si>
  <si>
    <t>00-0037814</t>
  </si>
  <si>
    <t>L.Fortner</t>
  </si>
  <si>
    <t>Luke Fortner</t>
  </si>
  <si>
    <t>https://static.www.nfl.com/image/upload/f_auto,q_auto/league/kvv7na6p5zwlcmtoji7q</t>
  </si>
  <si>
    <t>00-0037815</t>
  </si>
  <si>
    <t>C.Thomas</t>
  </si>
  <si>
    <t>Cameron Thomas</t>
  </si>
  <si>
    <t>https://static.www.nfl.com/image/upload/f_auto,q_auto/league/pjqi76adcm3i9xkbbepg</t>
  </si>
  <si>
    <t>00-0037816</t>
  </si>
  <si>
    <t>R.Doubs</t>
  </si>
  <si>
    <t>https://static.www.nfl.com/image/upload/f_auto,q_auto/league/ov2llp1bfetznmngqybi</t>
  </si>
  <si>
    <t>00-0037817</t>
  </si>
  <si>
    <t>Z.Tom</t>
  </si>
  <si>
    <t>Zach Tom</t>
  </si>
  <si>
    <t>https://static.www.nfl.com/image/upload/f_auto,q_auto/league/ed0itvu56lxrfabusaux</t>
  </si>
  <si>
    <t>00-0037818</t>
  </si>
  <si>
    <t>Z.Johnson</t>
  </si>
  <si>
    <t>Zion Johnson</t>
  </si>
  <si>
    <t>https://static.www.nfl.com/image/upload/f_auto,q_auto/league/wjgcg8pqadn0mtzoumhj</t>
  </si>
  <si>
    <t>00-0037819</t>
  </si>
  <si>
    <t>L.Chenal</t>
  </si>
  <si>
    <t>Leo Chenal</t>
  </si>
  <si>
    <t>https://static.www.nfl.com/image/upload/f_auto,q_auto/league/x09uj5ta65jfceysfi2v</t>
  </si>
  <si>
    <t>00-0037821</t>
  </si>
  <si>
    <t>C.Cross</t>
  </si>
  <si>
    <t>Charles Cross</t>
  </si>
  <si>
    <t>https://static.www.nfl.com/image/upload/f_auto,q_auto/league/unfc89gx8anfyuzom0dv</t>
  </si>
  <si>
    <t>00-0037823</t>
  </si>
  <si>
    <t>C.Harris</t>
  </si>
  <si>
    <t>Christian Harris</t>
  </si>
  <si>
    <t>https://static.www.nfl.com/image/upload/f_auto,q_auto/league/vu59vuwhkncfc8gtsjq4</t>
  </si>
  <si>
    <t>00-0037825</t>
  </si>
  <si>
    <t>T.Linderbaum</t>
  </si>
  <si>
    <t>Tyler Linderbaum</t>
  </si>
  <si>
    <t>https://static.www.nfl.com/image/upload/f_auto,q_auto/league/ojvsyozouivghvkbw5qk</t>
  </si>
  <si>
    <t>00-0037826</t>
  </si>
  <si>
    <t>Drake Jackson</t>
  </si>
  <si>
    <t>https://static.www.nfl.com/image/upload/f_auto,q_auto/league/z0rbarktd2j64zhoav02</t>
  </si>
  <si>
    <t>00-0037829</t>
  </si>
  <si>
    <t>S.Burford</t>
  </si>
  <si>
    <t>Spencer Burford</t>
  </si>
  <si>
    <t>https://static.www.nfl.com/image/upload/f_auto,q_auto/league/rizdurffvnwd66ait3pt</t>
  </si>
  <si>
    <t>00-0037830</t>
  </si>
  <si>
    <t>S.Womack</t>
  </si>
  <si>
    <t>Samuel Womack</t>
  </si>
  <si>
    <t>https://static.www.nfl.com/image/upload/f_auto,q_auto/league/qjqal4jl2itgnfzbliys</t>
  </si>
  <si>
    <t>00-0037832</t>
  </si>
  <si>
    <t>Kalia Davis</t>
  </si>
  <si>
    <t>https://static.www.nfl.com/image/upload/f_auto,q_auto/league/bqad9jqdvg5tis5i3vgu</t>
  </si>
  <si>
    <t>00-0037834</t>
  </si>
  <si>
    <t>B.Purdy</t>
  </si>
  <si>
    <t>Brock Purdy</t>
  </si>
  <si>
    <t>https://static.www.nfl.com/image/upload/f_auto,q_auto/league/xykdxnvxpf9pobxvkjfj</t>
  </si>
  <si>
    <t>00-0037835</t>
  </si>
  <si>
    <t>L.Goedeke</t>
  </si>
  <si>
    <t>Luke Goedeke</t>
  </si>
  <si>
    <t>https://static.www.nfl.com/image/upload/f_auto,q_auto/league/umds1rrsxq5kja5kt08g</t>
  </si>
  <si>
    <t>00-0037837</t>
  </si>
  <si>
    <t>C.Austin</t>
  </si>
  <si>
    <t>https://static.www.nfl.com/image/private/f_auto,q_auto/league/qlt6ztqcbu0uzad6aavt</t>
  </si>
  <si>
    <t>00-0037838</t>
  </si>
  <si>
    <t>I.Likely</t>
  </si>
  <si>
    <t>https://static.www.nfl.com/image/upload/f_auto,q_auto/league/ssrjtyvnyfflobmi0mb8</t>
  </si>
  <si>
    <t>00-0037839</t>
  </si>
  <si>
    <t>C.Durant</t>
  </si>
  <si>
    <t>Cobie Durant</t>
  </si>
  <si>
    <t>https://static.www.nfl.com/image/upload/f_auto,q_auto/league/vkte59jemwhdeuobis0e</t>
  </si>
  <si>
    <t>00-0037840</t>
  </si>
  <si>
    <t>K.Williams</t>
  </si>
  <si>
    <t>https://static.www.nfl.com/image/upload/f_auto,q_auto/league/smsyrjrwy0lf0hu9hkvg</t>
  </si>
  <si>
    <t>00-0037841</t>
  </si>
  <si>
    <t>Q.Lake</t>
  </si>
  <si>
    <t>Quentin Lake</t>
  </si>
  <si>
    <t>https://static.www.nfl.com/image/upload/f_auto,q_auto/league/rhyy4y6kh7kbnuglf7jp</t>
  </si>
  <si>
    <t>00-0037842</t>
  </si>
  <si>
    <t>D.Kendrick</t>
  </si>
  <si>
    <t>Derion Kendrick</t>
  </si>
  <si>
    <t>https://static.www.nfl.com/image/upload/f_auto,q_auto/league/jqmngrtmkviwleea8i40</t>
  </si>
  <si>
    <t>00-0037843</t>
  </si>
  <si>
    <t>D.Hardy</t>
  </si>
  <si>
    <t>Daniel Hardy</t>
  </si>
  <si>
    <t>https://static.www.nfl.com/image/upload/f_auto,q_auto/league/z48xtbtdtknk6e3fonre</t>
  </si>
  <si>
    <t>00-0038038</t>
  </si>
  <si>
    <t>K.Hamilton</t>
  </si>
  <si>
    <t>Kyle Hamilton</t>
  </si>
  <si>
    <t>https://static.www.nfl.com/image/upload/f_auto,q_auto/league/chrrlhiriydmjomv3s2f</t>
  </si>
  <si>
    <t>00-0038039</t>
  </si>
  <si>
    <t>Jack Jones</t>
  </si>
  <si>
    <t>https://static.www.nfl.com/image/upload/f_auto,q_auto/league/du4dbnopryqdeffnwcwh</t>
  </si>
  <si>
    <t>00-0038040</t>
  </si>
  <si>
    <t>Z.White</t>
  </si>
  <si>
    <t>Zamir White</t>
  </si>
  <si>
    <t>https://static.www.nfl.com/image/upload/f_auto,q_auto/league/jzthyqk2ld52f31ka1ir</t>
  </si>
  <si>
    <t>00-0038041</t>
  </si>
  <si>
    <t>J.Ferguson</t>
  </si>
  <si>
    <t>https://static.www.nfl.com/image/upload/f_auto,q_auto/league/ebdz1yf8ky2mscdvyv1v</t>
  </si>
  <si>
    <t>00-0038043</t>
  </si>
  <si>
    <t>Joshua Williams</t>
  </si>
  <si>
    <t>https://static.www.nfl.com/image/upload/f_auto,q_auto/league/gpyxftvkpvbwrc7srrgt</t>
  </si>
  <si>
    <t>00-0038046</t>
  </si>
  <si>
    <t>C.Kolar</t>
  </si>
  <si>
    <t>https://static.www.nfl.com/image/upload/f_auto,q_auto/league/g75ws8vkqz9cqwifhcy7</t>
  </si>
  <si>
    <t>00-0038090</t>
  </si>
  <si>
    <t>S.Moore</t>
  </si>
  <si>
    <t>https://static.www.nfl.com/image/upload/f_auto,q_auto/league/fadcpretmhczwjq8ovae</t>
  </si>
  <si>
    <t>00-0038094</t>
  </si>
  <si>
    <t>J.Stout</t>
  </si>
  <si>
    <t>Jordan Stout</t>
  </si>
  <si>
    <t>https://static.www.nfl.com/image/upload/f_auto,q_auto/league/ta8m8jfnaotfjnasvy2e</t>
  </si>
  <si>
    <t>00-0038099</t>
  </si>
  <si>
    <t>P.Mathis</t>
  </si>
  <si>
    <t>Phidarian Mathis</t>
  </si>
  <si>
    <t>https://static.www.nfl.com/image/upload/f_auto,q_auto/league/sad9ieuv0z3maak06mir</t>
  </si>
  <si>
    <t>00-0038100</t>
  </si>
  <si>
    <t>P.Butler</t>
  </si>
  <si>
    <t>Percy Butler</t>
  </si>
  <si>
    <t>https://static.www.nfl.com/image/upload/f_auto,q_auto/league/a91iobuedgc4i8c8jq7j</t>
  </si>
  <si>
    <t>00-0038101</t>
  </si>
  <si>
    <t>A.Evans</t>
  </si>
  <si>
    <t>Akayleb Evans</t>
  </si>
  <si>
    <t>https://static.www.nfl.com/image/upload/f_auto,q_auto/league/anmntl6frvbrhct3tzn1</t>
  </si>
  <si>
    <t>00-0038102</t>
  </si>
  <si>
    <t>K.Pickett</t>
  </si>
  <si>
    <t>Kenny Pickett</t>
  </si>
  <si>
    <t>https://static.www.nfl.com/image/upload/f_auto,q_auto/league/nfdzmyfr8eup5uuojjdw</t>
  </si>
  <si>
    <t>00-0038103</t>
  </si>
  <si>
    <t>C.Strange</t>
  </si>
  <si>
    <t>Cole Strange</t>
  </si>
  <si>
    <t>https://static.www.nfl.com/image/upload/f_auto,q_auto/league/rnuyg2ipah0b18vkxiqz</t>
  </si>
  <si>
    <t>00-0038104</t>
  </si>
  <si>
    <t>T.Thornton</t>
  </si>
  <si>
    <t>https://static.www.nfl.com/image/upload/f_auto,q_auto/league/bjqzuempyiwxe0hl7e5a</t>
  </si>
  <si>
    <t>00-0038106</t>
  </si>
  <si>
    <t>E.Uwazurike</t>
  </si>
  <si>
    <t>Eyioma Uwazurike</t>
  </si>
  <si>
    <t>https://static.www.nfl.com/image/upload/f_auto,q_auto/league/tkr7tz1k8al4ddckvjz6</t>
  </si>
  <si>
    <t>00-0038107</t>
  </si>
  <si>
    <t>M.Clemons</t>
  </si>
  <si>
    <t>Micheal Clemons</t>
  </si>
  <si>
    <t>https://static.www.nfl.com/image/upload/f_auto,q_auto/league/bclys2f80w1v5klsswky</t>
  </si>
  <si>
    <t>00-0038111</t>
  </si>
  <si>
    <t>K.Gordon</t>
  </si>
  <si>
    <t>Kyler Gordon</t>
  </si>
  <si>
    <t>https://static.www.nfl.com/image/upload/f_auto,q_auto/league/bx1snjc1rdkqpytb6bvu</t>
  </si>
  <si>
    <t>00-0038112</t>
  </si>
  <si>
    <t>C.Jurgens</t>
  </si>
  <si>
    <t>Cam Jurgens</t>
  </si>
  <si>
    <t>https://static.www.nfl.com/image/upload/f_auto,q_auto/league/gksconutf766u40keyxr</t>
  </si>
  <si>
    <t>00-0038114</t>
  </si>
  <si>
    <t>M.Mitchell</t>
  </si>
  <si>
    <t>Max Mitchell</t>
  </si>
  <si>
    <t>https://static.www.nfl.com/image/upload/f_auto,q_auto/league/l1jfqww1t2fkjdjbgmyk</t>
  </si>
  <si>
    <t>00-0038115</t>
  </si>
  <si>
    <t>D.Bellinger</t>
  </si>
  <si>
    <t>https://static.www.nfl.com/image/upload/f_auto,q_auto/league/hu3gywcwp2rlsefvawh1</t>
  </si>
  <si>
    <t>00-0038116</t>
  </si>
  <si>
    <t>A.Ebiketie</t>
  </si>
  <si>
    <t>Arnold Ebiketie</t>
  </si>
  <si>
    <t>https://static.www.nfl.com/image/upload/f_auto,q_auto/league/w5sjq8cj5tdar5ttlll7</t>
  </si>
  <si>
    <t>00-0038117</t>
  </si>
  <si>
    <t>W.Robinson</t>
  </si>
  <si>
    <t>https://static.www.nfl.com/image/upload/f_auto,q_auto/league/yzcvyhmilvxedfjfjglc</t>
  </si>
  <si>
    <t>00-0038118</t>
  </si>
  <si>
    <t>D.Faalele</t>
  </si>
  <si>
    <t>Daniel Faalele</t>
  </si>
  <si>
    <t>https://static.www.nfl.com/image/upload/f_auto,q_auto/league/hx7hfkjs2mzqa5sjm9na</t>
  </si>
  <si>
    <t>00-0038119</t>
  </si>
  <si>
    <t>J.Armour-Davis</t>
  </si>
  <si>
    <t>Jalyn Armour-Davis</t>
  </si>
  <si>
    <t>https://static.www.nfl.com/image/upload/f_auto,q_auto/league/stfweqraa3ezp6xtcqut</t>
  </si>
  <si>
    <t>00-0038120</t>
  </si>
  <si>
    <t>B.Hall</t>
  </si>
  <si>
    <t>https://static.www.nfl.com/image/upload/f_auto,q_auto/league/m3dviruymtm2wl2zcpmr</t>
  </si>
  <si>
    <t>00-0038121</t>
  </si>
  <si>
    <t>A.Taylor</t>
  </si>
  <si>
    <t>Alontae Taylor</t>
  </si>
  <si>
    <t>https://static.www.nfl.com/image/upload/f_auto,q_auto/league/n5x6q4v3rj8lrkiiva0h</t>
  </si>
  <si>
    <t>00-0038123</t>
  </si>
  <si>
    <t>D.Belton</t>
  </si>
  <si>
    <t>Dane Belton</t>
  </si>
  <si>
    <t>https://static.www.nfl.com/image/upload/f_auto,q_auto/league/dteu26qeqai20d4da21f</t>
  </si>
  <si>
    <t>00-0038124</t>
  </si>
  <si>
    <t>C.Watson</t>
  </si>
  <si>
    <t>https://static.www.nfl.com/image/upload/f_auto,q_auto/league/syljognztlbghfeqyqn1</t>
  </si>
  <si>
    <t>00-0038125</t>
  </si>
  <si>
    <t>R.McCreary</t>
  </si>
  <si>
    <t>Roger McCreary</t>
  </si>
  <si>
    <t>https://static.www.nfl.com/image/upload/f_auto,q_auto/league/ntg1yix4ehhorke1zxkb</t>
  </si>
  <si>
    <t>00-0038126</t>
  </si>
  <si>
    <t>P.Winfrey</t>
  </si>
  <si>
    <t>Perrion Winfrey</t>
  </si>
  <si>
    <t>https://static.www.nfl.com/image/upload/f_auto,q_auto/league/mba0pzg4jlbxszeneexx</t>
  </si>
  <si>
    <t>00-0038127</t>
  </si>
  <si>
    <t>L.Hall</t>
  </si>
  <si>
    <t>Logan Hall</t>
  </si>
  <si>
    <t>https://static.www.nfl.com/image/upload/f_auto,q_auto/league/bwkyc5onugo39cqnsa4e</t>
  </si>
  <si>
    <t>00-0038128</t>
  </si>
  <si>
    <t>M.Willis</t>
  </si>
  <si>
    <t>Malik Willis</t>
  </si>
  <si>
    <t>https://static.www.nfl.com/image/upload/f_auto,q_auto/league/hsnetccy7bquili3gcqq</t>
  </si>
  <si>
    <t>00-0038129</t>
  </si>
  <si>
    <t>C.Otton</t>
  </si>
  <si>
    <t>https://static.www.nfl.com/image/upload/f_auto,q_auto/league/dlgxvfpnufpnxkvu1ynb</t>
  </si>
  <si>
    <t>00-0038131</t>
  </si>
  <si>
    <t>E.Ingram</t>
  </si>
  <si>
    <t>Ed Ingram</t>
  </si>
  <si>
    <t>https://static.www.nfl.com/image/upload/f_auto,q_auto/league/zcqlqfil0ci0v8eftkub</t>
  </si>
  <si>
    <t>00-0038133</t>
  </si>
  <si>
    <t>B.Mafe</t>
  </si>
  <si>
    <t>Boye Mafe</t>
  </si>
  <si>
    <t>https://static.www.nfl.com/image/upload/f_auto,q_auto/league/smudeksouwxr6zynwcws</t>
  </si>
  <si>
    <t>00-0038134</t>
  </si>
  <si>
    <t>K.Walker</t>
  </si>
  <si>
    <t>https://static.www.nfl.com/image/upload/f_auto,q_auto/league/mnzsnemdzbey5hbahdhk</t>
  </si>
  <si>
    <t>00-0038135</t>
  </si>
  <si>
    <t>J.Brisker</t>
  </si>
  <si>
    <t>Jaquan Brisker</t>
  </si>
  <si>
    <t>https://static.www.nfl.com/image/upload/f_auto,q_auto/league/f21nhdemlyjvrtq9j01z</t>
  </si>
  <si>
    <t>00-0038136</t>
  </si>
  <si>
    <t>C.Bryant</t>
  </si>
  <si>
    <t>Coby Bryant</t>
  </si>
  <si>
    <t>https://static.www.nfl.com/image/upload/f_auto,q_auto/league/dx8iy9fohocha1eh4k58</t>
  </si>
  <si>
    <t>00-0038142</t>
  </si>
  <si>
    <t>D.Ojabo</t>
  </si>
  <si>
    <t>David Ojabo</t>
  </si>
  <si>
    <t>https://static.www.nfl.com/image/upload/f_auto,q_auto/league/zhwq0frk3h6ni3uw4btp</t>
  </si>
  <si>
    <t>00-0038152</t>
  </si>
  <si>
    <t>L.Havrisik</t>
  </si>
  <si>
    <t>Lucas Havrisik</t>
  </si>
  <si>
    <t>https://static.www.nfl.com/image/upload/f_auto,q_auto/league/dpkfsna78iqtafg1fpdm</t>
  </si>
  <si>
    <t>43;39;31;61</t>
  </si>
  <si>
    <t>00-0038348</t>
  </si>
  <si>
    <t>J.Butler</t>
  </si>
  <si>
    <t>Josh Butler</t>
  </si>
  <si>
    <t>https://static.www.nfl.com/image/upload/f_auto,q_auto/league/lh97aijlwjieh7u2sccv</t>
  </si>
  <si>
    <t>00-0038359</t>
  </si>
  <si>
    <t>X.Smith</t>
  </si>
  <si>
    <t>https://static.www.nfl.com/image/upload/f_auto,q_auto/league/fk4gtziqefw5etqfylbe</t>
  </si>
  <si>
    <t>00-0038360</t>
  </si>
  <si>
    <t>A.Ward</t>
  </si>
  <si>
    <t>Alex Ward</t>
  </si>
  <si>
    <t>https://static.www.nfl.com/image/upload/f_auto,q_auto/league/bck0h02cdfjklvhxe9vq</t>
  </si>
  <si>
    <t>00-0038366</t>
  </si>
  <si>
    <t>T.Ingle</t>
  </si>
  <si>
    <t>Tanner Ingle</t>
  </si>
  <si>
    <t>https://static.www.nfl.com/image/upload/f_auto,q_auto/league/vzeuylllstdp5udwxgzq</t>
  </si>
  <si>
    <t>00-0038381</t>
  </si>
  <si>
    <t>K.Kelly</t>
  </si>
  <si>
    <t>Kyu Blu Kelly</t>
  </si>
  <si>
    <t>https://static.www.nfl.com/image/upload/f_auto,q_auto/league/jmwlrbcsuzckrohnwgdu</t>
  </si>
  <si>
    <t>00-0038383</t>
  </si>
  <si>
    <t>A.Vorhees</t>
  </si>
  <si>
    <t>Andrew Vorhees</t>
  </si>
  <si>
    <t>https://static.www.nfl.com/image/upload/f_auto,q_auto/league/nbfqkv3mynu7fgmrt7fc</t>
  </si>
  <si>
    <t>00-0038386</t>
  </si>
  <si>
    <t>J.Carter</t>
  </si>
  <si>
    <t>Jalen Carter</t>
  </si>
  <si>
    <t>https://static.www.nfl.com/image/upload/f_auto,q_auto/league/dxkrjv1ihimkwj9xahsz</t>
  </si>
  <si>
    <t>00-0038387</t>
  </si>
  <si>
    <t>C.Wooden</t>
  </si>
  <si>
    <t>Colby Wooden</t>
  </si>
  <si>
    <t>https://static.www.nfl.com/image/upload/f_auto,q_auto/league/fwupcm9mwqoufrt6sz2z</t>
  </si>
  <si>
    <t>00-0038390</t>
  </si>
  <si>
    <t>Noah Sewell</t>
  </si>
  <si>
    <t>https://static.www.nfl.com/image/upload/f_auto,q_auto/league/sw5wea1zlc1drxoisej0</t>
  </si>
  <si>
    <t>00-0038392</t>
  </si>
  <si>
    <t>D.Scott</t>
  </si>
  <si>
    <t>Daniel Scott</t>
  </si>
  <si>
    <t>https://static.www.nfl.com/image/upload/f_auto,q_auto/league/bulecjnldnf3tgw1f1bq</t>
  </si>
  <si>
    <t>00-0038393</t>
  </si>
  <si>
    <t>D.Wicks</t>
  </si>
  <si>
    <t>https://static.www.nfl.com/image/upload/f_auto,q_auto/league/er7pbyq82nsbw1w3wyor</t>
  </si>
  <si>
    <t>00-0038394</t>
  </si>
  <si>
    <t>W.Mallory</t>
  </si>
  <si>
    <t>https://static.www.nfl.com/image/upload/f_auto,q_auto/league/iedvpzvx9rric1dyi3iy</t>
  </si>
  <si>
    <t>00-0038396</t>
  </si>
  <si>
    <t>E.Gray</t>
  </si>
  <si>
    <t>https://static.www.nfl.com/image/upload/f_auto,q_auto/league/ijjxwxv1ccyowzhpuw2k</t>
  </si>
  <si>
    <t>00-0038397</t>
  </si>
  <si>
    <t>E.Hull</t>
  </si>
  <si>
    <t>https://static.www.nfl.com/image/upload/f_auto,q_auto/league/xyyujk9mvvzegaiefp51</t>
  </si>
  <si>
    <t>00-0038398</t>
  </si>
  <si>
    <t>K.Brooks</t>
  </si>
  <si>
    <t>Karl Brooks</t>
  </si>
  <si>
    <t>https://static.www.nfl.com/image/upload/f_auto,q_auto/league/qfyjyfmkoutz6s3ffy12</t>
  </si>
  <si>
    <t>00-0038399</t>
  </si>
  <si>
    <t>Z.Barnes</t>
  </si>
  <si>
    <t>Zaire Barnes</t>
  </si>
  <si>
    <t>https://static.www.nfl.com/image/upload/f_auto,q_auto/league/nxul8agf3bcubh8wie1g</t>
  </si>
  <si>
    <t>00-0038400</t>
  </si>
  <si>
    <t>T.McKee</t>
  </si>
  <si>
    <t>Tanner McKee</t>
  </si>
  <si>
    <t>https://static.www.nfl.com/image/upload/f_auto,q_auto/league/oveivzhzv13jrfvkp8zg</t>
  </si>
  <si>
    <t>00-0038401</t>
  </si>
  <si>
    <t>J.Bernard-Converse</t>
  </si>
  <si>
    <t>Jarrick Bernard-Converse</t>
  </si>
  <si>
    <t>https://static.www.nfl.com/image/upload/f_auto,q_auto/league/qijokuz8ptkewjqktjm4</t>
  </si>
  <si>
    <t>00-0038407</t>
  </si>
  <si>
    <t>https://static.www.nfl.com/image/upload/f_auto,q_auto/league/wa0dnjnbqq4emnlkykd4</t>
  </si>
  <si>
    <t>00-0038408</t>
  </si>
  <si>
    <t>C.Valentine</t>
  </si>
  <si>
    <t>Carrington Valentine</t>
  </si>
  <si>
    <t>https://static.www.nfl.com/image/upload/f_auto,q_auto/league/wtkzctyceullg5napiwx</t>
  </si>
  <si>
    <t>00-0038409</t>
  </si>
  <si>
    <t>L.Nichols</t>
  </si>
  <si>
    <t>Lew Nichols III</t>
  </si>
  <si>
    <t>https://static.www.nfl.com/image/upload/f_auto,q_auto/league/pjwn4p2al5oaxyay4z5q</t>
  </si>
  <si>
    <t>00-0038412</t>
  </si>
  <si>
    <t>M.Ojomo</t>
  </si>
  <si>
    <t>Moro Ojomo</t>
  </si>
  <si>
    <t>https://static.www.nfl.com/image/upload/f_auto,q_auto/league/bbiomvn996iwm4ckkzio</t>
  </si>
  <si>
    <t>00-0038414</t>
  </si>
  <si>
    <t>K.Williamson</t>
  </si>
  <si>
    <t>Kendall Williamson</t>
  </si>
  <si>
    <t>https://static.www.nfl.com/image/upload/f_auto,q_auto/league/hwru3vazokvanq4ibuks</t>
  </si>
  <si>
    <t>00-0038416</t>
  </si>
  <si>
    <t>T.Bagent</t>
  </si>
  <si>
    <t>Tyson Bagent</t>
  </si>
  <si>
    <t>https://static.www.nfl.com/image/upload/f_auto,q_auto/league/kfwnayxjfnbfs3sm5a21</t>
  </si>
  <si>
    <t>00-0038428</t>
  </si>
  <si>
    <t>A.Szmyt</t>
  </si>
  <si>
    <t>Andre Szmyt</t>
  </si>
  <si>
    <t>https://static.www.nfl.com/image/upload/f_auto,q_auto/league/tkah6glpysuyq2a54gts</t>
  </si>
  <si>
    <t>45;38;35;55;33;31;31;53;32;30;45;29;30;24;46;53;38;50;24;41;50;33;27;49</t>
  </si>
  <si>
    <t>36;56;47</t>
  </si>
  <si>
    <t>55;49</t>
  </si>
  <si>
    <t>00-0038440</t>
  </si>
  <si>
    <t>Z.Scott</t>
  </si>
  <si>
    <t>https://static.www.nfl.com/image/upload/f_auto,q_auto/league/tnpgpzojszbfk8fpt0rb</t>
  </si>
  <si>
    <t>00-0038454</t>
  </si>
  <si>
    <t>K.Mitchell</t>
  </si>
  <si>
    <t>https://static.www.nfl.com/image/upload/f_auto,q_auto/league/klpn2btfhgfv5a8dp3jj</t>
  </si>
  <si>
    <t>00-0038456</t>
  </si>
  <si>
    <t>T.Vokolek</t>
  </si>
  <si>
    <t>https://static.www.nfl.com/image/upload/f_auto,q_auto/league/mghciy5zhnaxa6v097yj</t>
  </si>
  <si>
    <t>00-0038458</t>
  </si>
  <si>
    <t>O.Wright</t>
  </si>
  <si>
    <t>https://static.www.nfl.com/image/upload/f_auto,q_auto/league/nig1vy9k1asfhkanvlki</t>
  </si>
  <si>
    <t>00-0038463</t>
  </si>
  <si>
    <t>B.Cox</t>
  </si>
  <si>
    <t>Brenton Cox Jr.</t>
  </si>
  <si>
    <t>https://static.www.nfl.com/image/upload/f_auto,q_auto/league/gip2rjldcyryxybsioer</t>
  </si>
  <si>
    <t>00-0038465</t>
  </si>
  <si>
    <t>M.Heath</t>
  </si>
  <si>
    <t>https://static.www.nfl.com/image/upload/f_auto,q_auto/league/gtvkkadrxfzlj1qxshhx</t>
  </si>
  <si>
    <t>00-0038488</t>
  </si>
  <si>
    <t>B.Russell</t>
  </si>
  <si>
    <t>Brady Russell</t>
  </si>
  <si>
    <t>https://static.www.nfl.com/image/upload/f_auto,q_auto/league/qvf5yojj8rznahzzxffx</t>
  </si>
  <si>
    <t>00-0038492</t>
  </si>
  <si>
    <t>J.Brownlee</t>
  </si>
  <si>
    <t>https://static.www.nfl.com/image/upload/f_auto,q_auto/league/gnqpsix71nvcuclltghc</t>
  </si>
  <si>
    <t>00-0038493</t>
  </si>
  <si>
    <t>C.Cherelus</t>
  </si>
  <si>
    <t>Claudin Cherelus</t>
  </si>
  <si>
    <t>https://static.www.nfl.com/image/upload/f_auto,q_auto/league/l7ole2smckexdhtrytuv</t>
  </si>
  <si>
    <t>00-0038496</t>
  </si>
  <si>
    <t>X.Gipson</t>
  </si>
  <si>
    <t>https://static.www.nfl.com/image/upload/f_auto,q_auto/league/xmtz360jnxg9psmqifnp</t>
  </si>
  <si>
    <t>00-0038498</t>
  </si>
  <si>
    <t>https://static.www.nfl.com/image/upload/f_auto,q_auto/league/jmhuk0gcnyotcjhdxo6v</t>
  </si>
  <si>
    <t>00-0038504</t>
  </si>
  <si>
    <t>T.Simpson</t>
  </si>
  <si>
    <t>Trenton Simpson</t>
  </si>
  <si>
    <t>https://static.www.nfl.com/image/upload/f_auto,q_auto/league/ozi4oorc2wbcbonnjoo8</t>
  </si>
  <si>
    <t>00-0038505</t>
  </si>
  <si>
    <t>T.Robinson</t>
  </si>
  <si>
    <t>Tavius Robinson</t>
  </si>
  <si>
    <t>https://static.www.nfl.com/image/upload/f_auto,q_auto/league/jmwnobonw2ieerdw5ynd</t>
  </si>
  <si>
    <t>00-0038506</t>
  </si>
  <si>
    <t>J.Riley</t>
  </si>
  <si>
    <t>Jordon Riley</t>
  </si>
  <si>
    <t>https://static.www.nfl.com/image/upload/f_auto,q_auto/league/usm4wso1im2kvuxcv7sb</t>
  </si>
  <si>
    <t>00-0038513</t>
  </si>
  <si>
    <t>Cam Jones</t>
  </si>
  <si>
    <t>https://static.www.nfl.com/image/upload/f_auto,q_auto/league/hu5ays6cwy6vlibjuscy</t>
  </si>
  <si>
    <t>00-0038514</t>
  </si>
  <si>
    <t>Truman Jones</t>
  </si>
  <si>
    <t>https://static.www.nfl.com/image/upload/f_auto,q_auto/league/v3uhdutctvcx4c6pbpgu</t>
  </si>
  <si>
    <t>00-0038519</t>
  </si>
  <si>
    <t>N.Remigio</t>
  </si>
  <si>
    <t>https://static.www.nfl.com/image/upload/f_auto,q_auto/league/tsvjshclrrbqv9mrbyj9</t>
  </si>
  <si>
    <t>00-0038521</t>
  </si>
  <si>
    <t>R.Taylor</t>
  </si>
  <si>
    <t>Reese Taylor</t>
  </si>
  <si>
    <t>https://static.www.nfl.com/image/upload/f_auto,q_auto/league/cl48dg9l3ly5zdzawpnh</t>
  </si>
  <si>
    <t>00-0038535</t>
  </si>
  <si>
    <t>DJ Johnson</t>
  </si>
  <si>
    <t>https://static.www.nfl.com/image/upload/f_auto,q_auto/league/msiycion6qjuafdstc2z</t>
  </si>
  <si>
    <t>00-0038536</t>
  </si>
  <si>
    <t>C.Zavala</t>
  </si>
  <si>
    <t>Chandler Zavala</t>
  </si>
  <si>
    <t>https://static.www.nfl.com/image/upload/f_auto,q_auto/league/i9wpf8cyyxwj1uou1jyy</t>
  </si>
  <si>
    <t>00-0038540</t>
  </si>
  <si>
    <t>Paris Johnson Jr.</t>
  </si>
  <si>
    <t>https://static.www.nfl.com/image/upload/f_auto,q_auto/league/fto9oiuqts9esmpl7dxf</t>
  </si>
  <si>
    <t>00-0038541</t>
  </si>
  <si>
    <t>T.Wilson</t>
  </si>
  <si>
    <t>Tyree Wilson</t>
  </si>
  <si>
    <t>https://static.www.nfl.com/image/upload/f_auto,q_auto/league/wrybvbogxpg3f0fiakaz</t>
  </si>
  <si>
    <t>00-0038542</t>
  </si>
  <si>
    <t>https://static.www.nfl.com/image/upload/f_auto,q_auto/league/rjaf9auhx3lrktzgwpfb</t>
  </si>
  <si>
    <t>00-0038543</t>
  </si>
  <si>
    <t>J.Smith-Njigba</t>
  </si>
  <si>
    <t>https://static.www.nfl.com/image/upload/f_auto,q_auto/league/jpvhsregfvw46mlyckzj</t>
  </si>
  <si>
    <t>00-0038544</t>
  </si>
  <si>
    <t>Q.Johnston</t>
  </si>
  <si>
    <t>https://static.www.nfl.com/image/upload/f_auto,q_auto/league/bpzdpin1xp1kjxmbkq6d</t>
  </si>
  <si>
    <t>00-0038545</t>
  </si>
  <si>
    <t>M.Smith</t>
  </si>
  <si>
    <t>Mazi Smith</t>
  </si>
  <si>
    <t>https://static.www.nfl.com/image/upload/f_auto,q_auto/league/y2b8scr5fmymetjob0lz</t>
  </si>
  <si>
    <t>00-0038546</t>
  </si>
  <si>
    <t>M.Murphy</t>
  </si>
  <si>
    <t>Myles Murphy</t>
  </si>
  <si>
    <t>https://static.www.nfl.com/image/upload/f_auto,q_auto/league/u0zvh5to1xhky5oiyonv</t>
  </si>
  <si>
    <t>00-0038547</t>
  </si>
  <si>
    <t>L.Schoonmaker</t>
  </si>
  <si>
    <t>https://static.www.nfl.com/image/upload/f_auto,q_auto/league/mjaidpltef1ctqwrk5o5</t>
  </si>
  <si>
    <t>00-0038548</t>
  </si>
  <si>
    <t>O.Torrence</t>
  </si>
  <si>
    <t>O'Cyrus Torrence</t>
  </si>
  <si>
    <t>https://static.www.nfl.com/image/upload/f_auto,q_auto/league/bkbuobkm9dwoyprlaasp</t>
  </si>
  <si>
    <t>00-0038549</t>
  </si>
  <si>
    <t>DJ Turner II</t>
  </si>
  <si>
    <t>https://static.www.nfl.com/image/upload/f_auto,q_auto/league/nijmaqsa0uggtjzmpzgy</t>
  </si>
  <si>
    <t>00-0038551</t>
  </si>
  <si>
    <t>K.Miller</t>
  </si>
  <si>
    <t>https://static.www.nfl.com/image/upload/f_auto,q_auto/league/jz3mpvifmldus3ipdvu1</t>
  </si>
  <si>
    <t>00-0038552</t>
  </si>
  <si>
    <t>R.Moss</t>
  </si>
  <si>
    <t>Riley Moss</t>
  </si>
  <si>
    <t>https://static.www.nfl.com/image/upload/f_auto,q_auto/league/ien8dnxggtcrizatnuom</t>
  </si>
  <si>
    <t>00-0038553</t>
  </si>
  <si>
    <t>D.Henley</t>
  </si>
  <si>
    <t>Daiyan Henley</t>
  </si>
  <si>
    <t>https://static.www.nfl.com/image/upload/f_auto,q_auto/league/rkogtmgnthxju5bqrtx1</t>
  </si>
  <si>
    <t>00-0038554</t>
  </si>
  <si>
    <t>J.Brown</t>
  </si>
  <si>
    <t>Ji'Ayir Brown</t>
  </si>
  <si>
    <t>https://static.www.nfl.com/image/upload/f_auto,q_auto/league/gmgewszcsvxdb63dmqby</t>
  </si>
  <si>
    <t>00-0038555</t>
  </si>
  <si>
    <t>T.Bigsby</t>
  </si>
  <si>
    <t>https://static.www.nfl.com/image/upload/f_auto,q_auto/league/nin8aexyipca7g7u7f4a</t>
  </si>
  <si>
    <t>00-0038556</t>
  </si>
  <si>
    <t>D.Overshown</t>
  </si>
  <si>
    <t>DeMarvion Overshown</t>
  </si>
  <si>
    <t>https://static.www.nfl.com/image/upload/f_auto,q_auto/league/oqcnkayaza1vcmhiyky4</t>
  </si>
  <si>
    <t>00-0038557</t>
  </si>
  <si>
    <t>Dorian Williams</t>
  </si>
  <si>
    <t>https://static.www.nfl.com/image/upload/f_auto,q_auto/league/fsslbcbp87yehsofpwg1</t>
  </si>
  <si>
    <t>00-0038558</t>
  </si>
  <si>
    <t>D.Washington</t>
  </si>
  <si>
    <t>https://static.www.nfl.com/image/upload/f_auto,q_auto/league/nza9bxmg2tdtg7wldjct</t>
  </si>
  <si>
    <t>00-0038559</t>
  </si>
  <si>
    <t>https://static.www.nfl.com/image/upload/f_auto,q_auto/league/yc8awtck004bz2a5oeb8</t>
  </si>
  <si>
    <t>00-0038560</t>
  </si>
  <si>
    <t>J.Battle</t>
  </si>
  <si>
    <t>Jordan Battle</t>
  </si>
  <si>
    <t>https://static.www.nfl.com/image/upload/f_auto,q_auto/league/cqndmjyignuar0ekntsy</t>
  </si>
  <si>
    <t>00-0038562</t>
  </si>
  <si>
    <t>J.Moody</t>
  </si>
  <si>
    <t>Jake Moody</t>
  </si>
  <si>
    <t>https://static.www.nfl.com/image/upload/f_auto,q_auto/league/wkqqi3zfucoti8g5ncob</t>
  </si>
  <si>
    <t>32;47;48;41;38;27;39;24;33;38;32;46;39;42;20;29;23;51;56</t>
  </si>
  <si>
    <t>27;24</t>
  </si>
  <si>
    <t>36;48</t>
  </si>
  <si>
    <t>00-0038563</t>
  </si>
  <si>
    <t>T.Tucker</t>
  </si>
  <si>
    <t>https://static.www.nfl.com/image/upload/f_auto,q_auto/league/fsx05ats4azj8mus03d4</t>
  </si>
  <si>
    <t>00-0038564</t>
  </si>
  <si>
    <t>C.Latu</t>
  </si>
  <si>
    <t>https://static.www.nfl.com/image/upload/f_auto,q_auto/league/lpit9rjxtbjkl8jjdk7w</t>
  </si>
  <si>
    <t>00-0038565</t>
  </si>
  <si>
    <t>M.Blackmon</t>
  </si>
  <si>
    <t>Mekhi Blackmon</t>
  </si>
  <si>
    <t>https://static.www.nfl.com/image/upload/f_auto,q_auto/league/uo4d3xkm63u1elamfvxw</t>
  </si>
  <si>
    <t>00-0038567</t>
  </si>
  <si>
    <t>C.Ryland</t>
  </si>
  <si>
    <t>Chad Ryland</t>
  </si>
  <si>
    <t>https://static.www.nfl.com/image/upload/f_auto,q_auto/league/hqbrncv4ktphfcmkf23g</t>
  </si>
  <si>
    <t>42;50;29;47;34;28;33;57;40;44;32;40;39;48;34;26;29;52;38;50;51;25;34;45;56</t>
  </si>
  <si>
    <t>57;58;33;43;63;50;44</t>
  </si>
  <si>
    <t>00-0038568</t>
  </si>
  <si>
    <t>C.Phillips</t>
  </si>
  <si>
    <t>Clark Phillips III</t>
  </si>
  <si>
    <t>https://static.www.nfl.com/image/upload/f_auto,q_auto/league/hamwwwt2yzzd1l7kjj7t</t>
  </si>
  <si>
    <t>00-0038570</t>
  </si>
  <si>
    <t>Ventrell Miller</t>
  </si>
  <si>
    <t>https://static.www.nfl.com/image/upload/f_auto,q_auto/league/gmxgq1mjnbdjjpcggamn</t>
  </si>
  <si>
    <t>00-0038571</t>
  </si>
  <si>
    <t>J.Gaines</t>
  </si>
  <si>
    <t>Jon Gaines II</t>
  </si>
  <si>
    <t>https://static.www.nfl.com/image/upload/f_auto,q_auto/league/fz0ka8wofw3dvqr6whnv</t>
  </si>
  <si>
    <t>00-0038573</t>
  </si>
  <si>
    <t>https://static.www.nfl.com/image/upload/f_auto,q_auto/league/if9lcwax4p0gwlqswr1y</t>
  </si>
  <si>
    <t>00-0038574</t>
  </si>
  <si>
    <t>I.McGuire</t>
  </si>
  <si>
    <t>Isaiah McGuire</t>
  </si>
  <si>
    <t>https://static.www.nfl.com/image/upload/f_auto,q_auto/league/bgay7c5onbqadb4qjguc</t>
  </si>
  <si>
    <t>00-0038576</t>
  </si>
  <si>
    <t>https://static.www.nfl.com/image/upload/f_auto,q_auto/league/rofwl0wrsdqnfvv4iokq</t>
  </si>
  <si>
    <t>00-0038577</t>
  </si>
  <si>
    <t>N.Herbig</t>
  </si>
  <si>
    <t>Nick Herbig</t>
  </si>
  <si>
    <t>https://static.www.nfl.com/image/upload/f_auto,q_auto/league/x2pdurg2nwxy1tiyfeac</t>
  </si>
  <si>
    <t>00-0038578</t>
  </si>
  <si>
    <t>Jay Ward</t>
  </si>
  <si>
    <t>https://static.www.nfl.com/image/upload/f_auto,q_auto/league/c3y0kln3tvfhyw5e3nbt</t>
  </si>
  <si>
    <t>00-0038579</t>
  </si>
  <si>
    <t>A.O'Connell</t>
  </si>
  <si>
    <t>Aidan O'Connell</t>
  </si>
  <si>
    <t>https://static.www.nfl.com/image/upload/f_auto,q_auto/league/bcejxo7ofgk5pszhup12</t>
  </si>
  <si>
    <t>00-0038580</t>
  </si>
  <si>
    <t>Y.Abdullah</t>
  </si>
  <si>
    <t>Yasir Abdullah</t>
  </si>
  <si>
    <t>https://static.www.nfl.com/image/upload/f_auto,q_auto/league/xcqrvdytgfa12io99n2w</t>
  </si>
  <si>
    <t>00-0038582</t>
  </si>
  <si>
    <t>C.Tune</t>
  </si>
  <si>
    <t>Clayton Tune</t>
  </si>
  <si>
    <t>https://static.www.nfl.com/image/upload/f_auto,q_auto/league/qf8khbyllgjzfyqd3yuz</t>
  </si>
  <si>
    <t>00-0038585</t>
  </si>
  <si>
    <t>C.Mitchell</t>
  </si>
  <si>
    <t>Cameron Mitchell</t>
  </si>
  <si>
    <t>https://static.www.nfl.com/image/upload/f_auto,q_auto/league/ozye3yup4gplbpdy23ig</t>
  </si>
  <si>
    <t>00-0038586</t>
  </si>
  <si>
    <t>A.Mafi</t>
  </si>
  <si>
    <t>Atonio Mafi</t>
  </si>
  <si>
    <t>https://static.www.nfl.com/image/upload/f_auto,q_auto/league/xdqzggyys7bapcjjajcl</t>
  </si>
  <si>
    <t>00-0038587</t>
  </si>
  <si>
    <t>J.Robinson</t>
  </si>
  <si>
    <t>Jammie Robinson</t>
  </si>
  <si>
    <t>https://static.www.nfl.com/image/upload/f_auto,q_auto/league/ngfibwfaxwwdtwqe40qy</t>
  </si>
  <si>
    <t>00-0038588</t>
  </si>
  <si>
    <t>J.Howden</t>
  </si>
  <si>
    <t>Jordan Howden</t>
  </si>
  <si>
    <t>https://static.www.nfl.com/image/upload/f_auto,q_auto/league/x87djeswtkpxvuvyw5xh</t>
  </si>
  <si>
    <t>00-0038589</t>
  </si>
  <si>
    <t>J.Whyle</t>
  </si>
  <si>
    <t>https://static.www.nfl.com/image/upload/f_auto,q_auto/league/anwoxedspnle4xdk0cnl</t>
  </si>
  <si>
    <t>00-0038590</t>
  </si>
  <si>
    <t>J.Shorter</t>
  </si>
  <si>
    <t>https://static.www.nfl.com/image/upload/f_auto,q_auto/league/htymyxoyw1hh52zoo3lb</t>
  </si>
  <si>
    <t>00-0038591</t>
  </si>
  <si>
    <t>M.Morris</t>
  </si>
  <si>
    <t>Mike Morris</t>
  </si>
  <si>
    <t>https://static.www.nfl.com/image/upload/f_auto,q_auto/league/hknu9azwhvn7pq4tfaiz</t>
  </si>
  <si>
    <t>00-0038593</t>
  </si>
  <si>
    <t>O.Oluwatimi</t>
  </si>
  <si>
    <t>Olu Oluwatimi</t>
  </si>
  <si>
    <t>https://static.www.nfl.com/image/upload/f_auto,q_auto/league/tckr2bfo3rzwbhzuppsh</t>
  </si>
  <si>
    <t>00-0038594</t>
  </si>
  <si>
    <t>D.Luter</t>
  </si>
  <si>
    <t>Darrell Luter Jr.</t>
  </si>
  <si>
    <t>https://static.www.nfl.com/image/upload/f_auto,q_auto/league/c7i5bj3inrno1uvjxwv4</t>
  </si>
  <si>
    <t>00-0038596</t>
  </si>
  <si>
    <t>An.Johnson</t>
  </si>
  <si>
    <t>Antonio Johnson</t>
  </si>
  <si>
    <t>https://static.www.nfl.com/image/upload/f_auto,q_auto/league/zpd9kentvqmeamoeg6g1</t>
  </si>
  <si>
    <t>00-0038597</t>
  </si>
  <si>
    <t>C.Brown</t>
  </si>
  <si>
    <t>https://static.www.nfl.com/image/upload/f_auto,q_auto/league/pv3sq3uzosixxexbznq5</t>
  </si>
  <si>
    <t>00-0038599</t>
  </si>
  <si>
    <t>H.To'oTo'o</t>
  </si>
  <si>
    <t>Henry To'oTo'o</t>
  </si>
  <si>
    <t>https://static.www.nfl.com/image/upload/f_auto,q_auto/league/epsdr0zqlm2vrhizwama</t>
  </si>
  <si>
    <t>00-0038600</t>
  </si>
  <si>
    <t>O.Pappoe</t>
  </si>
  <si>
    <t>Owen Pappoe</t>
  </si>
  <si>
    <t>https://static.www.nfl.com/image/upload/f_auto,q_auto/league/in0wnyee7iv62hkgvnhf</t>
  </si>
  <si>
    <t>00-0038601</t>
  </si>
  <si>
    <t>A.Richards</t>
  </si>
  <si>
    <t>Asim Richards</t>
  </si>
  <si>
    <t>https://static.www.nfl.com/image/upload/f_auto,q_auto/league/kulqn4db5ffrf6xwzd2c</t>
  </si>
  <si>
    <t>00-0038602</t>
  </si>
  <si>
    <t>C.Smith</t>
  </si>
  <si>
    <t>Chris Smith II</t>
  </si>
  <si>
    <t>https://static.www.nfl.com/image/upload/f_auto,q_auto/league/vada29u8cv7aooueespg</t>
  </si>
  <si>
    <t>00-0038603</t>
  </si>
  <si>
    <t>R.Beal</t>
  </si>
  <si>
    <t>Robert Beal Jr.</t>
  </si>
  <si>
    <t>https://static.www.nfl.com/image/upload/f_auto,q_auto/league/yuxokzgzu2p3o68w0wfx</t>
  </si>
  <si>
    <t>00-0038605</t>
  </si>
  <si>
    <t>J.Skinner</t>
  </si>
  <si>
    <t>JL Skinner</t>
  </si>
  <si>
    <t>https://static.www.nfl.com/image/upload/f_auto,q_auto/league/pss2lrg9jx4qauwyu3hu</t>
  </si>
  <si>
    <t>00-0038606</t>
  </si>
  <si>
    <t>P.Washington</t>
  </si>
  <si>
    <t>https://static.www.nfl.com/image/upload/f_auto,q_auto/league/sqgxayp6nrrpvwonksdm</t>
  </si>
  <si>
    <t>00-0038608</t>
  </si>
  <si>
    <t>K.Boutte</t>
  </si>
  <si>
    <t>https://static.www.nfl.com/image/upload/f_auto,q_auto/league/mg4icjqhwhnc5uobmau5</t>
  </si>
  <si>
    <t>00-0038609</t>
  </si>
  <si>
    <t>L.Wypler</t>
  </si>
  <si>
    <t>Luke Wypler</t>
  </si>
  <si>
    <t>https://static.www.nfl.com/image/upload/f_auto,q_auto/league/alkthyatyuxkudodqhke</t>
  </si>
  <si>
    <t>00-0038610</t>
  </si>
  <si>
    <t>B.Baringer</t>
  </si>
  <si>
    <t>Bryce Baringer</t>
  </si>
  <si>
    <t>https://static.www.nfl.com/image/upload/f_auto,q_auto/league/chin7dbgay28deurzjbb</t>
  </si>
  <si>
    <t>00-0038611</t>
  </si>
  <si>
    <t>C.Rodriguez</t>
  </si>
  <si>
    <t>https://static.www.nfl.com/image/upload/f_auto,q_auto/league/z5nbh1nza9je683o17h1</t>
  </si>
  <si>
    <t>00-0038613</t>
  </si>
  <si>
    <t>Jerrick Reed II</t>
  </si>
  <si>
    <t>https://static.www.nfl.com/image/upload/f_auto,q_auto/league/jdg6nd5cot2srdfixjnv</t>
  </si>
  <si>
    <t>00-0038614</t>
  </si>
  <si>
    <t>S.Matlock</t>
  </si>
  <si>
    <t>Scott Matlock</t>
  </si>
  <si>
    <t>https://static.www.nfl.com/image/upload/f_auto,q_auto/league/cuk2ssb69ywuhputouz8</t>
  </si>
  <si>
    <t>00-0038615</t>
  </si>
  <si>
    <t>Jarrett Patterson</t>
  </si>
  <si>
    <t>https://static.www.nfl.com/image/upload/f_auto,q_auto/league/etaxd4fgrxgfeygli9af</t>
  </si>
  <si>
    <t>00-0038616</t>
  </si>
  <si>
    <t>C.Braswell</t>
  </si>
  <si>
    <t>Christian Braswell</t>
  </si>
  <si>
    <t>https://static.www.nfl.com/image/upload/f_auto,q_auto/league/jhh2vnmqgpzew31qkkct</t>
  </si>
  <si>
    <t>00-0038618</t>
  </si>
  <si>
    <t>X.Hutchinson</t>
  </si>
  <si>
    <t>https://static.www.nfl.com/image/upload/f_auto,q_auto/league/hv3mfhadliph08b4pl4s</t>
  </si>
  <si>
    <t>00-0038619</t>
  </si>
  <si>
    <t>A.Iosivas</t>
  </si>
  <si>
    <t>https://static.www.nfl.com/image/upload/f_auto,q_auto/league/zvanfldklpds1gp08bsp</t>
  </si>
  <si>
    <t>00-0038620</t>
  </si>
  <si>
    <t>E.Hallett</t>
  </si>
  <si>
    <t>Erick Hallett</t>
  </si>
  <si>
    <t>https://static.www.nfl.com/image/upload/f_auto,q_auto/league/hnpxgdu65sr9w51rkp6g</t>
  </si>
  <si>
    <t>00-0038621</t>
  </si>
  <si>
    <t>D.Douglas</t>
  </si>
  <si>
    <t>https://static.www.nfl.com/image/upload/f_auto,q_auto/league/almsm6nmovpasu8ts9u3</t>
  </si>
  <si>
    <t>00-0038623</t>
  </si>
  <si>
    <t>D.Stills</t>
  </si>
  <si>
    <t>Dante Stills</t>
  </si>
  <si>
    <t>https://static.www.nfl.com/image/upload/f_auto,q_auto/league/aqvvpt76ifof0r42hsgg</t>
  </si>
  <si>
    <t>00-0038624</t>
  </si>
  <si>
    <t>A.Speed</t>
  </si>
  <si>
    <t>Ameer Speed</t>
  </si>
  <si>
    <t>https://static.www.nfl.com/image/upload/f_auto,q_auto/league/o9d89l2prvb5k7uawpzi</t>
  </si>
  <si>
    <t>00-0038625</t>
  </si>
  <si>
    <t>D.Winters</t>
  </si>
  <si>
    <t>Dee Winters</t>
  </si>
  <si>
    <t>https://static.www.nfl.com/image/upload/f_auto,q_auto/league/uq6qbsrwlkhnu7lsrejj</t>
  </si>
  <si>
    <t>00-0038626</t>
  </si>
  <si>
    <t>B.Robbins</t>
  </si>
  <si>
    <t>Brad Robbins</t>
  </si>
  <si>
    <t>https://static.www.nfl.com/image/upload/f_auto,q_auto/league/vhvczed44djnv8vrfwly</t>
  </si>
  <si>
    <t>00-0038628</t>
  </si>
  <si>
    <t>D.Hellams</t>
  </si>
  <si>
    <t>DeMarcco Hellams</t>
  </si>
  <si>
    <t>https://static.www.nfl.com/image/upload/f_auto,q_auto/league/sgwgvm0vfhjzx2skseii</t>
  </si>
  <si>
    <t>00-0038635</t>
  </si>
  <si>
    <t>Andre Jones Jr.</t>
  </si>
  <si>
    <t>https://static.www.nfl.com/image/upload/f_auto,q_auto/league/gom8feliopfzca4zgdqs</t>
  </si>
  <si>
    <t>00-0038640</t>
  </si>
  <si>
    <t>https://static.www.nfl.com/image/upload/f_auto,q_auto/league/drpljzij7e0e9ojwf0cq</t>
  </si>
  <si>
    <t>00-0038642</t>
  </si>
  <si>
    <t>D.Ivey</t>
  </si>
  <si>
    <t>D.J. Ivey</t>
  </si>
  <si>
    <t>https://static.www.nfl.com/image/upload/f_auto,q_auto/league/bgycp6whsc4bd61aumsq</t>
  </si>
  <si>
    <t>00-0038643</t>
  </si>
  <si>
    <t>B.Willis</t>
  </si>
  <si>
    <t>https://static.www.nfl.com/image/upload/f_auto,q_auto/league/pz1nzzfellquco7nk65e</t>
  </si>
  <si>
    <t>00-0038645</t>
  </si>
  <si>
    <t>S.Anderson</t>
  </si>
  <si>
    <t>Spencer Anderson</t>
  </si>
  <si>
    <t>https://static.www.nfl.com/image/upload/f_auto,q_auto/league/c7wzlwet93jblhklcgax</t>
  </si>
  <si>
    <t>00-0038646</t>
  </si>
  <si>
    <t>A.Austin</t>
  </si>
  <si>
    <t>Alex Austin</t>
  </si>
  <si>
    <t>https://static.www.nfl.com/image/upload/f_auto,q_auto/league/vtgwc8celooprxtaqlb6</t>
  </si>
  <si>
    <t>00-0038647</t>
  </si>
  <si>
    <t>R.Bell</t>
  </si>
  <si>
    <t>https://static.www.nfl.com/image/upload/f_auto,q_auto/league/iz3uiudpv80vgvgjzzej</t>
  </si>
  <si>
    <t>00-0038648</t>
  </si>
  <si>
    <t>J.Graham</t>
  </si>
  <si>
    <t>Jalen Graham</t>
  </si>
  <si>
    <t>https://static.www.nfl.com/image/upload/f_auto,q_auto/league/oxlmlst1qeq1wi0hq0j6</t>
  </si>
  <si>
    <t>00-0038653</t>
  </si>
  <si>
    <t>C.Durden</t>
  </si>
  <si>
    <t>Cory Durden</t>
  </si>
  <si>
    <t>https://static.www.nfl.com/image/upload/f_auto,q_auto/league/cdqrqnmvljjdupjz9wgc</t>
  </si>
  <si>
    <t>00-0038658</t>
  </si>
  <si>
    <t>A.Martinez</t>
  </si>
  <si>
    <t>Adrian Martinez</t>
  </si>
  <si>
    <t>https://static.www.nfl.com/image/upload/f_auto,q_auto/league/uxqlgiljk3wecurnynmg</t>
  </si>
  <si>
    <t>00-0038660</t>
  </si>
  <si>
    <t>T.Nowaske</t>
  </si>
  <si>
    <t>Trevor Nowaske</t>
  </si>
  <si>
    <t>https://static.www.nfl.com/image/upload/f_auto,q_auto/league/kwj6mthtdunxiwdcogz2</t>
  </si>
  <si>
    <t>00-0038678</t>
  </si>
  <si>
    <t>J.Mims</t>
  </si>
  <si>
    <t>Jordan Mims</t>
  </si>
  <si>
    <t>https://static.www.nfl.com/image/upload/f_auto,q_auto/league/nvamfcrdqvkwtnpgmzdh</t>
  </si>
  <si>
    <t>00-0038679</t>
  </si>
  <si>
    <t>T.Shavers</t>
  </si>
  <si>
    <t>https://static.www.nfl.com/image/upload/f_auto,q_auto/league/mfazuecipz3csodtztwc</t>
  </si>
  <si>
    <t>00-0038684</t>
  </si>
  <si>
    <t>E.Bonner</t>
  </si>
  <si>
    <t>Ethan Bonner</t>
  </si>
  <si>
    <t>https://static.www.nfl.com/image/upload/f_auto,q_auto/league/dgnoznkjwxtrum7vg5oe</t>
  </si>
  <si>
    <t>00-0038685</t>
  </si>
  <si>
    <t>C.Brooks</t>
  </si>
  <si>
    <t>https://static.www.nfl.com/image/upload/f_auto,q_auto/league/nnwloijqopel4em6vfhb</t>
  </si>
  <si>
    <t>00-0038694</t>
  </si>
  <si>
    <t>B.Pili</t>
  </si>
  <si>
    <t>Brandon Pili</t>
  </si>
  <si>
    <t>https://static.www.nfl.com/image/upload/f_auto,q_auto/league/hwulhwha4dlvlwapdl4r</t>
  </si>
  <si>
    <t>00-0038696</t>
  </si>
  <si>
    <t>Keidron Smith</t>
  </si>
  <si>
    <t>https://static.www.nfl.com/image/upload/f_auto,q_auto/league/n4vz3f4gd18cfyeqa4ve</t>
  </si>
  <si>
    <t>00-0038703</t>
  </si>
  <si>
    <t>Kendell Brooks</t>
  </si>
  <si>
    <t>https://static.www.nfl.com/image/upload/f_auto,q_auto/league/folwn5nqummgddg3li5y</t>
  </si>
  <si>
    <t>00-0038705</t>
  </si>
  <si>
    <t>E.Demercado</t>
  </si>
  <si>
    <t>https://static.www.nfl.com/image/upload/f_auto,q_auto/league/jasnk9akri8eghfgolsn</t>
  </si>
  <si>
    <t>00-0038710</t>
  </si>
  <si>
    <t>B.Whiteheart</t>
  </si>
  <si>
    <t>https://static.www.nfl.com/image/upload/f_auto,q_auto/league/senw8edxu2ovkg1dbdxs</t>
  </si>
  <si>
    <t>00-0038711</t>
  </si>
  <si>
    <t>M.Diabate</t>
  </si>
  <si>
    <t>Mohamoud Diabate</t>
  </si>
  <si>
    <t>https://static.www.nfl.com/image/upload/f_auto,q_auto/league/clvmbgcxk6mw8gqdzyxa</t>
  </si>
  <si>
    <t>00-0038715</t>
  </si>
  <si>
    <t>R.Hickman</t>
  </si>
  <si>
    <t>Ronnie Hickman Jr.</t>
  </si>
  <si>
    <t>https://static.www.nfl.com/image/upload/f_auto,q_auto/league/ds24p7j86p9mwshsjvbu</t>
  </si>
  <si>
    <t>00-0038720</t>
  </si>
  <si>
    <t>https://static.www.nfl.com/image/upload/f_auto,q_auto/league/yogwwyzq4sydycahhbgw</t>
  </si>
  <si>
    <t>00-0038724</t>
  </si>
  <si>
    <t>A.Gaye</t>
  </si>
  <si>
    <t>Ali Gaye</t>
  </si>
  <si>
    <t>https://static.www.nfl.com/image/upload/f_auto,q_auto/league/albsv8nicyb1weilqhls</t>
  </si>
  <si>
    <t>00-0038728</t>
  </si>
  <si>
    <t>J.Wayne</t>
  </si>
  <si>
    <t>https://static.www.nfl.com/image/upload/f_auto,q_auto/league/gvyy4ez9taf0kmxx7t5w</t>
  </si>
  <si>
    <t>00-0038731</t>
  </si>
  <si>
    <t>T.Bass</t>
  </si>
  <si>
    <t>TJ Bass</t>
  </si>
  <si>
    <t>https://static.www.nfl.com/image/upload/f_auto,q_auto/league/hnmg3ncfxso056ybw5zz</t>
  </si>
  <si>
    <t>00-0038735</t>
  </si>
  <si>
    <t>P.Fant</t>
  </si>
  <si>
    <t>https://static.www.nfl.com/image/upload/f_auto,q_auto/league/dh67wj7xhek86nhyucig</t>
  </si>
  <si>
    <t>00-0038738</t>
  </si>
  <si>
    <t>H.Luepke</t>
  </si>
  <si>
    <t>https://static.www.nfl.com/image/upload/f_auto,q_auto/league/buachhzmd8p3hq2olwtf</t>
  </si>
  <si>
    <t>00-0038740</t>
  </si>
  <si>
    <t>J.Moreno-Cropper</t>
  </si>
  <si>
    <t>Jalen Cropper</t>
  </si>
  <si>
    <t>https://static.www.nfl.com/image/upload/f_auto,q_auto/league/key7qkukzlgva9oz7k2r</t>
  </si>
  <si>
    <t>00-0038742</t>
  </si>
  <si>
    <t>T.Wheat</t>
  </si>
  <si>
    <t>Tyrus Wheat</t>
  </si>
  <si>
    <t>https://static.www.nfl.com/image/upload/f_auto,q_auto/league/mismzdnqkzpufwxohzvf</t>
  </si>
  <si>
    <t>00-0038752</t>
  </si>
  <si>
    <t>J.Bobo</t>
  </si>
  <si>
    <t>https://static.www.nfl.com/image/upload/f_auto,q_auto/league/xkwlqqmn2dcjlyeywpw5</t>
  </si>
  <si>
    <t>00-0038764</t>
  </si>
  <si>
    <t>P.O'Connell</t>
  </si>
  <si>
    <t>Patrick O'Connell</t>
  </si>
  <si>
    <t>https://static.www.nfl.com/image/upload/f_auto,q_auto/league/s5wok0ocqr8yc86xhucm</t>
  </si>
  <si>
    <t>00-0038765</t>
  </si>
  <si>
    <t>T.Okada</t>
  </si>
  <si>
    <t>Ty Okada</t>
  </si>
  <si>
    <t>https://static.www.nfl.com/image/upload/f_auto,q_auto/league/qnhwwei8cfomvdveuhg2</t>
  </si>
  <si>
    <t>00-0038769</t>
  </si>
  <si>
    <t>C.Stoll</t>
  </si>
  <si>
    <t>Chris Stoll</t>
  </si>
  <si>
    <t>https://static.www.nfl.com/image/upload/f_auto,q_auto/league/lqeose8mmkyqtdnhirab</t>
  </si>
  <si>
    <t>00-0038778</t>
  </si>
  <si>
    <t>J.Redmond</t>
  </si>
  <si>
    <t>Jalen Redmond</t>
  </si>
  <si>
    <t>https://static.www.nfl.com/image/upload/f_auto,q_auto/league/twjqbuybqow2v6zvpluq</t>
  </si>
  <si>
    <t>00-0038782</t>
  </si>
  <si>
    <t>E.Leota</t>
  </si>
  <si>
    <t>Eku Leota</t>
  </si>
  <si>
    <t>https://static.www.nfl.com/image/upload/f_auto,q_auto/league/omtbxuvxr6jedl4ukduv</t>
  </si>
  <si>
    <t>00-0038783</t>
  </si>
  <si>
    <t>N.Adkins</t>
  </si>
  <si>
    <t>https://static.www.nfl.com/image/upload/f_auto,q_auto/league/k3js5r3a9fl0q2gghqmv</t>
  </si>
  <si>
    <t>00-0038788</t>
  </si>
  <si>
    <t>Art Green</t>
  </si>
  <si>
    <t>https://static.www.nfl.com/image/upload/f_auto,q_auto/league/ubfznl2ifvpvai5cfftv</t>
  </si>
  <si>
    <t>00-0038791</t>
  </si>
  <si>
    <t>T.Incoom</t>
  </si>
  <si>
    <t>Thomas Incoom</t>
  </si>
  <si>
    <t>https://static.www.nfl.com/image/upload/f_auto,q_auto/league/fdp1jblpdjc6l7nw8u8a</t>
  </si>
  <si>
    <t>00-0038794</t>
  </si>
  <si>
    <t>J.McLaughlin</t>
  </si>
  <si>
    <t>https://static.www.nfl.com/image/upload/f_auto,q_auto/league/pw2tngyy8k8jlb1qpooo</t>
  </si>
  <si>
    <t>00-0038795</t>
  </si>
  <si>
    <t>P.Mustipher</t>
  </si>
  <si>
    <t>PJ Mustipher</t>
  </si>
  <si>
    <t>https://static.www.nfl.com/image/upload/f_auto,q_auto/league/z6ege6sbkke2esr7vx0u</t>
  </si>
  <si>
    <t>00-0038796</t>
  </si>
  <si>
    <t>A.Palczewski</t>
  </si>
  <si>
    <t>Alex Palczewski</t>
  </si>
  <si>
    <t>https://static.www.nfl.com/image/upload/f_auto,q_auto/league/xxzowzlubkllg1hzn0cg</t>
  </si>
  <si>
    <t>00-0038797</t>
  </si>
  <si>
    <t>https://static.www.nfl.com/image/upload/f_auto,q_auto/league/xni9gnwmhdex7h1ey3jq</t>
  </si>
  <si>
    <t>00-0038807</t>
  </si>
  <si>
    <t>I.Pace</t>
  </si>
  <si>
    <t>Ivan Pace Jr.</t>
  </si>
  <si>
    <t>https://static.www.nfl.com/image/upload/f_auto,q_auto/league/til1eiumoueha3mnindj</t>
  </si>
  <si>
    <t>00-0038809</t>
  </si>
  <si>
    <t>B.Sims</t>
  </si>
  <si>
    <t>https://static.www.nfl.com/image/upload/f_auto,q_auto/league/ew1gt7xokysjzgksmzfq</t>
  </si>
  <si>
    <t>00-0038817</t>
  </si>
  <si>
    <t>E.Deckers</t>
  </si>
  <si>
    <t>Evan Deckers</t>
  </si>
  <si>
    <t>https://static.www.nfl.com/image/upload/f_auto,q_auto/league/n9x9jg2atisyohdcpbrh</t>
  </si>
  <si>
    <t>00-0038818</t>
  </si>
  <si>
    <t>L.Haggard</t>
  </si>
  <si>
    <t>Luke Haggard</t>
  </si>
  <si>
    <t>https://static.www.nfl.com/image/upload/f_auto,q_auto/league/cq9lilfcoz4je17ryjlo</t>
  </si>
  <si>
    <t>00-0038820</t>
  </si>
  <si>
    <t>C.Izien</t>
  </si>
  <si>
    <t>Christian Izien</t>
  </si>
  <si>
    <t>https://static.www.nfl.com/image/upload/f_auto,q_auto/league/klbosecrlbeeqvuts8l4</t>
  </si>
  <si>
    <t>00-0038823</t>
  </si>
  <si>
    <t>K.Merriweather</t>
  </si>
  <si>
    <t>Kaevon Merriweather</t>
  </si>
  <si>
    <t>https://static.www.nfl.com/image/upload/f_auto,q_auto/league/tglrg1tbq9ixnb81ala0</t>
  </si>
  <si>
    <t>00-0038824</t>
  </si>
  <si>
    <t>R.Miller</t>
  </si>
  <si>
    <t>https://static.www.nfl.com/image/upload/f_auto,q_auto/league/lakkaed2btx1ndkqj2pt</t>
  </si>
  <si>
    <t>00-0038839</t>
  </si>
  <si>
    <t>M.Tinsley</t>
  </si>
  <si>
    <t>https://static.www.nfl.com/image/upload/f_auto,q_auto/league/t4h8qtzndtvf6is6naew</t>
  </si>
  <si>
    <t>00-0038840</t>
  </si>
  <si>
    <t>B.Tremayne</t>
  </si>
  <si>
    <t>https://static.www.nfl.com/image/upload/f_auto,q_auto/league/mpjkirsgrx6qavqrdum6</t>
  </si>
  <si>
    <t>00-0038841</t>
  </si>
  <si>
    <t>N.Whiteside</t>
  </si>
  <si>
    <t>Nick Whiteside</t>
  </si>
  <si>
    <t>https://static.www.nfl.com/image/upload/f_auto,q_auto/league/j0pukchzjtdenj8mw6os</t>
  </si>
  <si>
    <t>00-0038851</t>
  </si>
  <si>
    <t>C.Murphy</t>
  </si>
  <si>
    <t>Caleb Murphy</t>
  </si>
  <si>
    <t>https://static.www.nfl.com/image/upload/f_auto,q_auto/league/qenmdl6vsivdtjpj9mvk</t>
  </si>
  <si>
    <t>00-0038852</t>
  </si>
  <si>
    <t>J.Ojukwu</t>
  </si>
  <si>
    <t>John Ojukwu</t>
  </si>
  <si>
    <t>https://static.www.nfl.com/image/upload/f_auto,q_auto/league/bboicl6b5fakzgphkplg</t>
  </si>
  <si>
    <t>00-0038877</t>
  </si>
  <si>
    <t>D.Jamison</t>
  </si>
  <si>
    <t>D'Shawn Jamison</t>
  </si>
  <si>
    <t>https://static.www.nfl.com/image/upload/f_auto,q_auto/league/tpz66swcddlot6x1lcfz</t>
  </si>
  <si>
    <t>00-0038890</t>
  </si>
  <si>
    <t>S.Heyward</t>
  </si>
  <si>
    <t>Shaka Heyward</t>
  </si>
  <si>
    <t>https://static.www.nfl.com/image/upload/f_auto,q_auto/league/iyfys24q8kfywfgipkni</t>
  </si>
  <si>
    <t>00-0038891</t>
  </si>
  <si>
    <t>S.Jackson</t>
  </si>
  <si>
    <t>https://static.www.nfl.com/image/upload/f_auto,q_auto/league/el1geev5wxc1cqbbrou7</t>
  </si>
  <si>
    <t>00-0038896</t>
  </si>
  <si>
    <t>J.Saylors</t>
  </si>
  <si>
    <t>https://static.www.nfl.com/image/upload/f_auto,q_auto/league/ka2sa8lwtxlij52jimtu</t>
  </si>
  <si>
    <t>00-0038905</t>
  </si>
  <si>
    <t>B.Grupe</t>
  </si>
  <si>
    <t>Blake Grupe</t>
  </si>
  <si>
    <t>https://static.www.nfl.com/image/upload/f_auto,q_auto/league/de3vz6xjjo9paba6encd</t>
  </si>
  <si>
    <t>36;28;27;23;54;35;28;53;29;28;34;48;38;54;48;39;20;33;28;36;42;54;60;39;51;33;50;39;22</t>
  </si>
  <si>
    <t>37;40;52;52;46;53;38;47</t>
  </si>
  <si>
    <t>00-0038911</t>
  </si>
  <si>
    <t>M.Cunningham</t>
  </si>
  <si>
    <t>https://static.www.nfl.com/image/upload/f_auto,q_auto/league/pspxhbxgnqanfsrcf7ux</t>
  </si>
  <si>
    <t>00-0038922</t>
  </si>
  <si>
    <t>Drake Thomas</t>
  </si>
  <si>
    <t>https://static.www.nfl.com/image/upload/f_auto,q_auto/league/egqpcx91rp0iadqqxu2v</t>
  </si>
  <si>
    <t>00-0038932</t>
  </si>
  <si>
    <t>D.Wright</t>
  </si>
  <si>
    <t>Darnell Wright</t>
  </si>
  <si>
    <t>https://static.www.nfl.com/image/upload/f_auto,q_auto/league/ihow3o7fo62p8abdqgn3</t>
  </si>
  <si>
    <t>00-0038933</t>
  </si>
  <si>
    <t>D.Kincaid</t>
  </si>
  <si>
    <t>https://static.www.nfl.com/image/upload/f_auto,q_auto/league/zwkeaiecuyafkidllebz</t>
  </si>
  <si>
    <t>00-0038934</t>
  </si>
  <si>
    <t>A.Harrison</t>
  </si>
  <si>
    <t>Anton Harrison</t>
  </si>
  <si>
    <t>https://static.www.nfl.com/image/upload/f_auto,q_auto/league/zgvchtxhtni7sablqnu9</t>
  </si>
  <si>
    <t>00-0038935</t>
  </si>
  <si>
    <t>B.Strange</t>
  </si>
  <si>
    <t>https://static.www.nfl.com/image/upload/f_auto,q_auto/league/yabpcvadjlrkxzducv7k</t>
  </si>
  <si>
    <t>00-0038936</t>
  </si>
  <si>
    <t>J.Scruggs</t>
  </si>
  <si>
    <t>Juice Scruggs</t>
  </si>
  <si>
    <t>https://static.www.nfl.com/image/upload/f_auto,q_auto/league/k4ptrnct4nayobia4qcw</t>
  </si>
  <si>
    <t>00-0038937</t>
  </si>
  <si>
    <t>Z.Pickens</t>
  </si>
  <si>
    <t>Zacch Pickens</t>
  </si>
  <si>
    <t>https://static.www.nfl.com/image/upload/f_auto,q_auto/league/gd66kzu0v4hgipt6lppc</t>
  </si>
  <si>
    <t>00-0038938</t>
  </si>
  <si>
    <t>J.Hyatt</t>
  </si>
  <si>
    <t>https://static.www.nfl.com/image/upload/f_auto,q_auto/league/bzyn9cpmwfqjtztwblmy</t>
  </si>
  <si>
    <t>00-0038940</t>
  </si>
  <si>
    <t>T.Lacy</t>
  </si>
  <si>
    <t>Tyler Lacy</t>
  </si>
  <si>
    <t>https://static.www.nfl.com/image/upload/f_auto,q_auto/league/t11eflx8jvobxmnssg22</t>
  </si>
  <si>
    <t>00-0038951</t>
  </si>
  <si>
    <t>S.Tucker</t>
  </si>
  <si>
    <t>https://static.www.nfl.com/image/upload/f_auto,q_auto/league/zyzp7e2gos47ebzur9gi</t>
  </si>
  <si>
    <t>00-0038953</t>
  </si>
  <si>
    <t>D.Drummond</t>
  </si>
  <si>
    <t>https://static.www.nfl.com/image/upload/f_auto,q_auto/league/up6bfwtgftqcvlfshtmt</t>
  </si>
  <si>
    <t>00-0038958</t>
  </si>
  <si>
    <t>M.Watts</t>
  </si>
  <si>
    <t>Markees Watts</t>
  </si>
  <si>
    <t>https://static.www.nfl.com/image/upload/f_auto,q_auto/league/hwxh3ps9lwnj0qu4mw8v</t>
  </si>
  <si>
    <t>00-0038966</t>
  </si>
  <si>
    <t>N.Brooks</t>
  </si>
  <si>
    <t>Natrone Brooks</t>
  </si>
  <si>
    <t>https://static.www.nfl.com/image/upload/f_auto,q_auto/league/oyyrzk7ofcuyu7bdxshe</t>
  </si>
  <si>
    <t>00-0038976</t>
  </si>
  <si>
    <t>M.Mims</t>
  </si>
  <si>
    <t>https://static.www.nfl.com/image/upload/f_auto,q_auto/league/zbdjtph5xplbf4yocz0l</t>
  </si>
  <si>
    <t>00-0038978</t>
  </si>
  <si>
    <t>B.Young</t>
  </si>
  <si>
    <t>Byron Young</t>
  </si>
  <si>
    <t>https://static.www.nfl.com/image/upload/f_auto,q_auto/league/zkjuhizs7now7kfwp9s3</t>
  </si>
  <si>
    <t>00-0038979</t>
  </si>
  <si>
    <t>C.Tillman</t>
  </si>
  <si>
    <t>https://static.www.nfl.com/image/upload/f_auto,q_auto/league/a4mcdjjl1pkxr3etechx</t>
  </si>
  <si>
    <t>00-0038980</t>
  </si>
  <si>
    <t>Z.Harrison</t>
  </si>
  <si>
    <t>Zach Harrison</t>
  </si>
  <si>
    <t>https://static.www.nfl.com/image/upload/f_auto,q_auto/league/ufhdwcktmkeamlzdcuvg</t>
  </si>
  <si>
    <t>00-0038981</t>
  </si>
  <si>
    <t>W.Morris</t>
  </si>
  <si>
    <t>Wanya Morris</t>
  </si>
  <si>
    <t>https://static.www.nfl.com/image/upload/f_auto,q_auto/league/snaxi8ken7hkapokvwfr</t>
  </si>
  <si>
    <t>00-0038982</t>
  </si>
  <si>
    <t>C.Conner</t>
  </si>
  <si>
    <t>Chamarri Conner</t>
  </si>
  <si>
    <t>https://static.www.nfl.com/image/upload/f_auto,q_auto/league/fzzbwoogfbowestdz7gz</t>
  </si>
  <si>
    <t>00-0038984</t>
  </si>
  <si>
    <t>Kei'Trel Clark</t>
  </si>
  <si>
    <t>https://static.www.nfl.com/image/upload/f_auto,q_auto/league/mcmz4ef4fvvoqapbf8rf</t>
  </si>
  <si>
    <t>00-0038986</t>
  </si>
  <si>
    <t>Nic Jones</t>
  </si>
  <si>
    <t>https://static.www.nfl.com/image/upload/f_auto,q_auto/league/y6vbjn7oqj8j5zm94cwx</t>
  </si>
  <si>
    <t>00-0038994</t>
  </si>
  <si>
    <t>J.Addison</t>
  </si>
  <si>
    <t>https://static.www.nfl.com/image/upload/f_auto,q_auto/league/s2ey8g5memyqvxc52uzy</t>
  </si>
  <si>
    <t>00-0038995</t>
  </si>
  <si>
    <t>B.Bresee</t>
  </si>
  <si>
    <t>Bryan Bresee</t>
  </si>
  <si>
    <t>https://static.www.nfl.com/image/upload/f_auto,q_auto/league/ggluxdivvc7bhfhpfrsl</t>
  </si>
  <si>
    <t>00-0038996</t>
  </si>
  <si>
    <t>T.Kraft</t>
  </si>
  <si>
    <t>https://static.www.nfl.com/image/upload/f_auto,q_auto/league/yr6nj1zqaqg6nbdnxu3q</t>
  </si>
  <si>
    <t>00-0038997</t>
  </si>
  <si>
    <t>J.Downs</t>
  </si>
  <si>
    <t>https://static.www.nfl.com/image/upload/f_auto,q_auto/league/gqozitn9vxnp8acz6wwg</t>
  </si>
  <si>
    <t>00-0039000</t>
  </si>
  <si>
    <t>D.Banks</t>
  </si>
  <si>
    <t>Deonte Banks</t>
  </si>
  <si>
    <t>https://static.www.nfl.com/image/upload/f_auto,q_auto/league/disrzmax4qwvr20oheiw</t>
  </si>
  <si>
    <t>00-0039001</t>
  </si>
  <si>
    <t>T.Steen</t>
  </si>
  <si>
    <t>Tyler Steen</t>
  </si>
  <si>
    <t>https://static.www.nfl.com/image/upload/f_auto,q_auto/league/vql0qqvuq0eqkaolcqep</t>
  </si>
  <si>
    <t>00-0039002</t>
  </si>
  <si>
    <t>Sydney Brown</t>
  </si>
  <si>
    <t>https://static.www.nfl.com/image/upload/f_auto,q_auto/league/r3cwxtqft79kjy5nvpjm</t>
  </si>
  <si>
    <t>00-0039007</t>
  </si>
  <si>
    <t>G.Williams</t>
  </si>
  <si>
    <t>Garrett Williams</t>
  </si>
  <si>
    <t>https://static.www.nfl.com/image/upload/f_auto,q_auto/league/xlczxxctbgim3ynwtsw4</t>
  </si>
  <si>
    <t>00-0039009</t>
  </si>
  <si>
    <t>D.Horton</t>
  </si>
  <si>
    <t>Dylan Horton</t>
  </si>
  <si>
    <t>https://static.www.nfl.com/image/upload/f_auto,q_auto/league/ocqc1uhsjinyou8klloj</t>
  </si>
  <si>
    <t>00-0039013</t>
  </si>
  <si>
    <t>N.Smith</t>
  </si>
  <si>
    <t>Nolan Smith</t>
  </si>
  <si>
    <t>https://static.www.nfl.com/image/upload/f_auto,q_auto/league/mutic3dzmrlfruwqlgcb</t>
  </si>
  <si>
    <t>00-0039014</t>
  </si>
  <si>
    <t>Dawand Jones</t>
  </si>
  <si>
    <t>https://static.www.nfl.com/image/upload/f_auto,q_auto/league/tm5zyhltmnhwcqkutc2u</t>
  </si>
  <si>
    <t>00-0039018</t>
  </si>
  <si>
    <t>J.Campbell</t>
  </si>
  <si>
    <t>Jack Campbell</t>
  </si>
  <si>
    <t>https://static.www.nfl.com/image/upload/f_auto,q_auto/league/mmmtiej4dp5nt7giycwy</t>
  </si>
  <si>
    <t>00-0039019</t>
  </si>
  <si>
    <t>J.Schmitz</t>
  </si>
  <si>
    <t>John Michael Schmitz</t>
  </si>
  <si>
    <t>https://static.www.nfl.com/image/private/f_auto,q_auto/league/viajsunbxleejrou46vu</t>
  </si>
  <si>
    <t>00-0039020</t>
  </si>
  <si>
    <t>A.Bradford</t>
  </si>
  <si>
    <t>Anthony Bradford</t>
  </si>
  <si>
    <t>https://static.www.nfl.com/image/upload/f_auto,q_auto/league/yooqcfbbgozkkkcuhhva</t>
  </si>
  <si>
    <t>00-0039021</t>
  </si>
  <si>
    <t>R.Johnson</t>
  </si>
  <si>
    <t>https://static.www.nfl.com/image/upload/f_auto,q_auto/league/gxzw5kntjivjixre9whh</t>
  </si>
  <si>
    <t>00-0039030</t>
  </si>
  <si>
    <t>J.Andrews</t>
  </si>
  <si>
    <t>Jake Andrews</t>
  </si>
  <si>
    <t>https://static.www.nfl.com/image/upload/f_auto,q_auto/league/r4e0hfluqiwofsnqr2gm</t>
  </si>
  <si>
    <t>00-0039031</t>
  </si>
  <si>
    <t>A.Adebawore</t>
  </si>
  <si>
    <t>Adetomiwa Adebawore</t>
  </si>
  <si>
    <t>https://static.www.nfl.com/image/upload/f_auto,q_auto/league/of8dhgchuzh584ipm4ut</t>
  </si>
  <si>
    <t>00-0039032</t>
  </si>
  <si>
    <t>T.Spears</t>
  </si>
  <si>
    <t>https://static.www.nfl.com/image/upload/f_auto,q_auto/league/fc7vhbtw80einad9hsfu</t>
  </si>
  <si>
    <t>00-0039034</t>
  </si>
  <si>
    <t>P.Skoronski</t>
  </si>
  <si>
    <t>Peter Skoronski</t>
  </si>
  <si>
    <t>https://static.www.nfl.com/image/upload/f_auto,q_auto/league/c4arvhcrnxg0y3vkzgp7</t>
  </si>
  <si>
    <t>00-0039040</t>
  </si>
  <si>
    <t>D.Achane</t>
  </si>
  <si>
    <t>https://static.www.nfl.com/image/upload/f_auto,q_auto/league/xk1xwio0bryfxo1ylweu</t>
  </si>
  <si>
    <t>00-0039041</t>
  </si>
  <si>
    <t>E.Higgins</t>
  </si>
  <si>
    <t>https://static.www.nfl.com/image/upload/f_auto,q_auto/league/yjvdxmqromyt64w89bhq</t>
  </si>
  <si>
    <t>00-0039047</t>
  </si>
  <si>
    <t>Derick Hall</t>
  </si>
  <si>
    <t>https://static.www.nfl.com/image/upload/f_auto,q_auto/league/gbzmlna8fujliinb6g33</t>
  </si>
  <si>
    <t>00-0039048</t>
  </si>
  <si>
    <t>M.Bergeron</t>
  </si>
  <si>
    <t>Matthew Bergeron</t>
  </si>
  <si>
    <t>https://static.www.nfl.com/image/upload/f_auto,q_auto/league/lyfj3zqtupagc1yrcdr7</t>
  </si>
  <si>
    <t>00-0039049</t>
  </si>
  <si>
    <t>S.Dennis</t>
  </si>
  <si>
    <t>SirVocea Dennis</t>
  </si>
  <si>
    <t>https://static.www.nfl.com/image/upload/f_auto,q_auto/league/gdi13xin0t60pyxsmjc6</t>
  </si>
  <si>
    <t>00-0039050</t>
  </si>
  <si>
    <t>P.Durham</t>
  </si>
  <si>
    <t>https://static.www.nfl.com/image/upload/f_auto,q_auto/league/ijjyd8bvvkjttepqv82u</t>
  </si>
  <si>
    <t>00-0039051</t>
  </si>
  <si>
    <t>J.Hayes</t>
  </si>
  <si>
    <t>Josh Hayes</t>
  </si>
  <si>
    <t>https://static.www.nfl.com/image/upload/f_auto,q_auto/league/yikjuckgb86cwgym5tf4</t>
  </si>
  <si>
    <t>00-0039054</t>
  </si>
  <si>
    <t>M.Mapu</t>
  </si>
  <si>
    <t>Marte Mapu</t>
  </si>
  <si>
    <t>https://static.www.nfl.com/image/upload/f_auto,q_auto/league/yowcsdwn6r2bh5q2fpa0</t>
  </si>
  <si>
    <t>00-0039058</t>
  </si>
  <si>
    <t>S.Avila</t>
  </si>
  <si>
    <t>Steve Avila</t>
  </si>
  <si>
    <t>https://static.www.nfl.com/image/upload/f_auto,q_auto/league/k8py6unecntq8dio0wrz</t>
  </si>
  <si>
    <t>00-0039059</t>
  </si>
  <si>
    <t>E.Evans</t>
  </si>
  <si>
    <t>Ethan Evans</t>
  </si>
  <si>
    <t>https://static.www.nfl.com/image/upload/f_auto,q_auto/league/xqev6nqi3dzbwf6q5xkg</t>
  </si>
  <si>
    <t>00-0039061</t>
  </si>
  <si>
    <t>Desjuan Johnson</t>
  </si>
  <si>
    <t>https://static.www.nfl.com/image/upload/f_auto,q_auto/league/daqugeefmqpj99qzpjmh</t>
  </si>
  <si>
    <t>00-0039062</t>
  </si>
  <si>
    <t>J.Mingo</t>
  </si>
  <si>
    <t>https://static.www.nfl.com/image/upload/f_auto,q_auto/league/adaubthdtcqe2ez7dw9w</t>
  </si>
  <si>
    <t>00-0039063</t>
  </si>
  <si>
    <t>C.Kancey</t>
  </si>
  <si>
    <t>Calijah Kancey</t>
  </si>
  <si>
    <t>https://static.www.nfl.com/image/upload/f_auto,q_auto/league/idizvzmzmmdkc4dprb0g</t>
  </si>
  <si>
    <t>00-0039064</t>
  </si>
  <si>
    <t>Z.Flowers</t>
  </si>
  <si>
    <t>https://static.www.nfl.com/image/upload/f_auto,q_auto/league/sqqh8gmxdpo55qwpsszj</t>
  </si>
  <si>
    <t>00-0039065</t>
  </si>
  <si>
    <t>S.LaPorta</t>
  </si>
  <si>
    <t>https://static.www.nfl.com/image/upload/f_auto,q_auto/league/qfcy3taaoage00rrl0cc</t>
  </si>
  <si>
    <t>00-0039066</t>
  </si>
  <si>
    <t>M.Mayer</t>
  </si>
  <si>
    <t>https://static.www.nfl.com/image/upload/f_auto,q_auto/league/crb4nzumiww6ftxcyiqm</t>
  </si>
  <si>
    <t>00-0039067</t>
  </si>
  <si>
    <t>R.Rice</t>
  </si>
  <si>
    <t>https://static.www.nfl.com/image/upload/f_auto,q_auto/league/iy0uidp9wokc6a7u8lwq</t>
  </si>
  <si>
    <t>00-0039068</t>
  </si>
  <si>
    <t>Y.Diaby</t>
  </si>
  <si>
    <t>Yaya Diaby</t>
  </si>
  <si>
    <t>https://static.www.nfl.com/image/upload/f_auto,q_auto/league/wccyapm2qdoidjmfveos</t>
  </si>
  <si>
    <t>00-0039070</t>
  </si>
  <si>
    <t>G.Dexter</t>
  </si>
  <si>
    <t>Gervon Dexter Sr.</t>
  </si>
  <si>
    <t>https://static.www.nfl.com/image/private/f_auto,q_auto/league/vj6m4qixxhqmufrr5ilo</t>
  </si>
  <si>
    <t>00-0039071</t>
  </si>
  <si>
    <t>T.Stevenson</t>
  </si>
  <si>
    <t>Tyrique Stevenson</t>
  </si>
  <si>
    <t>https://static.www.nfl.com/image/upload/f_auto,q_auto/league/whzeosd28apu5wrlaixk</t>
  </si>
  <si>
    <t>00-0039072</t>
  </si>
  <si>
    <t>J.Bennett</t>
  </si>
  <si>
    <t>Jakorian Bennett</t>
  </si>
  <si>
    <t>https://static.www.nfl.com/image/upload/f_auto,q_auto/league/faleietqfsmpnhibdhad</t>
  </si>
  <si>
    <t>00-0039074</t>
  </si>
  <si>
    <t>D.Allen</t>
  </si>
  <si>
    <t>https://static.www.nfl.com/image/upload/f_auto,q_auto/league/knzujvs0ge3lozkyilsf</t>
  </si>
  <si>
    <t>00-0039075</t>
  </si>
  <si>
    <t>P.Nacua</t>
  </si>
  <si>
    <t>https://static.www.nfl.com/image/upload/f_auto,q_auto/league/zvi4hdm6fywcekfe7ceb</t>
  </si>
  <si>
    <t>00-0039076</t>
  </si>
  <si>
    <t>N.Hampton</t>
  </si>
  <si>
    <t>Nick Hampton</t>
  </si>
  <si>
    <t>https://static.www.nfl.com/image/upload/f_auto,q_auto/league/pyouk6br5ca950zlofia</t>
  </si>
  <si>
    <t>00-0039108</t>
  </si>
  <si>
    <t>W.Anderson</t>
  </si>
  <si>
    <t>Will Anderson Jr.</t>
  </si>
  <si>
    <t>https://static.www.nfl.com/image/upload/f_auto,q_auto/league/ar9k2r2btzzb10zc0xja</t>
  </si>
  <si>
    <t>00-0039109</t>
  </si>
  <si>
    <t>Broderick Jones</t>
  </si>
  <si>
    <t>https://static.www.nfl.com/image/upload/f_auto,q_auto/league/vaquwulcfwqcn8vaumac</t>
  </si>
  <si>
    <t>00-0039110</t>
  </si>
  <si>
    <t>K.Benton</t>
  </si>
  <si>
    <t>Keeanu Benton</t>
  </si>
  <si>
    <t>https://static.www.nfl.com/image/upload/f_auto,q_auto/league/xhauoqvtf8w00rv8wtwv</t>
  </si>
  <si>
    <t>00-0039111</t>
  </si>
  <si>
    <t>T.Tuipulotu</t>
  </si>
  <si>
    <t>Tuli Tuipulotu</t>
  </si>
  <si>
    <t>https://static.www.nfl.com/image/upload/f_auto,q_auto/league/dxdvukwnw4gk0j5ttihc</t>
  </si>
  <si>
    <t>00-0039112</t>
  </si>
  <si>
    <t>L.Van Ness</t>
  </si>
  <si>
    <t>Lukas Van Ness</t>
  </si>
  <si>
    <t>https://static.www.nfl.com/image/upload/f_auto,q_auto/league/qxrs2r7nvy9k6hlkqvyb</t>
  </si>
  <si>
    <t>00-0039137</t>
  </si>
  <si>
    <t>https://static.www.nfl.com/image/upload/f_auto,q_auto/league/q68ctteciw57fgxh8c4u</t>
  </si>
  <si>
    <t>00-0039138</t>
  </si>
  <si>
    <t>K.Turner</t>
  </si>
  <si>
    <t>Kobie Turner</t>
  </si>
  <si>
    <t>https://static.www.nfl.com/image/upload/f_auto,q_auto/league/tmifh6zibjgxpesgp7bf</t>
  </si>
  <si>
    <t>00-0039139</t>
  </si>
  <si>
    <t>J.Gibbs</t>
  </si>
  <si>
    <t>https://static.www.nfl.com/image/upload/f_auto,q_auto/league/hjxk3judytgsxkqiilre</t>
  </si>
  <si>
    <t>00-0039140</t>
  </si>
  <si>
    <t>K.Ringo</t>
  </si>
  <si>
    <t>Kelee Ringo</t>
  </si>
  <si>
    <t>https://static.www.nfl.com/image/upload/f_auto,q_auto/league/ly44wusmozddh3mx9jqv</t>
  </si>
  <si>
    <t>00-0039141</t>
  </si>
  <si>
    <t>B.Branch</t>
  </si>
  <si>
    <t>Brian Branch</t>
  </si>
  <si>
    <t>https://static.www.nfl.com/image/upload/f_auto,q_auto/league/zcri8hzscyasi2nhjdlk</t>
  </si>
  <si>
    <t>00-0039142</t>
  </si>
  <si>
    <t>W.McDonald</t>
  </si>
  <si>
    <t>Will McDonald IV</t>
  </si>
  <si>
    <t>https://static.www.nfl.com/image/private/f_auto,q_auto/league/nw8aiicw9bjhxaqwbeo9</t>
  </si>
  <si>
    <t>00-0039143</t>
  </si>
  <si>
    <t>I.Foskey</t>
  </si>
  <si>
    <t>Isaiah Foskey</t>
  </si>
  <si>
    <t>https://static.www.nfl.com/image/upload/f_auto,q_auto/league/tp8wa1rbwxtoaabgjm4r</t>
  </si>
  <si>
    <t>00-0039144</t>
  </si>
  <si>
    <t>L.Musgrave</t>
  </si>
  <si>
    <t>https://static.www.nfl.com/image/upload/f_auto,q_auto/league/erqld7keza48co6umuaa</t>
  </si>
  <si>
    <t>00-0039145</t>
  </si>
  <si>
    <t>J.Tippmann</t>
  </si>
  <si>
    <t>Joe Tippmann</t>
  </si>
  <si>
    <t>https://static.www.nfl.com/image/upload/f_auto,q_auto/league/q8sbzzwjkyb42gn9shb3</t>
  </si>
  <si>
    <t>00-0039146</t>
  </si>
  <si>
    <t>https://static.www.nfl.com/image/upload/f_auto,q_auto/league/blh2tfg9qjthqo2g6ot4</t>
  </si>
  <si>
    <t>00-0039147</t>
  </si>
  <si>
    <t>C.Gonzalez</t>
  </si>
  <si>
    <t>Christian Gonzalez</t>
  </si>
  <si>
    <t>https://static.www.nfl.com/image/upload/f_auto,q_auto/league/iua1eh08ixdlgp2qisst</t>
  </si>
  <si>
    <t>00-0039148</t>
  </si>
  <si>
    <t>Keion White</t>
  </si>
  <si>
    <t>https://static.www.nfl.com/image/upload/f_auto,q_auto/league/wkq3kmgtrqxsndffclam</t>
  </si>
  <si>
    <t>00-0039149</t>
  </si>
  <si>
    <t>Q.Martin</t>
  </si>
  <si>
    <t>Quan Martin</t>
  </si>
  <si>
    <t>https://static.www.nfl.com/image/upload/f_auto,q_auto/league/mqvepjtbymevlwn2c7qj</t>
  </si>
  <si>
    <t>00-0039150</t>
  </si>
  <si>
    <t>Bryce Young</t>
  </si>
  <si>
    <t>https://static.www.nfl.com/image/upload/f_auto,q_auto/league/qy1lfhlzhiacsyzzm1j7</t>
  </si>
  <si>
    <t>00-0039151</t>
  </si>
  <si>
    <t>E.Forbes</t>
  </si>
  <si>
    <t>Emmanuel Forbes</t>
  </si>
  <si>
    <t>https://static.www.nfl.com/image/upload/f_auto,q_auto/league/zuqfigu7eadzoeo0uymt</t>
  </si>
  <si>
    <t>00-0039155</t>
  </si>
  <si>
    <t>B.Ojulari</t>
  </si>
  <si>
    <t>BJ Ojulari</t>
  </si>
  <si>
    <t>https://static.www.nfl.com/image/upload/f_auto,q_auto/league/yiulza2bhdta4aegzpnm</t>
  </si>
  <si>
    <t>00-0039156</t>
  </si>
  <si>
    <t>J.Brents</t>
  </si>
  <si>
    <t>Julius Brents</t>
  </si>
  <si>
    <t>https://static.www.nfl.com/image/upload/f_auto,q_auto/league/chqdioyasofpjnu25iqi</t>
  </si>
  <si>
    <t>00-0039157</t>
  </si>
  <si>
    <t>C.Mauch</t>
  </si>
  <si>
    <t>Cody Mauch</t>
  </si>
  <si>
    <t>https://static.www.nfl.com/image/upload/f_auto,q_auto/league/m0851jmhecw29hxwlygs</t>
  </si>
  <si>
    <t>00-0039163</t>
  </si>
  <si>
    <t>C.Stroud</t>
  </si>
  <si>
    <t>C.J. Stroud</t>
  </si>
  <si>
    <t>https://static.www.nfl.com/image/upload/f_auto,q_auto/league/tt4zrtxlhifaljhj0rn7</t>
  </si>
  <si>
    <t>00-0039164</t>
  </si>
  <si>
    <t>A.Richardson</t>
  </si>
  <si>
    <t>Anthony Richardson</t>
  </si>
  <si>
    <t>https://static.www.nfl.com/image/upload/f_auto,q_auto/league/wrddeyklfcgk9qybgofq</t>
  </si>
  <si>
    <t>00-0039165</t>
  </si>
  <si>
    <t>Z.Charbonnet</t>
  </si>
  <si>
    <t>https://static.www.nfl.com/image/upload/f_auto,q_auto/league/jqbzg5e8pdltbnb7hc8p</t>
  </si>
  <si>
    <t>00-0039167</t>
  </si>
  <si>
    <t>J.Porter</t>
  </si>
  <si>
    <t>Joey Porter Jr.</t>
  </si>
  <si>
    <t>https://static.www.nfl.com/image/upload/f_auto,q_auto/league/pcan3dqynqusx1ltmecf</t>
  </si>
  <si>
    <t>00-0039169</t>
  </si>
  <si>
    <t>D.Witherspoon</t>
  </si>
  <si>
    <t>Devon Witherspoon</t>
  </si>
  <si>
    <t>https://static.www.nfl.com/image/upload/f_auto,q_auto/league/zlp8cnwllrdonrcmoxpl</t>
  </si>
  <si>
    <t>00-0039172</t>
  </si>
  <si>
    <t>Jake Bates</t>
  </si>
  <si>
    <t>https://static.www.nfl.com/image/upload/f_auto,q_auto/league/heh3zqyv3tqapnpnzgoj</t>
  </si>
  <si>
    <t>30;27;34;45;48;58;28;58;41;22;28;48;54;37;59;31;38;47;46;24;48;36;48;34;30;25;42</t>
  </si>
  <si>
    <t>55;67;54;43;53</t>
  </si>
  <si>
    <t>45;52</t>
  </si>
  <si>
    <t>00-0039174</t>
  </si>
  <si>
    <t>C.Godrick</t>
  </si>
  <si>
    <t>Chukwuebuka Godrick</t>
  </si>
  <si>
    <t>https://static.www.nfl.com/image/upload/f_auto,q_auto/league/h9r0cgidfchteckppndm</t>
  </si>
  <si>
    <t>00-0039176</t>
  </si>
  <si>
    <t>B.Okoye</t>
  </si>
  <si>
    <t>Basil Okoye</t>
  </si>
  <si>
    <t>https://static.www.nfl.com/image/upload/f_auto,q_auto/league/g0bc8uf6fx9g6myyswi5</t>
  </si>
  <si>
    <t>00-0039178</t>
  </si>
  <si>
    <t>A.Ajiake</t>
  </si>
  <si>
    <t>Austin Ajiake</t>
  </si>
  <si>
    <t>https://static.www.nfl.com/image/upload/f_auto,q_auto/league/oac43hjcupsdhh4ssp6m</t>
  </si>
  <si>
    <t>00-0039207</t>
  </si>
  <si>
    <t>D.Nchami</t>
  </si>
  <si>
    <t>Durell Nchami</t>
  </si>
  <si>
    <t>https://static.www.nfl.com/image/upload/f_auto,q_auto/league/arq8u512zcrrr9nyqjln</t>
  </si>
  <si>
    <t>00-0039229</t>
  </si>
  <si>
    <t>C.Smyth</t>
  </si>
  <si>
    <t>Charlie Smyth</t>
  </si>
  <si>
    <t>https://static.www.nfl.com/image/upload/f_auto,q_auto/league/fpnhcibi3incbg80uc5z</t>
  </si>
  <si>
    <t>56;30;42;47;35;49;36;50;39;56;57;29</t>
  </si>
  <si>
    <t>48;61;43;56</t>
  </si>
  <si>
    <t>00-0039232</t>
  </si>
  <si>
    <t>N.Wiggins</t>
  </si>
  <si>
    <t>Nate Wiggins</t>
  </si>
  <si>
    <t>https://static.www.nfl.com/image/upload/f_auto,q_auto/league/ggnkwrepoggazbn1s2ld</t>
  </si>
  <si>
    <t>00-0039233</t>
  </si>
  <si>
    <t>R.Rosengarten</t>
  </si>
  <si>
    <t>Roger Rosengarten</t>
  </si>
  <si>
    <t>https://static.www.nfl.com/image/upload/f_auto,q_auto/league/yl4hhbcxdtcxqgiezmss</t>
  </si>
  <si>
    <t>00-0039234</t>
  </si>
  <si>
    <t>T.Tampa</t>
  </si>
  <si>
    <t>T.J. Tampa</t>
  </si>
  <si>
    <t>https://static.www.nfl.com/image/upload/f_auto,q_auto/league/poanrufasprugy1q1ulq</t>
  </si>
  <si>
    <t>00-0039235</t>
  </si>
  <si>
    <t>S.Kane</t>
  </si>
  <si>
    <t>Sanoussi Kane</t>
  </si>
  <si>
    <t>https://static.www.nfl.com/image/upload/f_auto,q_auto/league/uj78zgtqjemh0ftylsjd</t>
  </si>
  <si>
    <t>00-0039241</t>
  </si>
  <si>
    <t>B.Brade</t>
  </si>
  <si>
    <t>Beau Brade</t>
  </si>
  <si>
    <t>https://static.www.nfl.com/image/upload/f_auto,q_auto/league/ojsyg4qghwqlpwswlhu9</t>
  </si>
  <si>
    <t>00-0039266</t>
  </si>
  <si>
    <t>K.Milton</t>
  </si>
  <si>
    <t>https://static.www.nfl.com/image/upload/f_auto,q_auto/league/loxc2ylhbuvifty85fqv</t>
  </si>
  <si>
    <t>00-0039267</t>
  </si>
  <si>
    <t>A.Sam</t>
  </si>
  <si>
    <t>Andre' Sam</t>
  </si>
  <si>
    <t>https://static.www.nfl.com/image/upload/f_auto,q_auto/league/ktamly004v1muokcnmc7</t>
  </si>
  <si>
    <t>00-0039284</t>
  </si>
  <si>
    <t>B.McGregor</t>
  </si>
  <si>
    <t>Braiden McGregor</t>
  </si>
  <si>
    <t>https://static.www.nfl.com/image/upload/f_auto,q_auto/league/kk8h8mlhxzthxil6nvrt</t>
  </si>
  <si>
    <t>00-0039285</t>
  </si>
  <si>
    <t>J.Monroe</t>
  </si>
  <si>
    <t>Jarius Monroe</t>
  </si>
  <si>
    <t>https://static.www.nfl.com/image/upload/f_auto,q_auto/league/tea6ronjzs4ulorylah1</t>
  </si>
  <si>
    <t>00-0039288</t>
  </si>
  <si>
    <t>J.Sirmon</t>
  </si>
  <si>
    <t>Jackson Sirmon</t>
  </si>
  <si>
    <t>https://static.www.nfl.com/image/upload/f_auto,q_auto/league/idufv4y0etchs4cvgkad</t>
  </si>
  <si>
    <t>00-0039289</t>
  </si>
  <si>
    <t>L.Taylor</t>
  </si>
  <si>
    <t>Leonard Taylor III</t>
  </si>
  <si>
    <t>https://static.www.nfl.com/image/upload/f_auto,q_auto/league/qfnjnvom3evftnkgwcqg</t>
  </si>
  <si>
    <t>00-0039291</t>
  </si>
  <si>
    <t>E.Watts</t>
  </si>
  <si>
    <t>Eric Watts</t>
  </si>
  <si>
    <t>https://static.www.nfl.com/image/upload/f_auto,q_auto/league/ebgjkljqc8rvtev1iw3r</t>
  </si>
  <si>
    <t>00-0039292</t>
  </si>
  <si>
    <t>S.Bartholomew</t>
  </si>
  <si>
    <t>Shemar Bartholomew</t>
  </si>
  <si>
    <t>https://static.www.nfl.com/image/upload/f_auto,q_auto/league/ru4ecmtvmhs0encmuruv</t>
  </si>
  <si>
    <t>00-0039299</t>
  </si>
  <si>
    <t>G.Holani</t>
  </si>
  <si>
    <t>https://static.www.nfl.com/image/upload/f_auto,q_auto/league/nadkmkb2sqgjhbkpirkg</t>
  </si>
  <si>
    <t>00-0039305</t>
  </si>
  <si>
    <t>J.Westover</t>
  </si>
  <si>
    <t>https://static.www.nfl.com/image/upload/f_auto,q_auto/league/jdqum14r2ihtymt8h1na</t>
  </si>
  <si>
    <t>00-0039309</t>
  </si>
  <si>
    <t>Byron Murphy II</t>
  </si>
  <si>
    <t>https://static.www.nfl.com/image/upload/f_auto,q_auto/league/xeq70yetr8qznbkjjiye</t>
  </si>
  <si>
    <t>00-0039312</t>
  </si>
  <si>
    <t>M.Battle</t>
  </si>
  <si>
    <t>Miles Battle</t>
  </si>
  <si>
    <t>https://static.www.nfl.com/image/upload/f_auto,q_auto/league/fkxenwqrq9evl5r7iuch</t>
  </si>
  <si>
    <t>00-0039313</t>
  </si>
  <si>
    <t>S.Bozeman</t>
  </si>
  <si>
    <t>Swayze Bozeman</t>
  </si>
  <si>
    <t>https://static.www.nfl.com/image/upload/f_auto,q_auto/league/x5fvun7baplarpt8deoq</t>
  </si>
  <si>
    <t>00-0039323</t>
  </si>
  <si>
    <t>R.Rehkow</t>
  </si>
  <si>
    <t>Ryan Rehkow</t>
  </si>
  <si>
    <t>https://static.www.nfl.com/image/upload/f_auto,q_auto/league/kahposyaa7l0zpdvzyoa</t>
  </si>
  <si>
    <t>00-0039324</t>
  </si>
  <si>
    <t>C.Roland-Wallace</t>
  </si>
  <si>
    <t>Christian Roland-Wallace</t>
  </si>
  <si>
    <t>https://static.www.nfl.com/image/upload/f_auto,q_auto/league/foy9ykwmm3vcqgfviowz</t>
  </si>
  <si>
    <t>00-0039332</t>
  </si>
  <si>
    <t>C.Ravenell</t>
  </si>
  <si>
    <t>C.J. Ravenell</t>
  </si>
  <si>
    <t>https://static.www.nfl.com/image/upload/f_auto,q_auto/league/rqjhomavdixcd1tqcge5</t>
  </si>
  <si>
    <t>00-0039333</t>
  </si>
  <si>
    <t>B.Codrington</t>
  </si>
  <si>
    <t>Brandon Codrington</t>
  </si>
  <si>
    <t>https://static.www.nfl.com/image/upload/f_auto,q_auto/league/zcfwdsirygqnl15jnd0m</t>
  </si>
  <si>
    <t>00-0039337</t>
  </si>
  <si>
    <t>M.Nabers</t>
  </si>
  <si>
    <t>https://static.www.nfl.com/image/upload/f_auto,q_auto/league/w3edoyyuomqlovvp9ixc</t>
  </si>
  <si>
    <t>00-0039338</t>
  </si>
  <si>
    <t>B.Bowers</t>
  </si>
  <si>
    <t>https://static.www.nfl.com/image/upload/f_auto,q_auto/league/uzp2ffi0lomamxofsrhy</t>
  </si>
  <si>
    <t>00-0039339</t>
  </si>
  <si>
    <t>T.Fuaga</t>
  </si>
  <si>
    <t>Taliese Fuaga</t>
  </si>
  <si>
    <t>https://static.www.nfl.com/image/upload/f_auto,q_auto/league/b67s32fuqrcohbu78ur5</t>
  </si>
  <si>
    <t>00-0039340</t>
  </si>
  <si>
    <t>L.Latu</t>
  </si>
  <si>
    <t>Laiatu Latu</t>
  </si>
  <si>
    <t>https://static.www.nfl.com/image/upload/f_auto,q_auto/league/upfo1ikqlsmwvbduxqsw</t>
  </si>
  <si>
    <t>00-0039341</t>
  </si>
  <si>
    <t>T.Guyton</t>
  </si>
  <si>
    <t>Tyler Guyton</t>
  </si>
  <si>
    <t>https://static.www.nfl.com/image/upload/f_auto,q_auto/league/vkthsqd2smgoymkspfth</t>
  </si>
  <si>
    <t>00-0039342</t>
  </si>
  <si>
    <t>X.Legette</t>
  </si>
  <si>
    <t>https://static.www.nfl.com/image/upload/f_auto,q_auto/league/j4jj8rvgzji7zut86ux7</t>
  </si>
  <si>
    <t>00-0039343</t>
  </si>
  <si>
    <t>K.Lassiter</t>
  </si>
  <si>
    <t>Kamari Lassiter</t>
  </si>
  <si>
    <t>https://static.www.nfl.com/image/upload/f_auto,q_auto/league/ats8cbxfzajzvwyzwsjb</t>
  </si>
  <si>
    <t>00-0039345</t>
  </si>
  <si>
    <t>R.Green</t>
  </si>
  <si>
    <t>Renardo Green</t>
  </si>
  <si>
    <t>https://static.www.nfl.com/image/upload/f_auto,q_auto/league/reoqk5hmsjugiaed55fk</t>
  </si>
  <si>
    <t>00-0039347</t>
  </si>
  <si>
    <t>Trevin Wallace</t>
  </si>
  <si>
    <t>https://static.www.nfl.com/image/upload/f_auto,q_auto/league/m4dt3rza3lvzhhxsag4u</t>
  </si>
  <si>
    <t>00-0039348</t>
  </si>
  <si>
    <t>C.Beebe</t>
  </si>
  <si>
    <t>Cooper Beebe</t>
  </si>
  <si>
    <t>https://static.www.nfl.com/image/upload/f_auto,q_auto/league/yiwgl1ijhwrkaz881r9r</t>
  </si>
  <si>
    <t>00-0039349</t>
  </si>
  <si>
    <t>D.Glaze</t>
  </si>
  <si>
    <t>DJ Glaze</t>
  </si>
  <si>
    <t>https://static.www.nfl.com/image/upload/f_auto,q_auto/league/yj1mdamgenemfg28e4b9</t>
  </si>
  <si>
    <t>00-0039351</t>
  </si>
  <si>
    <t>D.Puni</t>
  </si>
  <si>
    <t>Dominick Puni</t>
  </si>
  <si>
    <t>https://static.www.nfl.com/image/upload/f_auto,q_auto/league/ig3zuxuiem0nqnrytcls</t>
  </si>
  <si>
    <t>00-0039352</t>
  </si>
  <si>
    <t>M.Liufau</t>
  </si>
  <si>
    <t>Marist Liufau</t>
  </si>
  <si>
    <t>https://static.www.nfl.com/image/upload/f_auto,q_auto/league/voinp0fsdncarxwbgrii</t>
  </si>
  <si>
    <t>00-0039353</t>
  </si>
  <si>
    <t>Jarrian Jones</t>
  </si>
  <si>
    <t>https://static.www.nfl.com/image/upload/f_auto,q_auto/league/h7p71pyzltv3nco6ktkj</t>
  </si>
  <si>
    <t>00-0039354</t>
  </si>
  <si>
    <t>McKinnley Jackson</t>
  </si>
  <si>
    <t>https://static.www.nfl.com/image/upload/f_auto,q_auto/league/qqi681wzmujua627n1db</t>
  </si>
  <si>
    <t>00-0039355</t>
  </si>
  <si>
    <t>L.McCaffrey</t>
  </si>
  <si>
    <t>https://static.www.nfl.com/image/upload/f_auto,q_auto/league/iqzscuxu9lxjfhoyxsjg</t>
  </si>
  <si>
    <t>00-0039356</t>
  </si>
  <si>
    <t>J.Sanders</t>
  </si>
  <si>
    <t>https://static.www.nfl.com/image/upload/f_auto,q_auto/league/le2akm1cbou170ioctxl</t>
  </si>
  <si>
    <t>00-0039357</t>
  </si>
  <si>
    <t>D.Richardson</t>
  </si>
  <si>
    <t>Decamerion Richardson</t>
  </si>
  <si>
    <t>https://static.www.nfl.com/image/upload/f_auto,q_auto/league/l2jarpo9v1hfsmcoqoeb</t>
  </si>
  <si>
    <t>00-0039358</t>
  </si>
  <si>
    <t>M.McCormick</t>
  </si>
  <si>
    <t>Mason McCormick</t>
  </si>
  <si>
    <t>https://static.www.nfl.com/image/upload/f_auto,q_auto/league/yp0vhffpxs7w9efy8nvh</t>
  </si>
  <si>
    <t>00-0039359</t>
  </si>
  <si>
    <t>C.Stover</t>
  </si>
  <si>
    <t>https://static.www.nfl.com/image/upload/f_auto,q_auto/league/ltjwprbwuy9dtyz1dg7y</t>
  </si>
  <si>
    <t>00-0039360</t>
  </si>
  <si>
    <t>M.Mustapha</t>
  </si>
  <si>
    <t>Malik Mustapha</t>
  </si>
  <si>
    <t>https://static.www.nfl.com/image/upload/f_auto,q_auto/league/de6mruukp9ydyppi9ah6</t>
  </si>
  <si>
    <t>00-0039361</t>
  </si>
  <si>
    <t>B.Irving</t>
  </si>
  <si>
    <t>https://static.www.nfl.com/image/upload/f_auto,q_auto/league/hmgpumoxwhvrrkcjuuuw</t>
  </si>
  <si>
    <t>00-0039363</t>
  </si>
  <si>
    <t>I.Guerendo</t>
  </si>
  <si>
    <t>https://static.www.nfl.com/image/upload/f_auto,q_auto/league/lr1qp5tsa5xshzt02urm</t>
  </si>
  <si>
    <t>00-0039364</t>
  </si>
  <si>
    <t>S.Vaki</t>
  </si>
  <si>
    <t>https://static.www.nfl.com/image/upload/f_auto,q_auto/league/jfy4vewdyadb6n1xj2ao</t>
  </si>
  <si>
    <t>00-0039366</t>
  </si>
  <si>
    <t>T.Still</t>
  </si>
  <si>
    <t>Tarheeb Still</t>
  </si>
  <si>
    <t>https://static.www.nfl.com/image/upload/f_auto,q_auto/league/omjsmxcvxrgmkboiauhi</t>
  </si>
  <si>
    <t>00-0039368</t>
  </si>
  <si>
    <t>J.Magee</t>
  </si>
  <si>
    <t>Jordan Magee</t>
  </si>
  <si>
    <t>https://static.www.nfl.com/image/upload/f_auto,q_auto/league/ixr3jyd3kfvwqa5qrawh</t>
  </si>
  <si>
    <t>00-0039369</t>
  </si>
  <si>
    <t>C.Hart</t>
  </si>
  <si>
    <t>Cam Hart</t>
  </si>
  <si>
    <t>https://static.www.nfl.com/image/upload/f_auto,q_auto/league/noczkerfdcdkwl2copl0</t>
  </si>
  <si>
    <t>00-0039370</t>
  </si>
  <si>
    <t>J.Bertrand</t>
  </si>
  <si>
    <t>JD Bertrand</t>
  </si>
  <si>
    <t>https://static.www.nfl.com/image/upload/f_auto,q_auto/league/aiooxohsxjemnkgprgqi</t>
  </si>
  <si>
    <t>00-0039371</t>
  </si>
  <si>
    <t>K.Abrams-Draine</t>
  </si>
  <si>
    <t>Kris Abrams-Draine</t>
  </si>
  <si>
    <t>https://static.www.nfl.com/image/upload/f_auto,q_auto/league/q96h765zxponbrs6cnon</t>
  </si>
  <si>
    <t>00-0039372</t>
  </si>
  <si>
    <t>Jarvis Brownlee Jr.</t>
  </si>
  <si>
    <t>https://static.www.nfl.com/image/upload/f_auto,q_auto/league/u9vm18mpoxmzhukikjy2</t>
  </si>
  <si>
    <t>00-0039373</t>
  </si>
  <si>
    <t>A.Estime</t>
  </si>
  <si>
    <t>Audric EstimÃ©</t>
  </si>
  <si>
    <t>https://static.www.nfl.com/image/upload/f_auto,q_auto/league/lcoend1mysjfhl8f4rrt</t>
  </si>
  <si>
    <t>00-0039374</t>
  </si>
  <si>
    <t>T.Eichenberg</t>
  </si>
  <si>
    <t>Tommy Eichenberg</t>
  </si>
  <si>
    <t>https://static.www.nfl.com/image/upload/f_auto,q_auto/league/nzujkx5ycu6leuz2ctie</t>
  </si>
  <si>
    <t>00-0039375</t>
  </si>
  <si>
    <t>J.Newton</t>
  </si>
  <si>
    <t>Josh Newton</t>
  </si>
  <si>
    <t>https://static.www.nfl.com/image/upload/f_auto,q_auto/league/imssw1izljtqvd1j1nbp</t>
  </si>
  <si>
    <t>00-0039376</t>
  </si>
  <si>
    <t>S.Rattler</t>
  </si>
  <si>
    <t>Spencer Rattler</t>
  </si>
  <si>
    <t>https://static.www.nfl.com/image/upload/f_auto,q_auto/league/uridusydmg6brwrmpmq6</t>
  </si>
  <si>
    <t>00-0039377</t>
  </si>
  <si>
    <t>J.Carlies</t>
  </si>
  <si>
    <t>Jaylon Carlies</t>
  </si>
  <si>
    <t>https://static.www.nfl.com/image/upload/f_auto,q_auto/league/evxurqzj007jgszo4zxz</t>
  </si>
  <si>
    <t>00-0039379</t>
  </si>
  <si>
    <t>J.Thrash</t>
  </si>
  <si>
    <t>https://static.www.nfl.com/image/upload/f_auto,q_auto/league/byihyhwwpltzyetas85a</t>
  </si>
  <si>
    <t>00-0039380</t>
  </si>
  <si>
    <t>C.Smith-Wade</t>
  </si>
  <si>
    <t>Chau Smith-Wade</t>
  </si>
  <si>
    <t>https://static.www.nfl.com/image/upload/f_auto,q_auto/league/zaw1uynft16o6ltvxjpf</t>
  </si>
  <si>
    <t>00-0039383</t>
  </si>
  <si>
    <t>Jaylin Simpson</t>
  </si>
  <si>
    <t>https://static.www.nfl.com/image/upload/f_auto,q_auto/league/nthmqimxeoowstxlj2b6</t>
  </si>
  <si>
    <t>00-0039384</t>
  </si>
  <si>
    <t>T.Tracy</t>
  </si>
  <si>
    <t>https://static.www.nfl.com/image/upload/f_auto,q_auto/league/b9nje50lohbprf06xoom</t>
  </si>
  <si>
    <t>00-0039387</t>
  </si>
  <si>
    <t>C.Carson</t>
  </si>
  <si>
    <t>Caelen Carson</t>
  </si>
  <si>
    <t>https://static.www.nfl.com/image/upload/f_auto,q_auto/league/fh2ndkpodlxgqtvlnrz4</t>
  </si>
  <si>
    <t>00-0039388</t>
  </si>
  <si>
    <t>Jaylan Ford</t>
  </si>
  <si>
    <t>https://static.www.nfl.com/image/upload/f_auto,q_auto/league/qns0y4mrxe7icohn5ewg</t>
  </si>
  <si>
    <t>00-0039389</t>
  </si>
  <si>
    <t>L.Lee</t>
  </si>
  <si>
    <t>Logan Lee</t>
  </si>
  <si>
    <t>https://static.www.nfl.com/image/upload/f_auto,q_auto/league/uqzerr2nojwkwimbldeq</t>
  </si>
  <si>
    <t>00-0039391</t>
  </si>
  <si>
    <t>K.Vidal</t>
  </si>
  <si>
    <t>https://static.www.nfl.com/image/upload/f_auto,q_auto/league/huwihtava8gkxzb4cxb8</t>
  </si>
  <si>
    <t>00-0039394</t>
  </si>
  <si>
    <t>Cas.Washington</t>
  </si>
  <si>
    <t>https://static.www.nfl.com/image/upload/f_auto,q_auto/league/wkoysykj4htld4yajljn</t>
  </si>
  <si>
    <t>00-0039395</t>
  </si>
  <si>
    <t>Jamal Hill</t>
  </si>
  <si>
    <t>https://static.www.nfl.com/image/upload/f_auto,q_auto/league/bgdos2dbar8m6nvgsnjd</t>
  </si>
  <si>
    <t>00-0039396</t>
  </si>
  <si>
    <t>M.Wingo</t>
  </si>
  <si>
    <t>Mekhi Wingo</t>
  </si>
  <si>
    <t>https://static.www.nfl.com/image/upload/f_auto,q_auto/league/ckvl3i75w2bockcqkaxs</t>
  </si>
  <si>
    <t>00-0039398</t>
  </si>
  <si>
    <t>J.Milton</t>
  </si>
  <si>
    <t>Joe Milton III</t>
  </si>
  <si>
    <t>https://static.www.nfl.com/image/upload/f_auto,q_auto/league/tsj9lobse1gxzanf39dt</t>
  </si>
  <si>
    <t>00-0039400</t>
  </si>
  <si>
    <t>Z.Logue</t>
  </si>
  <si>
    <t>Zion Logue</t>
  </si>
  <si>
    <t>https://static.www.nfl.com/image/upload/f_auto,q_auto/league/hjvgh6qokifb6ebk8y96</t>
  </si>
  <si>
    <t>00-0039401</t>
  </si>
  <si>
    <t>K.Boyd</t>
  </si>
  <si>
    <t>Khristian Boyd</t>
  </si>
  <si>
    <t>https://static.www.nfl.com/image/upload/f_auto,q_auto/league/fkztmzly7yp8zquuz1yc</t>
  </si>
  <si>
    <t>00-0039402</t>
  </si>
  <si>
    <t>J.Crumedy</t>
  </si>
  <si>
    <t>Jaden Crumedy</t>
  </si>
  <si>
    <t>https://static.www.nfl.com/image/upload/f_auto,q_auto/league/xmbnm0swk4oqrrnslrn5</t>
  </si>
  <si>
    <t>00-0039404</t>
  </si>
  <si>
    <t>W.Reichard</t>
  </si>
  <si>
    <t>Will Reichard</t>
  </si>
  <si>
    <t>https://static.www.nfl.com/image/upload/f_auto,q_auto/league/r1g0mqxqc23tmqmgdbwm</t>
  </si>
  <si>
    <t>31;59;33;51;35;62;41;28;59;34;28;35;29;54;50;20;49;43;31;52;59;45;29;53;43;31;30;52;56;42;43;25;37</t>
  </si>
  <si>
    <t>51;53</t>
  </si>
  <si>
    <t>00-0039405</t>
  </si>
  <si>
    <t>J.Jordan</t>
  </si>
  <si>
    <t>https://static.www.nfl.com/image/upload/f_auto,q_auto/league/kyopmcyi4hzko3cxiaxy</t>
  </si>
  <si>
    <t>00-0039407</t>
  </si>
  <si>
    <t>D.Laube</t>
  </si>
  <si>
    <t>https://static.www.nfl.com/image/upload/f_auto,q_auto/league/lpizdza73bgksstymv5t</t>
  </si>
  <si>
    <t>00-0039408</t>
  </si>
  <si>
    <t>C.Mahogany</t>
  </si>
  <si>
    <t>Christian Mahogany</t>
  </si>
  <si>
    <t>https://static.www.nfl.com/image/upload/f_auto,q_auto/league/lsxh6dh5fkomkwvfjlwi</t>
  </si>
  <si>
    <t>00-0039409</t>
  </si>
  <si>
    <t>C.Little</t>
  </si>
  <si>
    <t>Cam Little</t>
  </si>
  <si>
    <t>https://static.www.nfl.com/image/upload/f_auto,q_auto/league/pfdod5cds77uznkotipk</t>
  </si>
  <si>
    <t>35;47;36;28;42;25;39;26;44;52;68;33;48;32;53;33;52;52;45;35;48;33;22;47;26;34;42;53;67;52</t>
  </si>
  <si>
    <t>47;47;50;50</t>
  </si>
  <si>
    <t>00-0039410</t>
  </si>
  <si>
    <t>R.Flournoy</t>
  </si>
  <si>
    <t>https://static.www.nfl.com/image/upload/f_auto,q_auto/league/tqwq3cgpqu7j9hzoyicx</t>
  </si>
  <si>
    <t>00-0039411</t>
  </si>
  <si>
    <t>E.Klein</t>
  </si>
  <si>
    <t>Elijah Klein</t>
  </si>
  <si>
    <t>https://static.www.nfl.com/image/upload/f_auto,q_auto/league/icvvhledvoxc3b4exs0f</t>
  </si>
  <si>
    <t>00-0039412</t>
  </si>
  <si>
    <t>J.Jean-Baptiste</t>
  </si>
  <si>
    <t>Javontae Jean-Baptiste</t>
  </si>
  <si>
    <t>https://static.www.nfl.com/image/upload/f_auto,q_auto/league/cgw1mirojztblwmhsz45</t>
  </si>
  <si>
    <t>00-0039414</t>
  </si>
  <si>
    <t>D.Anthony</t>
  </si>
  <si>
    <t>Daijahn Anthony</t>
  </si>
  <si>
    <t>https://static.www.nfl.com/image/upload/f_auto,q_auto/league/wjjlh3vbqicqopz3qda7</t>
  </si>
  <si>
    <t>00-0039416</t>
  </si>
  <si>
    <t>Jaden Davis</t>
  </si>
  <si>
    <t>https://static.www.nfl.com/image/upload/f_auto,q_auto/league/i69ylzegiwwf1qarla1d</t>
  </si>
  <si>
    <t>00-0039417</t>
  </si>
  <si>
    <t>M.Harden</t>
  </si>
  <si>
    <t>Myles Harden</t>
  </si>
  <si>
    <t>https://static.www.nfl.com/image/upload/f_auto,q_auto/league/r8uhacjplbkmlg2uoeou</t>
  </si>
  <si>
    <t>00-0039419</t>
  </si>
  <si>
    <t>M.Jurgens</t>
  </si>
  <si>
    <t>Michael Jurgens</t>
  </si>
  <si>
    <t>https://static.www.nfl.com/image/upload/f_auto,q_auto/league/f30ska1lnevapmv8vait</t>
  </si>
  <si>
    <t>00-0039421</t>
  </si>
  <si>
    <t>L.Rodriguez</t>
  </si>
  <si>
    <t>Levi Drake Rodriguez</t>
  </si>
  <si>
    <t>https://static.www.nfl.com/image/upload/f_auto,q_auto/league/omsedg4telmr0fvhhegj</t>
  </si>
  <si>
    <t>00-0039422</t>
  </si>
  <si>
    <t>N.Thomas</t>
  </si>
  <si>
    <t>Nathan Thomas</t>
  </si>
  <si>
    <t>https://static.www.nfl.com/image/upload/f_auto,q_auto/league/eqezy9smygtojjoshtgt</t>
  </si>
  <si>
    <t>00-0039423</t>
  </si>
  <si>
    <t>J.Laulu</t>
  </si>
  <si>
    <t>Jonah Laulu</t>
  </si>
  <si>
    <t>https://static.www.nfl.com/image/upload/f_auto,q_auto/league/zqjhfs8ufqncqsiuobgh</t>
  </si>
  <si>
    <t>00-0039424</t>
  </si>
  <si>
    <t>D.Vele</t>
  </si>
  <si>
    <t>https://static.www.nfl.com/image/upload/f_auto,q_auto/league/sxlrltvxbb2utwgjgdbt</t>
  </si>
  <si>
    <t>00-0039430</t>
  </si>
  <si>
    <t>James Williams</t>
  </si>
  <si>
    <t>https://static.www.nfl.com/image/upload/f_auto,q_auto/league/r31rpfa1ju3bqddeuhom</t>
  </si>
  <si>
    <t>00-0039431</t>
  </si>
  <si>
    <t>J.Briggs</t>
  </si>
  <si>
    <t>Jowon Briggs</t>
  </si>
  <si>
    <t>https://static.www.nfl.com/image/upload/f_auto,q_auto/league/emqn6acxlbepnozv0cll</t>
  </si>
  <si>
    <t>00-0039435</t>
  </si>
  <si>
    <t>T.Bethune</t>
  </si>
  <si>
    <t>Tatum Bethune</t>
  </si>
  <si>
    <t>https://static.www.nfl.com/image/upload/f_auto,q_auto/league/hbmwbevay9amntpkvfbt</t>
  </si>
  <si>
    <t>00-0039436</t>
  </si>
  <si>
    <t>J.Harrell</t>
  </si>
  <si>
    <t>Jaylen Harrell</t>
  </si>
  <si>
    <t>https://static.www.nfl.com/image/upload/f_auto,q_auto/league/bchqpne0r2pz0plq34pv</t>
  </si>
  <si>
    <t>00-0039442</t>
  </si>
  <si>
    <t>K.Eguakun</t>
  </si>
  <si>
    <t>Kingsley Eguakun</t>
  </si>
  <si>
    <t>https://static.www.nfl.com/image/upload/f_auto,q_auto/league/tybhcfzdfccvnxz4labx</t>
  </si>
  <si>
    <t>00-0039445</t>
  </si>
  <si>
    <t>H.Hatten</t>
  </si>
  <si>
    <t>Hogan Hatten</t>
  </si>
  <si>
    <t>https://static.www.nfl.com/image/upload/f_auto,q_auto/league/kgeurwp926ca1jb9ohyg</t>
  </si>
  <si>
    <t>00-0039448</t>
  </si>
  <si>
    <t>L.Strickland</t>
  </si>
  <si>
    <t>Loren Strickland</t>
  </si>
  <si>
    <t>https://static.www.nfl.com/image/upload/f_auto,q_auto/league/mdjbxwe641g71egv02ru</t>
  </si>
  <si>
    <t>00-0039451</t>
  </si>
  <si>
    <t>I.Williams</t>
  </si>
  <si>
    <t>https://static.www.nfl.com/image/upload/f_auto,q_auto/league/oh3pm7dzgswlgxn371tx</t>
  </si>
  <si>
    <t>00-0039458</t>
  </si>
  <si>
    <t>B.Bates</t>
  </si>
  <si>
    <t>https://static.www.nfl.com/image/upload/f_auto,q_auto/league/th1klervgxrienmlierf</t>
  </si>
  <si>
    <t>00-0039459</t>
  </si>
  <si>
    <t>T.Benedet</t>
  </si>
  <si>
    <t>Theo Benedet</t>
  </si>
  <si>
    <t>https://static.www.nfl.com/image/upload/f_auto,q_auto/league/b1obftpy4k1rwqtp9gec</t>
  </si>
  <si>
    <t>00-0039460</t>
  </si>
  <si>
    <t>Carl Jones</t>
  </si>
  <si>
    <t>https://static.www.nfl.com/image/upload/f_auto,q_auto/league/a4lmh1641vpgogdu5hfy</t>
  </si>
  <si>
    <t>00-0039465</t>
  </si>
  <si>
    <t>R.Steward</t>
  </si>
  <si>
    <t>Reddy Steward</t>
  </si>
  <si>
    <t>https://static.www.nfl.com/image/upload/f_auto,q_auto/league/augbl90tb3qkkev6e0kq</t>
  </si>
  <si>
    <t>00-0039480</t>
  </si>
  <si>
    <t>J.Colbert</t>
  </si>
  <si>
    <t>Jordan Colbert</t>
  </si>
  <si>
    <t>https://static.www.nfl.com/image/upload/f_auto,q_auto/league/vzwrdqknqaz09r8s2wcu</t>
  </si>
  <si>
    <t>00-0039481</t>
  </si>
  <si>
    <t>S.Duck</t>
  </si>
  <si>
    <t>Storm Duck</t>
  </si>
  <si>
    <t>https://static.www.nfl.com/image/upload/f_auto,q_auto/league/pas8heqf372ppqigvcoi</t>
  </si>
  <si>
    <t>00-0039483</t>
  </si>
  <si>
    <t>I.Johnson</t>
  </si>
  <si>
    <t>Isaiah Johnson</t>
  </si>
  <si>
    <t>https://static.www.nfl.com/image/upload/f_auto,q_auto/league/z8wqepet6gpcqnhehgyj</t>
  </si>
  <si>
    <t>00-0039485</t>
  </si>
  <si>
    <t>A.Meyer</t>
  </si>
  <si>
    <t>Andrew Meyer</t>
  </si>
  <si>
    <t>https://static.www.nfl.com/image/upload/f_auto,q_auto/league/vhq8muro7sjixsgpmlux</t>
  </si>
  <si>
    <t>00-0039489</t>
  </si>
  <si>
    <t>H.Rucci</t>
  </si>
  <si>
    <t>https://static.www.nfl.com/image/upload/f_auto,q_auto/league/ditkdfxzbjpe6cqcv2ou</t>
  </si>
  <si>
    <t>00-0039491</t>
  </si>
  <si>
    <t>J.Coker</t>
  </si>
  <si>
    <t>https://static.www.nfl.com/image/upload/f_auto,q_auto/league/tbo339znpzrfki8hri95</t>
  </si>
  <si>
    <t>00-0039498</t>
  </si>
  <si>
    <t>H.Mevis</t>
  </si>
  <si>
    <t>Harrison Mevis</t>
  </si>
  <si>
    <t>https://static.www.nfl.com/image/upload/f_auto,q_auto/league/llxz144jnuzivgcvbxrl</t>
  </si>
  <si>
    <t>40;52;26;37;44;23;28;41;35;34;42;40</t>
  </si>
  <si>
    <t>00-0039513</t>
  </si>
  <si>
    <t>Chris Edmonds</t>
  </si>
  <si>
    <t>https://static.www.nfl.com/image/upload/f_auto,q_auto/league/fvujgol1xqagsysqgveu</t>
  </si>
  <si>
    <t>00-0039521</t>
  </si>
  <si>
    <t>X.Weaver</t>
  </si>
  <si>
    <t>https://static.www.nfl.com/image/upload/f_auto,q_auto/league/bevrgazhjzigxagrb0qo</t>
  </si>
  <si>
    <t>00-0039530</t>
  </si>
  <si>
    <t>B.Spann-Ford</t>
  </si>
  <si>
    <t>https://static.www.nfl.com/image/upload/f_auto,q_auto/league/tsblwzvfsxuvohhfagls</t>
  </si>
  <si>
    <t>00-0039544</t>
  </si>
  <si>
    <t>W.Putnam</t>
  </si>
  <si>
    <t>Will Putnam</t>
  </si>
  <si>
    <t>https://static.www.nfl.com/image/upload/f_auto,q_auto/league/clwvsywtoyawl9dhn7gv</t>
  </si>
  <si>
    <t>00-0039568</t>
  </si>
  <si>
    <t>F.Crum</t>
  </si>
  <si>
    <t>Frank Crum</t>
  </si>
  <si>
    <t>https://static.www.nfl.com/image/upload/f_auto,q_auto/league/nqmf9kmlsjtxbahxjzd7</t>
  </si>
  <si>
    <t>00-0039576</t>
  </si>
  <si>
    <t>S.Shrader</t>
  </si>
  <si>
    <t>Spencer Shrader</t>
  </si>
  <si>
    <t>https://static.www.nfl.com/image/upload/f_auto,q_auto/league/i63zrj1idnss37cpe1yo</t>
  </si>
  <si>
    <t>24;35;28;48;29;33;36;28;45;24;36;52;38</t>
  </si>
  <si>
    <t>00-0039577</t>
  </si>
  <si>
    <t>K.Slovis</t>
  </si>
  <si>
    <t>Kedon Slovis</t>
  </si>
  <si>
    <t>https://static.www.nfl.com/image/upload/f_auto,q_auto/league/nyfoex8q88tq9fatpleo</t>
  </si>
  <si>
    <t>00-0039578</t>
  </si>
  <si>
    <t>D.Tucker</t>
  </si>
  <si>
    <t>Dalton Tucker</t>
  </si>
  <si>
    <t>https://static.www.nfl.com/image/upload/f_auto,q_auto/league/ikcln549vz9d3uekqa1k</t>
  </si>
  <si>
    <t>00-0039589</t>
  </si>
  <si>
    <t>K.Johnson</t>
  </si>
  <si>
    <t>https://static.www.nfl.com/image/upload/f_auto,q_auto/league/ms7auybbkq1nwbd2ev0d</t>
  </si>
  <si>
    <t>00-0039596</t>
  </si>
  <si>
    <t>R.Wisdom</t>
  </si>
  <si>
    <t>Rashad Wisdom</t>
  </si>
  <si>
    <t>https://static.www.nfl.com/image/upload/f_auto,q_auto/league/b1tsjkgvh7sb3yaxpexg</t>
  </si>
  <si>
    <t>00-0039601</t>
  </si>
  <si>
    <t>Demani Richardson</t>
  </si>
  <si>
    <t>https://static.www.nfl.com/image/upload/f_auto,q_auto/league/tpjhwnupzg65sx5zyzbx</t>
  </si>
  <si>
    <t>00-0039603</t>
  </si>
  <si>
    <t>B.Brooks</t>
  </si>
  <si>
    <t>https://static.www.nfl.com/image/upload/f_auto,q_auto/league/wpjous6xnyvfbuoupdqd</t>
  </si>
  <si>
    <t>00-0039620</t>
  </si>
  <si>
    <t>R.Payton</t>
  </si>
  <si>
    <t>Rico Payton</t>
  </si>
  <si>
    <t>https://static.www.nfl.com/image/upload/f_auto,q_auto/league/heykcojxfu8pgciqrlqp</t>
  </si>
  <si>
    <t>00-0039622</t>
  </si>
  <si>
    <t>I.Stalbird</t>
  </si>
  <si>
    <t>Isaiah Stalbird</t>
  </si>
  <si>
    <t>https://static.www.nfl.com/image/upload/f_auto,q_auto/league/seronol9msa4ijg9saj8</t>
  </si>
  <si>
    <t>00-0039623</t>
  </si>
  <si>
    <t>M.Tipton</t>
  </si>
  <si>
    <t>https://static.www.nfl.com/image/upload/f_auto,q_auto/league/ec09iyl2olrttgosoo8i</t>
  </si>
  <si>
    <t>00-0039631</t>
  </si>
  <si>
    <t>C.Grandy</t>
  </si>
  <si>
    <t>https://static.www.nfl.com/image/upload/f_auto,q_auto/league/uay5dmniqx1baal3q3uu</t>
  </si>
  <si>
    <t>00-0039632</t>
  </si>
  <si>
    <t>P.Jules</t>
  </si>
  <si>
    <t>PJ Jules</t>
  </si>
  <si>
    <t>https://static.www.nfl.com/image/upload/f_auto,q_auto/league/mdsohdnjax1gfb2nq0sv</t>
  </si>
  <si>
    <t>00-0039634</t>
  </si>
  <si>
    <t>A.McNamara</t>
  </si>
  <si>
    <t>Austin McNamara</t>
  </si>
  <si>
    <t>https://static.www.nfl.com/image/upload/f_auto,q_auto/league/d1jzdrpscex7eoxlha6o</t>
  </si>
  <si>
    <t>00-0039637</t>
  </si>
  <si>
    <t>M.Njongmeta</t>
  </si>
  <si>
    <t>Maema Njongmeta</t>
  </si>
  <si>
    <t>https://static.www.nfl.com/image/upload/f_auto,q_auto/league/aik3wm5jyjce87g81saz</t>
  </si>
  <si>
    <t>00-0039648</t>
  </si>
  <si>
    <t>D.Martin-Robinson</t>
  </si>
  <si>
    <t>https://static.www.nfl.com/image/upload/f_auto,q_auto/league/yaqmqzscsglgylchv7ez</t>
  </si>
  <si>
    <t>00-0039650</t>
  </si>
  <si>
    <t>B.Oliver</t>
  </si>
  <si>
    <t>https://static.www.nfl.com/image/upload/f_auto,q_auto/league/w8z5zvas0nli3yekxw7w</t>
  </si>
  <si>
    <t>00-0039660</t>
  </si>
  <si>
    <t>T.Harper</t>
  </si>
  <si>
    <t>Thomas Harper</t>
  </si>
  <si>
    <t>https://static.www.nfl.com/image/upload/f_auto,q_auto/league/bdyujpkrppbqewigjqz5</t>
  </si>
  <si>
    <t>00-0039676</t>
  </si>
  <si>
    <t>C.Anusiem</t>
  </si>
  <si>
    <t>Chigozie Anusiem</t>
  </si>
  <si>
    <t>https://static.www.nfl.com/image/upload/f_auto,q_auto/league/pp6vsmzyplbm98g2srpp</t>
  </si>
  <si>
    <t>00-0039681</t>
  </si>
  <si>
    <t>T.Owens</t>
  </si>
  <si>
    <t>Tyler Owens</t>
  </si>
  <si>
    <t>https://static.www.nfl.com/image/upload/f_auto,q_auto/league/gu2idezjli59r53v2wcf</t>
  </si>
  <si>
    <t>00-0039686</t>
  </si>
  <si>
    <t>C.Yankoff</t>
  </si>
  <si>
    <t>https://static.www.nfl.com/image/upload/f_auto,q_auto/league/h26w7a1eousqky5ncxlc</t>
  </si>
  <si>
    <t>00-0039692</t>
  </si>
  <si>
    <t>D.Pettus</t>
  </si>
  <si>
    <t>Dell Pettus</t>
  </si>
  <si>
    <t>https://static.www.nfl.com/image/upload/f_auto,q_auto/league/omllcau4s0bifkgcxom1</t>
  </si>
  <si>
    <t>00-0039710</t>
  </si>
  <si>
    <t>https://static.www.nfl.com/image/upload/f_auto,q_auto/league/trfwuw8uqmwzjomjl9ly</t>
  </si>
  <si>
    <t>00-0039714</t>
  </si>
  <si>
    <t>D.McGlothern</t>
  </si>
  <si>
    <t>Dwight McGlothern</t>
  </si>
  <si>
    <t>https://static.www.nfl.com/image/upload/f_auto,q_auto/league/x8pdiatwc5de3xsv2sis</t>
  </si>
  <si>
    <t>00-0039715</t>
  </si>
  <si>
    <t>G.Murphy</t>
  </si>
  <si>
    <t>Gabriel Murphy</t>
  </si>
  <si>
    <t>https://static.www.nfl.com/image/upload/f_auto,q_auto/league/ns5f5xol9gjdj22uz3dl</t>
  </si>
  <si>
    <t>00-0039718</t>
  </si>
  <si>
    <t>B.Richter</t>
  </si>
  <si>
    <t>Bo Richter</t>
  </si>
  <si>
    <t>https://static.www.nfl.com/image/upload/f_auto,q_auto/league/ojvyvjqz4svgyxo8oxbm</t>
  </si>
  <si>
    <t>00-0039720</t>
  </si>
  <si>
    <t>T.Taimani</t>
  </si>
  <si>
    <t>Taki Taimani</t>
  </si>
  <si>
    <t>https://static.www.nfl.com/image/upload/f_auto,q_auto/league/nuxnsmxjxv4ny8q7wwrx</t>
  </si>
  <si>
    <t>00-0039731</t>
  </si>
  <si>
    <t>J.Latham</t>
  </si>
  <si>
    <t>JC Latham</t>
  </si>
  <si>
    <t>https://static.www.nfl.com/image/upload/f_auto,q_auto/league/w7zgtcktgcxgkbc7zdti</t>
  </si>
  <si>
    <t>00-0039732</t>
  </si>
  <si>
    <t>B.Nix</t>
  </si>
  <si>
    <t>Bo Nix</t>
  </si>
  <si>
    <t>https://static.www.nfl.com/image/upload/f_auto,q_auto/league/igirshmrr6lqtxcpxsea</t>
  </si>
  <si>
    <t>00-0039733</t>
  </si>
  <si>
    <t>R.Orhorhoro</t>
  </si>
  <si>
    <t>Ruke Orhorhoro</t>
  </si>
  <si>
    <t>https://static.www.nfl.com/image/upload/f_auto,q_auto/league/erx6ismqu4gmu2dy6hq2</t>
  </si>
  <si>
    <t>00-0039734</t>
  </si>
  <si>
    <t>B.Fiske</t>
  </si>
  <si>
    <t>Braden Fiske</t>
  </si>
  <si>
    <t>https://static.www.nfl.com/image/upload/f_auto,q_auto/league/eviqsptyuqhpsxjcann2</t>
  </si>
  <si>
    <t>00-0039735</t>
  </si>
  <si>
    <t>J.Powers-Johnson</t>
  </si>
  <si>
    <t>Jackson Powers-Johnson</t>
  </si>
  <si>
    <t>https://static.www.nfl.com/image/upload/f_auto,q_auto/league/o2lpxcphdigzwbjr12jh</t>
  </si>
  <si>
    <t>00-0039736</t>
  </si>
  <si>
    <t>M.Goncalves</t>
  </si>
  <si>
    <t>Matt Goncalves</t>
  </si>
  <si>
    <t>https://static.www.nfl.com/image/upload/f_auto,q_auto/league/n432zjyizpchrcgyg0if</t>
  </si>
  <si>
    <t>00-0039737</t>
  </si>
  <si>
    <t>T.Reiman</t>
  </si>
  <si>
    <t>https://static.www.nfl.com/image/upload/f_auto,q_auto/league/ep1rsbi0visivscxnezd</t>
  </si>
  <si>
    <t>00-0039738</t>
  </si>
  <si>
    <t>B.Corum</t>
  </si>
  <si>
    <t>https://static.www.nfl.com/image/upload/f_auto,q_auto/league/gytdgnrjj3jk8rlfxz85</t>
  </si>
  <si>
    <t>00-0039739</t>
  </si>
  <si>
    <t>https://static.www.nfl.com/image/upload/f_auto,q_auto/league/kcwymznjg9q8n8i7f4rc</t>
  </si>
  <si>
    <t>00-0039740</t>
  </si>
  <si>
    <t>J.Hunt</t>
  </si>
  <si>
    <t>Jalyx Hunt</t>
  </si>
  <si>
    <t>https://static.www.nfl.com/image/upload/f_auto,q_auto/league/cg8yroxxd3znnkt894rm</t>
  </si>
  <si>
    <t>00-0039741</t>
  </si>
  <si>
    <t>P.Wilson</t>
  </si>
  <si>
    <t>Payton Wilson</t>
  </si>
  <si>
    <t>https://static.www.nfl.com/image/upload/f_auto,q_auto/league/n9it3axjeciqsxirtize</t>
  </si>
  <si>
    <t>00-0039743</t>
  </si>
  <si>
    <t>Jordan Jefferson</t>
  </si>
  <si>
    <t>https://static.www.nfl.com/image/upload/f_auto,q_auto/league/lky3oayjpet8c7dpniwb</t>
  </si>
  <si>
    <t>00-0039744</t>
  </si>
  <si>
    <t>T.Bortolini</t>
  </si>
  <si>
    <t>Tanor Bortolini</t>
  </si>
  <si>
    <t>https://static.www.nfl.com/image/upload/f_auto,q_auto/league/l2a99kq58evu0ykaabaj</t>
  </si>
  <si>
    <t>00-0039745</t>
  </si>
  <si>
    <t>Tory Taylor</t>
  </si>
  <si>
    <t>https://static.www.nfl.com/image/upload/f_auto,q_auto/league/hzzvpzjiab6znxvkp6la</t>
  </si>
  <si>
    <t>00-0039746</t>
  </si>
  <si>
    <t>W.Shipley</t>
  </si>
  <si>
    <t>https://static.www.nfl.com/image/upload/f_auto,q_auto/league/rdps3spkhbztc2mbd6ty</t>
  </si>
  <si>
    <t>00-0039749</t>
  </si>
  <si>
    <t>T.Davis</t>
  </si>
  <si>
    <t>Tyler Davis</t>
  </si>
  <si>
    <t>https://static.www.nfl.com/image/upload/f_auto,q_auto/league/jbwaqwv5imuhydw4vkzc</t>
  </si>
  <si>
    <t>00-0039750</t>
  </si>
  <si>
    <t>J.Karty</t>
  </si>
  <si>
    <t>Joshua Karty</t>
  </si>
  <si>
    <t>https://static.www.nfl.com/image/upload/f_auto,q_auto/league/j51z79en8vs3qdgkvnn5</t>
  </si>
  <si>
    <t>21;21;51;28;33;46;42;37;48;36</t>
  </si>
  <si>
    <t>53;26;39</t>
  </si>
  <si>
    <t>36;44</t>
  </si>
  <si>
    <t>00-0039751</t>
  </si>
  <si>
    <t>J.Whittington</t>
  </si>
  <si>
    <t>https://static.www.nfl.com/image/upload/f_auto,q_auto/league/w5h5q9jwyaimdjlnracx</t>
  </si>
  <si>
    <t>00-0039752</t>
  </si>
  <si>
    <t>Cedric Johnson</t>
  </si>
  <si>
    <t>https://static.www.nfl.com/image/upload/f_auto,q_auto/league/y8vnhfnnacug6nhwgg91</t>
  </si>
  <si>
    <t>00-0039753</t>
  </si>
  <si>
    <t>B.Limmer</t>
  </si>
  <si>
    <t>Beaux Limmer</t>
  </si>
  <si>
    <t>https://static.www.nfl.com/image/upload/f_auto,q_auto/league/bopewz77rbml5wtk6k9g</t>
  </si>
  <si>
    <t>00-0039754</t>
  </si>
  <si>
    <t>D.Culp</t>
  </si>
  <si>
    <t>https://static.www.nfl.com/image/upload/f_auto,q_auto/league/p5mk3qxwrbwdr3y3kt6u</t>
  </si>
  <si>
    <t>00-0039755</t>
  </si>
  <si>
    <t>K.Leveston</t>
  </si>
  <si>
    <t>KT Leveston</t>
  </si>
  <si>
    <t>https://static.www.nfl.com/image/upload/f_auto,q_auto/league/rxb4bdtphlyualqund7c</t>
  </si>
  <si>
    <t>00-0039757</t>
  </si>
  <si>
    <t>T.Jennings</t>
  </si>
  <si>
    <t>https://static.www.nfl.com/image/upload/f_auto,q_auto/league/iddgabjbju6ye5s9mmjg</t>
  </si>
  <si>
    <t>00-0039763</t>
  </si>
  <si>
    <t>J.Andreessen</t>
  </si>
  <si>
    <t>Joe Andreessen</t>
  </si>
  <si>
    <t>https://static.www.nfl.com/image/upload/f_auto,q_auto/league/dxjiepgx7txqoyftigxy</t>
  </si>
  <si>
    <t>00-0039764</t>
  </si>
  <si>
    <t>E.Chatman</t>
  </si>
  <si>
    <t>Elijah Chatman</t>
  </si>
  <si>
    <t>https://static.www.nfl.com/image/upload/f_auto,q_auto/league/cal1mv8sgmirpeamwt40</t>
  </si>
  <si>
    <t>00-0039770</t>
  </si>
  <si>
    <t>C.Woods</t>
  </si>
  <si>
    <t>Charles Woods</t>
  </si>
  <si>
    <t>https://static.www.nfl.com/image/upload/f_auto,q_auto/league/ykruciq8bomy0ez2t7gc</t>
  </si>
  <si>
    <t>00-0039772</t>
  </si>
  <si>
    <t>J.Wallace</t>
  </si>
  <si>
    <t>Josh Wallace</t>
  </si>
  <si>
    <t>https://static.www.nfl.com/image/upload/f_auto,q_auto/league/budszyjdjn52puloxjc7</t>
  </si>
  <si>
    <t>00-0039774</t>
  </si>
  <si>
    <t>O.Speights</t>
  </si>
  <si>
    <t>Omar Speights</t>
  </si>
  <si>
    <t>https://static.www.nfl.com/image/upload/f_auto,q_auto/league/amlicxegqeiqvmg9gko0</t>
  </si>
  <si>
    <t>00-0039776</t>
  </si>
  <si>
    <t>J.McCollough</t>
  </si>
  <si>
    <t>Jaylen McCollough</t>
  </si>
  <si>
    <t>https://static.www.nfl.com/image/upload/f_auto,q_auto/league/ofhqho42cem1dxzez96u</t>
  </si>
  <si>
    <t>00-0039783</t>
  </si>
  <si>
    <t>A.Goodlow</t>
  </si>
  <si>
    <t>Anthony Goodlow</t>
  </si>
  <si>
    <t>https://static.www.nfl.com/image/upload/f_auto,q_auto/league/t0hwhg8j0fqbmwi2i5sd</t>
  </si>
  <si>
    <t>00-0039784</t>
  </si>
  <si>
    <t>J.Dedich</t>
  </si>
  <si>
    <t>Justin Dedich</t>
  </si>
  <si>
    <t>https://static.www.nfl.com/image/upload/f_auto,q_auto/league/sr4uaptfcy3lcmzawhck</t>
  </si>
  <si>
    <t>00-0039789</t>
  </si>
  <si>
    <t>Q.Stiggers</t>
  </si>
  <si>
    <t>Qwan'tez Stiggers</t>
  </si>
  <si>
    <t>https://static.www.nfl.com/image/upload/f_auto,q_auto/league/yiiqa5sbaclz4bvnpvul</t>
  </si>
  <si>
    <t>00-0039790</t>
  </si>
  <si>
    <t>O.Fashanu</t>
  </si>
  <si>
    <t>Olumuyiwa Fashanu</t>
  </si>
  <si>
    <t>https://static.www.nfl.com/image/upload/f_auto,q_auto/league/clf1wkkpzzsrnffv8wew</t>
  </si>
  <si>
    <t>00-0039792</t>
  </si>
  <si>
    <t>https://static.www.nfl.com/image/upload/f_auto,q_auto/league/d8qrpenynncwink7dqs2</t>
  </si>
  <si>
    <t>00-0039793</t>
  </si>
  <si>
    <t>A.Barner</t>
  </si>
  <si>
    <t>https://static.www.nfl.com/image/upload/f_auto,q_auto/league/ul77k5rqbqzd5zzqsaea</t>
  </si>
  <si>
    <t>00-0039794</t>
  </si>
  <si>
    <t>https://static.www.nfl.com/image/upload/f_auto,q_auto/league/pdaa8u0x2qepyklabdr3</t>
  </si>
  <si>
    <t>00-0039795</t>
  </si>
  <si>
    <t>N.Pritchett</t>
  </si>
  <si>
    <t>Nehemiah Pritchett</t>
  </si>
  <si>
    <t>https://static.www.nfl.com/image/upload/f_auto,q_auto/league/ao9rpvbwn2ckx5ejcodx</t>
  </si>
  <si>
    <t>00-0039796</t>
  </si>
  <si>
    <t>R.Ali</t>
  </si>
  <si>
    <t>https://static.www.nfl.com/image/upload/f_auto,q_auto/league/zwjrkzu3ia3cfrwgotqt</t>
  </si>
  <si>
    <t>00-0039798</t>
  </si>
  <si>
    <t>I.Davis</t>
  </si>
  <si>
    <t>https://static.www.nfl.com/image/upload/f_auto,q_auto/league/hsozhwgsuffsfrc4qdp2</t>
  </si>
  <si>
    <t>00-0039800</t>
  </si>
  <si>
    <t>DJ James</t>
  </si>
  <si>
    <t>https://static.www.nfl.com/image/upload/f_auto,q_auto/league/rqkampxsl0ukgtcf0zoi</t>
  </si>
  <si>
    <t>00-0039807</t>
  </si>
  <si>
    <t>M.Melton</t>
  </si>
  <si>
    <t>Max Melton</t>
  </si>
  <si>
    <t>https://static.www.nfl.com/image/upload/f_auto,q_auto/league/inf9atuivxldaqlq8xdi</t>
  </si>
  <si>
    <t>00-0039808</t>
  </si>
  <si>
    <t>I.Adams</t>
  </si>
  <si>
    <t>Isaiah Adams</t>
  </si>
  <si>
    <t>https://static.www.nfl.com/image/upload/f_auto,q_auto/league/vhbpzmpvgkkun2onlp9s</t>
  </si>
  <si>
    <t>00-0039809</t>
  </si>
  <si>
    <t>J.Elliss</t>
  </si>
  <si>
    <t>Jonah Elliss</t>
  </si>
  <si>
    <t>https://static.www.nfl.com/image/upload/f_auto,q_auto/league/f3dukr2ntse8qnsyhu3b</t>
  </si>
  <si>
    <t>00-0039812</t>
  </si>
  <si>
    <t>T.Hopper</t>
  </si>
  <si>
    <t>Ty'Ron Hopper</t>
  </si>
  <si>
    <t>https://static.www.nfl.com/image/upload/f_auto,q_auto/league/taqdlsfufqh99ucbl5zm</t>
  </si>
  <si>
    <t>00-0039813</t>
  </si>
  <si>
    <t>E.Williams</t>
  </si>
  <si>
    <t>Evan Williams</t>
  </si>
  <si>
    <t>https://static.www.nfl.com/image/upload/f_auto,q_auto/league/phwdofvsdjhqecxyx1kb</t>
  </si>
  <si>
    <t>00-0039815</t>
  </si>
  <si>
    <t>T.Knight</t>
  </si>
  <si>
    <t>Tyrice Knight</t>
  </si>
  <si>
    <t>https://static.www.nfl.com/image/upload/f_auto,q_auto/league/eqhzoc3hrxk94vxolfws</t>
  </si>
  <si>
    <t>00-0039816</t>
  </si>
  <si>
    <t>A.Gould</t>
  </si>
  <si>
    <t>https://static.www.nfl.com/image/upload/f_auto,q_auto/league/kplzuye1iocg1vyec3ru</t>
  </si>
  <si>
    <t>00-0039818</t>
  </si>
  <si>
    <t>K.Oladapo</t>
  </si>
  <si>
    <t>Kitan Oladapo</t>
  </si>
  <si>
    <t>https://static.www.nfl.com/image/upload/f_auto,q_auto/league/vxt0byaznbu2o42n2ft7</t>
  </si>
  <si>
    <t>00-0039821</t>
  </si>
  <si>
    <t>A.Phillips</t>
  </si>
  <si>
    <t>Andru Phillips</t>
  </si>
  <si>
    <t>https://static.www.nfl.com/image/upload/f_auto,q_auto/league/kh3iigah1t49ywg0scb9</t>
  </si>
  <si>
    <t>00-0039823</t>
  </si>
  <si>
    <t>Elijah Jones</t>
  </si>
  <si>
    <t>https://static.www.nfl.com/image/upload/f_auto,q_auto/league/tti0os0zrmotgh6icpls</t>
  </si>
  <si>
    <t>00-0039824</t>
  </si>
  <si>
    <t>J.Wiley</t>
  </si>
  <si>
    <t>https://static.www.nfl.com/image/upload/f_auto,q_auto/league/dd7n41tzytkvgbrqvtda</t>
  </si>
  <si>
    <t>00-0039825</t>
  </si>
  <si>
    <t>J.Hicks</t>
  </si>
  <si>
    <t>Jaden Hicks</t>
  </si>
  <si>
    <t>https://static.www.nfl.com/image/upload/f_auto,q_auto/league/lvcirt1ekbyj97v6mdzx</t>
  </si>
  <si>
    <t>00-0039826</t>
  </si>
  <si>
    <t>J.Trotter</t>
  </si>
  <si>
    <t>Jeremiah Trotter Jr.</t>
  </si>
  <si>
    <t>https://static.www.nfl.com/image/upload/f_auto,q_auto/league/fbgpf6iqljasd4h1miw2</t>
  </si>
  <si>
    <t>00-0039828</t>
  </si>
  <si>
    <t>W.Rouse</t>
  </si>
  <si>
    <t>Walter Rouse</t>
  </si>
  <si>
    <t>https://static.www.nfl.com/image/upload/f_auto,q_auto/league/orggdqqfg9dnr0sjfo2y</t>
  </si>
  <si>
    <t>00-0039829</t>
  </si>
  <si>
    <t>D.Muasau</t>
  </si>
  <si>
    <t>Darius Muasau</t>
  </si>
  <si>
    <t>https://static.www.nfl.com/image/upload/f_auto,q_auto/league/jp2tinbi0erohx4jdtta</t>
  </si>
  <si>
    <t>00-0039831</t>
  </si>
  <si>
    <t>K.Hadden</t>
  </si>
  <si>
    <t>Kamal Hadden</t>
  </si>
  <si>
    <t>https://static.www.nfl.com/image/upload/f_auto,q_auto/league/j3ty1m9rac4bqcysjwqp</t>
  </si>
  <si>
    <t>00-0039834</t>
  </si>
  <si>
    <t>K.Kinchens</t>
  </si>
  <si>
    <t>Kamren Kinchens</t>
  </si>
  <si>
    <t>https://static.www.nfl.com/image/upload/f_auto,q_auto/league/ixanabxmodk5m1xp8u8s</t>
  </si>
  <si>
    <t>00-0039835</t>
  </si>
  <si>
    <t>J.Eboigbe</t>
  </si>
  <si>
    <t>Justin Eboigbe</t>
  </si>
  <si>
    <t>https://static.www.nfl.com/image/upload/f_auto,q_auto/league/gb5maqjfoxpesige0io1</t>
  </si>
  <si>
    <t>00-0039836</t>
  </si>
  <si>
    <t>B.Jackson</t>
  </si>
  <si>
    <t>Brennan Jackson</t>
  </si>
  <si>
    <t>https://static.www.nfl.com/image/upload/f_auto,q_auto/league/aacqz576jq1ykkanftmc</t>
  </si>
  <si>
    <t>00-0039838</t>
  </si>
  <si>
    <t>C.Bullock</t>
  </si>
  <si>
    <t>Calen Bullock</t>
  </si>
  <si>
    <t>https://static.www.nfl.com/image/upload/f_auto,q_auto/league/vmntsl9qah1vffuguarz</t>
  </si>
  <si>
    <t>00-0039840</t>
  </si>
  <si>
    <t>A.Booker</t>
  </si>
  <si>
    <t>Austin Booker</t>
  </si>
  <si>
    <t>https://static.www.nfl.com/image/upload/f_auto,q_auto/league/gxs1vf40thpixmxwdvmc</t>
  </si>
  <si>
    <t>00-0039841</t>
  </si>
  <si>
    <t>C.DeJean</t>
  </si>
  <si>
    <t>Cooper DeJean</t>
  </si>
  <si>
    <t>https://static.www.nfl.com/image/upload/f_auto,q_auto/league/meqy50bhzwvghrwbtjg5</t>
  </si>
  <si>
    <t>00-0039844</t>
  </si>
  <si>
    <t>K.Suamataia</t>
  </si>
  <si>
    <t>Kingsley Suamataia</t>
  </si>
  <si>
    <t>https://static.www.nfl.com/image/upload/f_auto,q_auto/league/xhqrjshk8fbkaxz9dvbm</t>
  </si>
  <si>
    <t>00-0039846</t>
  </si>
  <si>
    <t>Tykee Smith</t>
  </si>
  <si>
    <t>https://static.www.nfl.com/image/upload/f_auto,q_auto/league/mjjhxgflmtw3byqbidfw</t>
  </si>
  <si>
    <t>00-0039847</t>
  </si>
  <si>
    <t>https://static.www.nfl.com/image/upload/f_auto,q_auto/league/naoiheinxogchairenzf</t>
  </si>
  <si>
    <t>00-0039849</t>
  </si>
  <si>
    <t>https://static.www.nfl.com/image/upload/f_auto,q_auto/league/hwpoo1icpnh8emjvqaii</t>
  </si>
  <si>
    <t>00-0039850</t>
  </si>
  <si>
    <t>E.Cooper</t>
  </si>
  <si>
    <t>Edgerrin Cooper</t>
  </si>
  <si>
    <t>https://static.www.nfl.com/image/upload/f_auto,q_auto/league/huidssokjxzmjjeyb80d</t>
  </si>
  <si>
    <t>00-0039851</t>
  </si>
  <si>
    <t>D.Maye</t>
  </si>
  <si>
    <t>Drake Maye</t>
  </si>
  <si>
    <t>https://static.www.nfl.com/image/upload/f_auto,q_auto/league/oyap81gtzcvnfmripis1</t>
  </si>
  <si>
    <t>00-0039852</t>
  </si>
  <si>
    <t>J.Verse</t>
  </si>
  <si>
    <t>Jared Verse</t>
  </si>
  <si>
    <t>https://static.www.nfl.com/image/upload/f_auto,q_auto/league/rapkhulnj8vsblkkgcca</t>
  </si>
  <si>
    <t>00-0039854</t>
  </si>
  <si>
    <t>Darius Robinson</t>
  </si>
  <si>
    <t>https://static.www.nfl.com/image/upload/f_auto,q_auto/league/lfmoncmd0jh5hj67eola</t>
  </si>
  <si>
    <t>00-0039855</t>
  </si>
  <si>
    <t>J.McMillan</t>
  </si>
  <si>
    <t>https://static.www.nfl.com/image/upload/f_auto,q_auto/league/x2jipyhqclsgx4cmsqct</t>
  </si>
  <si>
    <t>00-0039857</t>
  </si>
  <si>
    <t>B.Fisher</t>
  </si>
  <si>
    <t>Blake Fisher</t>
  </si>
  <si>
    <t>https://static.www.nfl.com/image/upload/f_auto,q_auto/league/eco81lxhu3wgpkkqjsyw</t>
  </si>
  <si>
    <t>00-0039858</t>
  </si>
  <si>
    <t>C.Gray</t>
  </si>
  <si>
    <t>Cedric Gray</t>
  </si>
  <si>
    <t>https://static.www.nfl.com/image/upload/f_auto,q_auto/league/v3hwfmdmrsjinn4f8o2y</t>
  </si>
  <si>
    <t>00-0039859</t>
  </si>
  <si>
    <t>B.Dorlus</t>
  </si>
  <si>
    <t>Brandon Dorlus</t>
  </si>
  <si>
    <t>https://static.www.nfl.com/image/upload/f_auto,q_auto/league/dl97qpbtsjpwrpuhfa9g</t>
  </si>
  <si>
    <t>00-0039860</t>
  </si>
  <si>
    <t>K.McKinstry</t>
  </si>
  <si>
    <t>Kool-Aid McKinstry</t>
  </si>
  <si>
    <t>https://static.www.nfl.com/image/upload/f_auto,q_auto/league/grkovrh00bnekyi46niz</t>
  </si>
  <si>
    <t>00-0039861</t>
  </si>
  <si>
    <t>T.Nubin</t>
  </si>
  <si>
    <t>Tyler Nubin</t>
  </si>
  <si>
    <t>https://static.www.nfl.com/image/upload/f_auto,q_auto/league/qsakq172gdexg9js8gs1</t>
  </si>
  <si>
    <t>00-0039864</t>
  </si>
  <si>
    <t>D.Taylor-Demerson</t>
  </si>
  <si>
    <t>Dadrion Taylor-Demerson</t>
  </si>
  <si>
    <t>https://static.www.nfl.com/image/upload/f_auto,q_auto/league/sowjjszg6dsa2welwenx</t>
  </si>
  <si>
    <t>00-0039867</t>
  </si>
  <si>
    <t>Javon Bullard</t>
  </si>
  <si>
    <t>https://static.www.nfl.com/image/upload/f_auto,q_auto/league/vag7xsajiqpambybsapn</t>
  </si>
  <si>
    <t>00-0039868</t>
  </si>
  <si>
    <t>T.Franklin</t>
  </si>
  <si>
    <t>https://static.www.nfl.com/image/upload/f_auto,q_auto/league/belpdlyoda8cmzbvjkqh</t>
  </si>
  <si>
    <t>00-0039871</t>
  </si>
  <si>
    <t>T.Fautanu</t>
  </si>
  <si>
    <t>Troy Fautanu</t>
  </si>
  <si>
    <t>https://static.www.nfl.com/image/upload/f_auto,q_auto/league/a9cndfqf5alglid0muel</t>
  </si>
  <si>
    <t>00-0039872</t>
  </si>
  <si>
    <t>C.Bishop</t>
  </si>
  <si>
    <t>Cole Bishop</t>
  </si>
  <si>
    <t>https://static.www.nfl.com/image/upload/f_auto,q_auto/league/xvpwenwn8smwotkdso3a</t>
  </si>
  <si>
    <t>00-0039874</t>
  </si>
  <si>
    <t>J.Wright</t>
  </si>
  <si>
    <t>https://static.www.nfl.com/image/upload/f_auto,q_auto/league/i3wlfgqsynl7qaa4tsqw</t>
  </si>
  <si>
    <t>00-0039875</t>
  </si>
  <si>
    <t>R.Davis</t>
  </si>
  <si>
    <t>https://static.www.nfl.com/image/upload/f_auto,q_auto/league/pm9llppbueodtjjj9u8l</t>
  </si>
  <si>
    <t>00-0039876</t>
  </si>
  <si>
    <t>S.Van Pran-Granger</t>
  </si>
  <si>
    <t>Sedrick Van Pran-Granger</t>
  </si>
  <si>
    <t>https://static.www.nfl.com/image/upload/f_auto,q_auto/league/o6ayso1ks19s4n2te2n9</t>
  </si>
  <si>
    <t>00-0039879</t>
  </si>
  <si>
    <t>J.Solomon</t>
  </si>
  <si>
    <t>Javon Solomon</t>
  </si>
  <si>
    <t>https://static.www.nfl.com/image/upload/f_auto,q_auto/league/a4ytbrhlefwr3ri8ruwu</t>
  </si>
  <si>
    <t>00-0039880</t>
  </si>
  <si>
    <t>M.Washington</t>
  </si>
  <si>
    <t>https://static.www.nfl.com/image/upload/f_auto,q_auto/league/kwcgtsbpd0rpwsgq2npe</t>
  </si>
  <si>
    <t>00-0039884</t>
  </si>
  <si>
    <t>T.Washington</t>
  </si>
  <si>
    <t>https://static.www.nfl.com/image/upload/f_auto,q_auto/league/homslu3sftjfqqnrcmt5</t>
  </si>
  <si>
    <t>00-0039886</t>
  </si>
  <si>
    <t>T.Sweat</t>
  </si>
  <si>
    <t>T'Vondre Sweat</t>
  </si>
  <si>
    <t>https://static.www.nfl.com/image/upload/f_auto,q_auto/league/kltw5qbkonldsneuvjrz</t>
  </si>
  <si>
    <t>00-0039888</t>
  </si>
  <si>
    <t>Q.Mitchell</t>
  </si>
  <si>
    <t>Quinyon Mitchell</t>
  </si>
  <si>
    <t>https://static.www.nfl.com/image/upload/f_auto,q_auto/league/kkniksj5urk8jm7pzd1f</t>
  </si>
  <si>
    <t>00-0039889</t>
  </si>
  <si>
    <t>Maason Smith</t>
  </si>
  <si>
    <t>https://static.www.nfl.com/image/upload/f_auto,q_auto/league/zornbxwkgz44oi2jwts8</t>
  </si>
  <si>
    <t>00-0039890</t>
  </si>
  <si>
    <t>A.Mitchell</t>
  </si>
  <si>
    <t>https://static.www.nfl.com/image/upload/f_auto,q_auto/league/hwwacoa3pqapd7pgahfx</t>
  </si>
  <si>
    <t>00-0039893</t>
  </si>
  <si>
    <t>B.Thomas</t>
  </si>
  <si>
    <t>https://static.www.nfl.com/image/upload/f_auto,q_auto/league/plnekkriys4cm11rnxwl</t>
  </si>
  <si>
    <t>00-0039894</t>
  </si>
  <si>
    <t>X.Worthy</t>
  </si>
  <si>
    <t>https://static.www.nfl.com/image/upload/f_auto,q_auto/league/ue6fp8xwnyo7ftvabbb8</t>
  </si>
  <si>
    <t>00-0039895</t>
  </si>
  <si>
    <t>M.Hall</t>
  </si>
  <si>
    <t>Mike Hall Jr.</t>
  </si>
  <si>
    <t>https://static.www.nfl.com/image/upload/f_auto,q_auto/league/ykpxjvmielzqpguubka1</t>
  </si>
  <si>
    <t>00-0039896</t>
  </si>
  <si>
    <t>Z.Frazier</t>
  </si>
  <si>
    <t>Zach Frazier</t>
  </si>
  <si>
    <t>https://static.www.nfl.com/image/upload/f_auto,q_auto/league/oxuh5tbhz1n1f1mjysql</t>
  </si>
  <si>
    <t>00-0039897</t>
  </si>
  <si>
    <t>J.Alt</t>
  </si>
  <si>
    <t>Joe Alt</t>
  </si>
  <si>
    <t>https://static.www.nfl.com/image/upload/f_auto,q_auto/league/q9fywrpehvxy7sdpgacs</t>
  </si>
  <si>
    <t>00-0039898</t>
  </si>
  <si>
    <t>M.Sainristil</t>
  </si>
  <si>
    <t>Mike Sainristil</t>
  </si>
  <si>
    <t>https://static.www.nfl.com/image/upload/f_auto,q_auto/league/udlw8qhbduz4z49jv3jm</t>
  </si>
  <si>
    <t>00-0039899</t>
  </si>
  <si>
    <t>P.Paul</t>
  </si>
  <si>
    <t>Patrick Paul</t>
  </si>
  <si>
    <t>https://static.www.nfl.com/image/upload/f_auto,q_auto/league/obt8tnqeeoks0ubhcxgn</t>
  </si>
  <si>
    <t>00-0039900</t>
  </si>
  <si>
    <t>M.Kneeland</t>
  </si>
  <si>
    <t>Marshawn Kneeland</t>
  </si>
  <si>
    <t>https://static.www.nfl.com/image/upload/f_auto,q_auto/league/ghcwtmz5knxwpnddbymm</t>
  </si>
  <si>
    <t>00-0039901</t>
  </si>
  <si>
    <t>K.Coleman</t>
  </si>
  <si>
    <t>https://static.www.nfl.com/image/upload/f_auto,q_auto/league/f3cx4kmpdmqftr79ueiv</t>
  </si>
  <si>
    <t>00-0039902</t>
  </si>
  <si>
    <t>Chris Braswell</t>
  </si>
  <si>
    <t>https://static.www.nfl.com/image/upload/f_auto,q_auto/league/u5abg52apl8dtgthu80k</t>
  </si>
  <si>
    <t>00-0039903</t>
  </si>
  <si>
    <t>T.Arnold</t>
  </si>
  <si>
    <t>Terrion Arnold</t>
  </si>
  <si>
    <t>https://static.www.nfl.com/image/upload/f_auto,q_auto/league/h3rbtalyoblh2szat9qc</t>
  </si>
  <si>
    <t>00-0039904</t>
  </si>
  <si>
    <t>J.Morgan</t>
  </si>
  <si>
    <t>Jordan Morgan</t>
  </si>
  <si>
    <t>https://static.www.nfl.com/image/upload/f_auto,q_auto/league/g4afet48rjhc2wdcbu7l</t>
  </si>
  <si>
    <t>00-0039905</t>
  </si>
  <si>
    <t>G.Barton</t>
  </si>
  <si>
    <t>Graham Barton</t>
  </si>
  <si>
    <t>https://static.www.nfl.com/image/upload/f_auto,q_auto/league/n5msbiirsuzkgu63vfrf</t>
  </si>
  <si>
    <t>00-0039906</t>
  </si>
  <si>
    <t>Jer'Zhan Newton</t>
  </si>
  <si>
    <t>https://static.www.nfl.com/image/upload/f_auto,q_auto/league/hgrxkwfkaiozsegi9sbp</t>
  </si>
  <si>
    <t>00-0039908</t>
  </si>
  <si>
    <t>K.Jenkins</t>
  </si>
  <si>
    <t>Kris Jenkins</t>
  </si>
  <si>
    <t>https://static.www.nfl.com/image/upload/f_auto,q_auto/league/nuyy0laahr8mf5dojflu</t>
  </si>
  <si>
    <t>00-0039910</t>
  </si>
  <si>
    <t>J.Daniels</t>
  </si>
  <si>
    <t>Jayden Daniels</t>
  </si>
  <si>
    <t>https://static.www.nfl.com/image/upload/f_auto,q_auto/league/vrdweg39v1ay4zoc0lgp</t>
  </si>
  <si>
    <t>00-0039911</t>
  </si>
  <si>
    <t>Chop Robinson</t>
  </si>
  <si>
    <t>https://static.www.nfl.com/image/upload/f_auto,q_auto/league/ewtuqjaehnnkdo1qcwfl</t>
  </si>
  <si>
    <t>00-0039912</t>
  </si>
  <si>
    <t>B.Sinnott</t>
  </si>
  <si>
    <t>https://static.www.nfl.com/image/upload/f_auto,q_auto/league/zwjmu9wyutlpkace9ukf</t>
  </si>
  <si>
    <t>00-0039913</t>
  </si>
  <si>
    <t>B.Coleman</t>
  </si>
  <si>
    <t>Brandon Coleman</t>
  </si>
  <si>
    <t>https://static.www.nfl.com/image/upload/f_auto,q_auto/league/u80ymxkfqhyx08gofhbj</t>
  </si>
  <si>
    <t>00-0039915</t>
  </si>
  <si>
    <t>L.McConkey</t>
  </si>
  <si>
    <t>https://static.www.nfl.com/image/upload/f_auto,q_auto/league/qsvdiebsa34jtkcrjpju</t>
  </si>
  <si>
    <t>00-0039916</t>
  </si>
  <si>
    <t>R.Pearsall</t>
  </si>
  <si>
    <t>https://static.www.nfl.com/image/upload/f_auto,q_auto/league/ko3lwlcfkxaykcspt4nw</t>
  </si>
  <si>
    <t>00-0039917</t>
  </si>
  <si>
    <t>M.Penix</t>
  </si>
  <si>
    <t>Michael Penix Jr.</t>
  </si>
  <si>
    <t>https://static.www.nfl.com/image/upload/f_auto,q_auto/league/azvyjzp2sa8cnljbp3i7</t>
  </si>
  <si>
    <t>00-0039918</t>
  </si>
  <si>
    <t>C.Williams</t>
  </si>
  <si>
    <t>Caleb Williams</t>
  </si>
  <si>
    <t>https://static.www.nfl.com/image/upload/f_auto,q_auto/league/h4qs11kutwiw7whekmyt</t>
  </si>
  <si>
    <t>00-0039919</t>
  </si>
  <si>
    <t>R.Odunze</t>
  </si>
  <si>
    <t>https://static.www.nfl.com/image/upload/f_auto,q_auto/league/yqjdhpsno75du0n72u4w</t>
  </si>
  <si>
    <t>00-0039920</t>
  </si>
  <si>
    <t>M.Corley</t>
  </si>
  <si>
    <t>https://static.www.nfl.com/image/upload/f_auto,q_auto/league/lay1p8pvwrglmqorc6ev</t>
  </si>
  <si>
    <t>00-0039921</t>
  </si>
  <si>
    <t>T.Benson</t>
  </si>
  <si>
    <t>https://static.www.nfl.com/image/upload/f_auto,q_auto/league/x2bxb0fd54ffwwdu5scz</t>
  </si>
  <si>
    <t>00-0039923</t>
  </si>
  <si>
    <t>J.McCarthy</t>
  </si>
  <si>
    <t>J.J. McCarthy</t>
  </si>
  <si>
    <t>https://static.www.nfl.com/image/upload/f_auto,q_auto/league/omybnfokapjw6jwb5dd3</t>
  </si>
  <si>
    <t>00-0039924</t>
  </si>
  <si>
    <t>Dallas Turner</t>
  </si>
  <si>
    <t>https://static.www.nfl.com/image/upload/f_auto,q_auto/league/ytexkn6nluavjbwmknrv</t>
  </si>
  <si>
    <t>00-0039925</t>
  </si>
  <si>
    <t>A.Mims</t>
  </si>
  <si>
    <t>Amarius Mims</t>
  </si>
  <si>
    <t>https://static.www.nfl.com/image/upload/f_auto,q_auto/league/ac9cfdykktbm8xs4dwy6</t>
  </si>
  <si>
    <t>00-0039926</t>
  </si>
  <si>
    <t>J.Sundell</t>
  </si>
  <si>
    <t>Jalen Sundell</t>
  </si>
  <si>
    <t>https://static.www.nfl.com/image/upload/f_auto,q_auto/league/ymw1mlr8v9aihxcb7ltm</t>
  </si>
  <si>
    <t>00-0039934</t>
  </si>
  <si>
    <t>J.McAtamney</t>
  </si>
  <si>
    <t>Jude McAtamney</t>
  </si>
  <si>
    <t>https://static.www.nfl.com/image/upload/f_auto,q_auto/league/k4klhpsp9mlcrpd8kcst</t>
  </si>
  <si>
    <t>22;31</t>
  </si>
  <si>
    <t>00-0039944</t>
  </si>
  <si>
    <t>J.Sheriff</t>
  </si>
  <si>
    <t>Jamie Sheriff</t>
  </si>
  <si>
    <t>https://static.www.nfl.com/image/upload/f_auto,q_auto/league/e28cwk7tjf3r8uakkj1a</t>
  </si>
  <si>
    <t>00-0040004</t>
  </si>
  <si>
    <t>T.Maguranyanga</t>
  </si>
  <si>
    <t>T.J. Maguranyanga</t>
  </si>
  <si>
    <t>https://static.www.nfl.com/image/upload/f_auto,q_auto/league/gzwkqtfyk6wukjkpil64</t>
  </si>
  <si>
    <t>00-0040007</t>
  </si>
  <si>
    <t>Tyler Booker</t>
  </si>
  <si>
    <t>https://static.www.nfl.com/image/upload/f_auto,q_auto/league/azivrh3fiumeisv0deyi</t>
  </si>
  <si>
    <t>00-0040008</t>
  </si>
  <si>
    <t>S.Revel</t>
  </si>
  <si>
    <t>Shavon Revel Jr.</t>
  </si>
  <si>
    <t>https://static.www.nfl.com/image/upload/f_auto,q_auto/league/af84hncoicg65gvvainl</t>
  </si>
  <si>
    <t>00-0040009</t>
  </si>
  <si>
    <t>https://static.www.nfl.com/image/upload/f_auto,q_auto/league/fkhkv59ojmqixfxkzmno</t>
  </si>
  <si>
    <t>00-0040010</t>
  </si>
  <si>
    <t>B.Sorrell</t>
  </si>
  <si>
    <t>Barryn Sorrell</t>
  </si>
  <si>
    <t>https://static.www.nfl.com/image/upload/f_auto,q_auto/league/pum0i8kdur90wpfqkypv</t>
  </si>
  <si>
    <t>00-0040011</t>
  </si>
  <si>
    <t>S.James</t>
  </si>
  <si>
    <t>Shemar James</t>
  </si>
  <si>
    <t>https://static.www.nfl.com/image/upload/f_auto,q_auto/league/uskv4glg2yn5ye0fz3yl</t>
  </si>
  <si>
    <t>00-0040012</t>
  </si>
  <si>
    <t>C.Oliver</t>
  </si>
  <si>
    <t>Collin Oliver</t>
  </si>
  <si>
    <t>https://static.www.nfl.com/image/upload/f_auto,q_auto/league/oi1m7dfixmjcyq8jaj2f</t>
  </si>
  <si>
    <t>00-0040013</t>
  </si>
  <si>
    <t>S.Mondon</t>
  </si>
  <si>
    <t>Smael Mondon Jr.</t>
  </si>
  <si>
    <t>https://static.www.nfl.com/image/upload/f_auto,q_auto/league/tbyyduioarpumchzmfdj</t>
  </si>
  <si>
    <t>00-0040016</t>
  </si>
  <si>
    <t>W.Brinson</t>
  </si>
  <si>
    <t>Warren Brinson</t>
  </si>
  <si>
    <t>https://static.www.nfl.com/image/upload/f_auto,q_auto/league/wbsv4uzbd2wytxysgznq</t>
  </si>
  <si>
    <t>00-0040019</t>
  </si>
  <si>
    <t>J.Toia</t>
  </si>
  <si>
    <t>Jay Toia</t>
  </si>
  <si>
    <t>https://static.www.nfl.com/image/upload/f_auto,q_auto/league/qletoidqmfaooqky1ra6</t>
  </si>
  <si>
    <t>00-0040020</t>
  </si>
  <si>
    <t>Micah Robinson</t>
  </si>
  <si>
    <t>https://static.www.nfl.com/image/upload/f_auto,q_auto/league/km9fm82gypzf94hhrajh</t>
  </si>
  <si>
    <t>00-0040021</t>
  </si>
  <si>
    <t>P.Mafah</t>
  </si>
  <si>
    <t>https://static.www.nfl.com/image/upload/f_auto,q_auto/league/k1njpmidvzsbe9tithio</t>
  </si>
  <si>
    <t>00-0040024</t>
  </si>
  <si>
    <t>D.Cooper</t>
  </si>
  <si>
    <t>https://static.www.nfl.com/image/upload/f_auto,q_auto/league/gafypo1xvg1cbkt7hj6b</t>
  </si>
  <si>
    <t>00-0040027</t>
  </si>
  <si>
    <t>Brandon Johnson</t>
  </si>
  <si>
    <t>00-0040033</t>
  </si>
  <si>
    <t>J.Baldwin</t>
  </si>
  <si>
    <t>Johnathan Baldwin</t>
  </si>
  <si>
    <t>https://static.www.nfl.com/image/upload/f_auto,q_auto/league/nszonpbrnxmspkzxo5x6</t>
  </si>
  <si>
    <t>00-0040037</t>
  </si>
  <si>
    <t>Jamon Johnson</t>
  </si>
  <si>
    <t>00-0040039</t>
  </si>
  <si>
    <t>A.Johnson</t>
  </si>
  <si>
    <t>https://static.www.nfl.com/image/upload/f_auto,q_auto/league/wnjb3pmx77q3mxvlyjh7</t>
  </si>
  <si>
    <t>00-0040041</t>
  </si>
  <si>
    <t>N.Stackhouse</t>
  </si>
  <si>
    <t>Nazir Stackhouse</t>
  </si>
  <si>
    <t>https://static.www.nfl.com/image/upload/f_auto,q_auto/league/wytykm0xlylytd0mjuhv</t>
  </si>
  <si>
    <t>00-0040044</t>
  </si>
  <si>
    <t>Z.Childress</t>
  </si>
  <si>
    <t>Zion Childress</t>
  </si>
  <si>
    <t>https://static.www.nfl.com/image/upload/f_auto,q_auto/league/ztip0cqmsacdfxfbzp0o</t>
  </si>
  <si>
    <t>00-0040045</t>
  </si>
  <si>
    <t>A.Clark</t>
  </si>
  <si>
    <t>Alijah Clark</t>
  </si>
  <si>
    <t>https://static.www.nfl.com/image/upload/f_auto,q_auto/league/hgngltkqac56xxyijzev</t>
  </si>
  <si>
    <t>00-0040058</t>
  </si>
  <si>
    <t>N.Kallerup</t>
  </si>
  <si>
    <t>https://static.www.nfl.com/image/upload/f_auto,q_auto/league/ct2o0g6obg4yfb6opzlq</t>
  </si>
  <si>
    <t>00-0040061</t>
  </si>
  <si>
    <t>C.O'Toole</t>
  </si>
  <si>
    <t>Connor O'Toole</t>
  </si>
  <si>
    <t>https://static.www.nfl.com/image/upload/f_auto,q_auto/league/fvrgej9ifncdq5ywexos</t>
  </si>
  <si>
    <t>00-0040066</t>
  </si>
  <si>
    <t>J.Woodard</t>
  </si>
  <si>
    <t>Jackson Woodard</t>
  </si>
  <si>
    <t>https://static.www.nfl.com/image/upload/f_auto,q_auto/league/az85ciifheyqiga3yqot</t>
  </si>
  <si>
    <t>00-0040067</t>
  </si>
  <si>
    <t>https://static.www.nfl.com/image/upload/f_auto,q_auto/league/tvfxv5q8uxf9k2wosp0q</t>
  </si>
  <si>
    <t>00-0040068</t>
  </si>
  <si>
    <t>Emery Jones Jr.</t>
  </si>
  <si>
    <t>https://static.www.nfl.com/image/upload/f_auto,q_auto/league/bteu559usxxvvs2duvvv</t>
  </si>
  <si>
    <t>00-0040069</t>
  </si>
  <si>
    <t>T.Buchanan</t>
  </si>
  <si>
    <t>Teddye Buchanan</t>
  </si>
  <si>
    <t>https://static.www.nfl.com/image/upload/f_auto,q_auto/league/gdrupqieujvpskzimnbb</t>
  </si>
  <si>
    <t>00-0040071</t>
  </si>
  <si>
    <t>M.McWilliams</t>
  </si>
  <si>
    <t>Mac McWilliams</t>
  </si>
  <si>
    <t>https://static.www.nfl.com/image/upload/f_auto,q_auto/league/qu2ctz43halajxgtxfwt</t>
  </si>
  <si>
    <t>00-0040072</t>
  </si>
  <si>
    <t>J.Bassa</t>
  </si>
  <si>
    <t>Jeffrey Bassa</t>
  </si>
  <si>
    <t>https://static.www.nfl.com/image/upload/f_auto,q_auto/league/bzt58zbyfoxwxe1nhczt</t>
  </si>
  <si>
    <t>00-0040074</t>
  </si>
  <si>
    <t>T.Loop</t>
  </si>
  <si>
    <t>Tyler Loop</t>
  </si>
  <si>
    <t>https://static.www.nfl.com/image/upload/f_auto,q_auto/league/vp3vows5aq3sgnadgtjf</t>
  </si>
  <si>
    <t>52;49;43;32;41;43;32;27;37;42;28;32;44;28;30;22;25;24;44;31;35;27;36;28;36;27;36;22;34;40</t>
  </si>
  <si>
    <t>55;56;56;44</t>
  </si>
  <si>
    <t>00-0040075</t>
  </si>
  <si>
    <t>L.Wester</t>
  </si>
  <si>
    <t>https://static.www.nfl.com/image/upload/f_auto,q_auto/league/grf2sg34y8tvysnqiamd</t>
  </si>
  <si>
    <t>00-0040076</t>
  </si>
  <si>
    <t>A.Peebles</t>
  </si>
  <si>
    <t>Aeneas Peebles</t>
  </si>
  <si>
    <t>https://static.www.nfl.com/image/upload/f_auto,q_auto/league/fi3wuv7cm3hx5xotrbaq</t>
  </si>
  <si>
    <t>00-0040078</t>
  </si>
  <si>
    <t>https://static.www.nfl.com/image/upload/f_auto,q_auto/league/u3t4csj7hhcgymvb8ldf</t>
  </si>
  <si>
    <t>00-0040089</t>
  </si>
  <si>
    <t>K.Knowles</t>
  </si>
  <si>
    <t>Kevin Knowles</t>
  </si>
  <si>
    <t>https://static.www.nfl.com/image/upload/f_auto,q_auto/league/xgenulob3njuvpzrruvl</t>
  </si>
  <si>
    <t>00-0040092</t>
  </si>
  <si>
    <t>E.Pole</t>
  </si>
  <si>
    <t>Esa Pole</t>
  </si>
  <si>
    <t>https://static.www.nfl.com/image/upload/f_auto,q_auto/league/sycm0risgka3nsidelxs</t>
  </si>
  <si>
    <t>00-0040100</t>
  </si>
  <si>
    <t>J.Higgins</t>
  </si>
  <si>
    <t>Jay Higgins</t>
  </si>
  <si>
    <t>https://static.www.nfl.com/image/upload/f_auto,q_auto/league/zsbevehh3h4bsqiyga5q</t>
  </si>
  <si>
    <t>00-0040104</t>
  </si>
  <si>
    <t>K.Jackson</t>
  </si>
  <si>
    <t>Keondre Jackson</t>
  </si>
  <si>
    <t>https://static.www.nfl.com/image/upload/f_auto,q_auto/league/qfivqhbkjnmtqgzmjuxh</t>
  </si>
  <si>
    <t>00-0040106</t>
  </si>
  <si>
    <t>R.Lowery</t>
  </si>
  <si>
    <t>Reuben Lowery</t>
  </si>
  <si>
    <t>https://static.www.nfl.com/image/upload/f_auto,q_auto/league/izccmtei81rlnzdahwgb</t>
  </si>
  <si>
    <t>00-0040108</t>
  </si>
  <si>
    <t>C.Martin</t>
  </si>
  <si>
    <t>Chandler Martin</t>
  </si>
  <si>
    <t>https://static.www.nfl.com/image/upload/f_auto,q_auto/league/po0lpcvyloyque4kmnjy</t>
  </si>
  <si>
    <t>00-0040116</t>
  </si>
  <si>
    <t>Josh Simmons</t>
  </si>
  <si>
    <t>https://static.www.nfl.com/image/upload/f_auto,q_auto/league/q6zopiqcmhy8fpsxvrdf</t>
  </si>
  <si>
    <t>00-0040118</t>
  </si>
  <si>
    <t>C.McDonald</t>
  </si>
  <si>
    <t>Cooper McDonald</t>
  </si>
  <si>
    <t>https://static.www.nfl.com/image/upload/f_auto,q_auto/league/v0oin5wbqdnsmsf5uckx</t>
  </si>
  <si>
    <t>00-0040122</t>
  </si>
  <si>
    <t>A.Jeanty</t>
  </si>
  <si>
    <t>https://static.www.nfl.com/image/upload/f_auto,q_auto/league/syspis1mntov9kgspb7r</t>
  </si>
  <si>
    <t>00-0040123</t>
  </si>
  <si>
    <t>A.Membou</t>
  </si>
  <si>
    <t>Armand Membou</t>
  </si>
  <si>
    <t>https://static.www.nfl.com/image/upload/f_auto,q_auto/league/wyewrjhhe9ykxpgffvrm</t>
  </si>
  <si>
    <t>00-0040124</t>
  </si>
  <si>
    <t>T.McMillan</t>
  </si>
  <si>
    <t>https://static.www.nfl.com/image/upload/f_auto,q_auto/league/hokqp6gl5xujtlqwecg8</t>
  </si>
  <si>
    <t>00-0040125</t>
  </si>
  <si>
    <t>K.Banks</t>
  </si>
  <si>
    <t>Kelvin Banks Jr.</t>
  </si>
  <si>
    <t>https://static.www.nfl.com/image/upload/f_auto,q_auto/league/pwjfoqwm1af7cjkw7pnr</t>
  </si>
  <si>
    <t>00-0040126</t>
  </si>
  <si>
    <t>C.Loveland</t>
  </si>
  <si>
    <t>https://static.www.nfl.com/image/upload/f_auto,q_auto/league/tyjb6vfug7gaunvcune3</t>
  </si>
  <si>
    <t>00-0040127</t>
  </si>
  <si>
    <t>K.Grant</t>
  </si>
  <si>
    <t>Kenneth Grant</t>
  </si>
  <si>
    <t>https://static.www.nfl.com/image/upload/f_auto,q_auto/league/yzexkikgp5p8gt0pvsex</t>
  </si>
  <si>
    <t>00-0040128</t>
  </si>
  <si>
    <t>T.Warren</t>
  </si>
  <si>
    <t>https://static.www.nfl.com/image/upload/f_auto,q_auto/league/jt2almbzdk0kbha39otb</t>
  </si>
  <si>
    <t>00-0040129</t>
  </si>
  <si>
    <t>E.Egbuka</t>
  </si>
  <si>
    <t>https://static.www.nfl.com/image/upload/f_auto,q_auto/league/qolqqtwamffi0pi4np7h</t>
  </si>
  <si>
    <t>00-0040130</t>
  </si>
  <si>
    <t>https://static.www.nfl.com/image/upload/f_auto,q_auto/league/wrdw1u4onrmfuuluuipk</t>
  </si>
  <si>
    <t>00-0040131</t>
  </si>
  <si>
    <t>https://static.www.nfl.com/image/upload/f_auto,q_auto/league/bu31c2ino065kazsn541</t>
  </si>
  <si>
    <t>00-0040133</t>
  </si>
  <si>
    <t>Azareye'h Thomas</t>
  </si>
  <si>
    <t>https://static.www.nfl.com/image/upload/f_auto,q_auto/league/yects9qe1kkzkmiunvok</t>
  </si>
  <si>
    <t>00-0040134</t>
  </si>
  <si>
    <t>P.Bryant</t>
  </si>
  <si>
    <t>https://static.www.nfl.com/image/upload/f_auto,q_auto/league/ljo1rgbaewlzsf7tvavm</t>
  </si>
  <si>
    <t>00-0040135</t>
  </si>
  <si>
    <t>N.Martin</t>
  </si>
  <si>
    <t>Nick Martin</t>
  </si>
  <si>
    <t>https://static.www.nfl.com/image/upload/f_auto,q_auto/league/cbeyemtjdosfcdhpy1fx</t>
  </si>
  <si>
    <t>00-0040136</t>
  </si>
  <si>
    <t>P.Umanmielen</t>
  </si>
  <si>
    <t>Princely Umanmielen</t>
  </si>
  <si>
    <t>https://static.www.nfl.com/image/upload/f_auto,q_auto/league/tujabrenppanxhgla1ed</t>
  </si>
  <si>
    <t>00-0040137</t>
  </si>
  <si>
    <t>J.Burch</t>
  </si>
  <si>
    <t>Jordan Burch</t>
  </si>
  <si>
    <t>https://static.www.nfl.com/image/upload/f_auto,q_auto/league/rli6n2wa6jzapeiffwqj</t>
  </si>
  <si>
    <t>00-0040138</t>
  </si>
  <si>
    <t>J.Noel</t>
  </si>
  <si>
    <t>https://static.www.nfl.com/image/upload/f_auto,q_auto/league/dajbyvtsggwqinlijxnf</t>
  </si>
  <si>
    <t>00-0040140</t>
  </si>
  <si>
    <t>D.Fairchild</t>
  </si>
  <si>
    <t>Dylan Fairchild</t>
  </si>
  <si>
    <t>https://static.www.nfl.com/image/upload/f_auto,q_auto/league/ujw65oq2betcbfqrw4qz</t>
  </si>
  <si>
    <t>00-0040141</t>
  </si>
  <si>
    <t>K.Winston</t>
  </si>
  <si>
    <t>Kevin Winston Jr.</t>
  </si>
  <si>
    <t>https://static.www.nfl.com/image/upload/f_auto,q_auto/league/zeai9xuvlquhwkzztbua</t>
  </si>
  <si>
    <t>00-0040142</t>
  </si>
  <si>
    <t>https://static.www.nfl.com/image/upload/f_auto,q_auto/league/sblojderaku4qta1lj2b</t>
  </si>
  <si>
    <t>00-0040143</t>
  </si>
  <si>
    <t>J.Parrish</t>
  </si>
  <si>
    <t>Jacob Parrish</t>
  </si>
  <si>
    <t>https://static.www.nfl.com/image/upload/f_auto,q_auto/league/xspc6ojezhpflx0jorx4</t>
  </si>
  <si>
    <t>00-0040144</t>
  </si>
  <si>
    <t>J.Caldwell</t>
  </si>
  <si>
    <t>Jamaree Caldwell</t>
  </si>
  <si>
    <t>https://static.www.nfl.com/image/upload/f_auto,q_auto/league/odlxf3hv35v963nnbhyw</t>
  </si>
  <si>
    <t>00-0040147</t>
  </si>
  <si>
    <t>J.Wilson</t>
  </si>
  <si>
    <t>Jared Wilson</t>
  </si>
  <si>
    <t>https://static.www.nfl.com/image/upload/f_auto,q_auto/league/tzhrcjgsytozunwl3ovt</t>
  </si>
  <si>
    <t>00-0040148</t>
  </si>
  <si>
    <t>X.Watts</t>
  </si>
  <si>
    <t>Xavier Watts</t>
  </si>
  <si>
    <t>https://static.www.nfl.com/image/upload/f_auto,q_auto/league/e0eyuvs0sknx8xytwbcm</t>
  </si>
  <si>
    <t>00-0040149</t>
  </si>
  <si>
    <t>Jaylin Smith</t>
  </si>
  <si>
    <t>https://static.www.nfl.com/image/upload/f_auto,q_auto/league/pm4jhvtvmy4uvtcuxzpj</t>
  </si>
  <si>
    <t>00-0040150</t>
  </si>
  <si>
    <t>C.Rogers</t>
  </si>
  <si>
    <t>Caleb Rogers</t>
  </si>
  <si>
    <t>https://static.www.nfl.com/image/upload/f_auto,q_auto/league/kb4qmwui2cqsllri7jyt</t>
  </si>
  <si>
    <t>00-0040152</t>
  </si>
  <si>
    <t>U.Stout</t>
  </si>
  <si>
    <t>Upton Stout</t>
  </si>
  <si>
    <t>https://static.www.nfl.com/image/upload/f_auto,q_auto/league/igyjtgzayft05v01yhuz</t>
  </si>
  <si>
    <t>00-0040153</t>
  </si>
  <si>
    <t>S.Jones</t>
  </si>
  <si>
    <t>Sai'vion Jones</t>
  </si>
  <si>
    <t>https://static.www.nfl.com/image/upload/f_auto,q_auto/league/jjgdpeo20czi30cxjza9</t>
  </si>
  <si>
    <t>00-0040154</t>
  </si>
  <si>
    <t>T.Felton</t>
  </si>
  <si>
    <t>https://static.www.nfl.com/image/upload/f_auto,q_auto/league/j7vkt74xeefchpraibnx</t>
  </si>
  <si>
    <t>00-0040155</t>
  </si>
  <si>
    <t>D.Stutsman</t>
  </si>
  <si>
    <t>Danny Stutsman</t>
  </si>
  <si>
    <t>https://static.www.nfl.com/image/upload/f_auto,q_auto/league/nww5qdmhiifl2rgls4up</t>
  </si>
  <si>
    <t>00-0040156</t>
  </si>
  <si>
    <t>B.Bowman</t>
  </si>
  <si>
    <t>Billy Bowman Jr.</t>
  </si>
  <si>
    <t>https://static.www.nfl.com/image/upload/f_auto,q_auto/league/dsgmlgxhg7smwfepuscl</t>
  </si>
  <si>
    <t>00-0040157</t>
  </si>
  <si>
    <t>B.Carter</t>
  </si>
  <si>
    <t>Barrett Carter</t>
  </si>
  <si>
    <t>https://static.www.nfl.com/image/upload/f_auto,q_auto/league/lyoza4nusuj5ocndg663</t>
  </si>
  <si>
    <t>00-0040159</t>
  </si>
  <si>
    <t>L.Ransom</t>
  </si>
  <si>
    <t>Lathan Ransom</t>
  </si>
  <si>
    <t>https://static.www.nfl.com/image/upload/f_auto,q_auto/league/nfytveo0hvpm3whml1hv</t>
  </si>
  <si>
    <t>00-0040160</t>
  </si>
  <si>
    <t>J.Sawyer</t>
  </si>
  <si>
    <t>Jack Sawyer</t>
  </si>
  <si>
    <t>https://static.www.nfl.com/image/upload/f_auto,q_auto/league/pspl1gft3xd6rycuyf15</t>
  </si>
  <si>
    <t>00-0040161</t>
  </si>
  <si>
    <t>K.Kennard</t>
  </si>
  <si>
    <t>Kyle Kennard</t>
  </si>
  <si>
    <t>https://static.www.nfl.com/image/upload/f_auto,q_auto/league/beyc1p4pefkpswtczp4x</t>
  </si>
  <si>
    <t>00-0040162</t>
  </si>
  <si>
    <t>D.Sampson</t>
  </si>
  <si>
    <t>https://static.www.nfl.com/image/upload/f_auto,q_auto/league/den1hzzomdxfcsgk88o5</t>
  </si>
  <si>
    <t>00-0040163</t>
  </si>
  <si>
    <t>J.Travis</t>
  </si>
  <si>
    <t>Jalen Travis</t>
  </si>
  <si>
    <t>https://static.www.nfl.com/image/upload/f_auto,q_auto/league/iinog7u4y6t4xkj01ud2</t>
  </si>
  <si>
    <t>00-0040164</t>
  </si>
  <si>
    <t>J.Lane</t>
  </si>
  <si>
    <t>https://static.www.nfl.com/image/upload/f_auto,q_auto/league/ozgin9atyuq92buo2eoa</t>
  </si>
  <si>
    <t>00-0040165</t>
  </si>
  <si>
    <t>M.Moore</t>
  </si>
  <si>
    <t>Malachi Moore</t>
  </si>
  <si>
    <t>https://static.www.nfl.com/image/upload/f_auto,q_auto/league/p8qkvfe7fk7yst0mne5m</t>
  </si>
  <si>
    <t>00-0040166</t>
  </si>
  <si>
    <t>Q.Riley</t>
  </si>
  <si>
    <t>Quincy Riley</t>
  </si>
  <si>
    <t>https://static.www.nfl.com/image/upload/f_auto,q_auto/league/q4qlahpfgvbren4xt0pj</t>
  </si>
  <si>
    <t>00-0040167</t>
  </si>
  <si>
    <t>R.Hyppolite</t>
  </si>
  <si>
    <t>Ruben Hyppolite II</t>
  </si>
  <si>
    <t>https://static.www.nfl.com/image/upload/f_auto,q_auto/league/vnw1vo7so5m4xfhhckc4</t>
  </si>
  <si>
    <t>00-0040168</t>
  </si>
  <si>
    <t>Q.Robinson</t>
  </si>
  <si>
    <t>Que Robinson</t>
  </si>
  <si>
    <t>https://static.www.nfl.com/image/upload/f_auto,q_auto/league/is2yod1ytmcacyyqotj5</t>
  </si>
  <si>
    <t>00-0040169</t>
  </si>
  <si>
    <t>T.Hemingway</t>
  </si>
  <si>
    <t>Tonka Hemingway</t>
  </si>
  <si>
    <t>https://static.www.nfl.com/image/upload/f_auto,q_auto/league/naoeqgrcfxdgtdrimc6v</t>
  </si>
  <si>
    <t>00-0040170</t>
  </si>
  <si>
    <t>E.Ayomanor</t>
  </si>
  <si>
    <t>https://static.www.nfl.com/image/upload/f_auto,q_auto/league/aekfvt5nyl69emvxr2yj</t>
  </si>
  <si>
    <t>00-0040171</t>
  </si>
  <si>
    <t>J.Farmer</t>
  </si>
  <si>
    <t>Joshua Farmer</t>
  </si>
  <si>
    <t>https://static.www.nfl.com/image/upload/f_auto,q_auto/league/az6rfypeom5vj5xymqbw</t>
  </si>
  <si>
    <t>00-0040172</t>
  </si>
  <si>
    <t>J.Watkins</t>
  </si>
  <si>
    <t>https://static.www.nfl.com/image/upload/f_auto,q_auto/league/cdwpo3lveebc92rzcdas</t>
  </si>
  <si>
    <t>00-0040173</t>
  </si>
  <si>
    <t>T.Ingram-Dawkins</t>
  </si>
  <si>
    <t>Tyrion Ingram-Dawkins</t>
  </si>
  <si>
    <t>https://static.www.nfl.com/image/upload/f_auto,q_auto/league/lkpgbo1ftwfrp18wrbxv</t>
  </si>
  <si>
    <t>00-0040174</t>
  </si>
  <si>
    <t>C.Jackson</t>
  </si>
  <si>
    <t>Cam Jackson</t>
  </si>
  <si>
    <t>https://static.www.nfl.com/image/upload/f_auto,q_auto/league/xxxuppsldwpxstrwfo9u</t>
  </si>
  <si>
    <t>00-0040175</t>
  </si>
  <si>
    <t>Jo.Phillips</t>
  </si>
  <si>
    <t>https://static.www.nfl.com/image/upload/f_auto,q_auto/league/e9ggqzobdb4aevpq3rlc</t>
  </si>
  <si>
    <t>00-0040176</t>
  </si>
  <si>
    <t>B.Swinson</t>
  </si>
  <si>
    <t>Bradyn Swinson</t>
  </si>
  <si>
    <t>https://static.www.nfl.com/image/upload/f_auto,q_auto/league/jchmem1r3llp4iosoclt</t>
  </si>
  <si>
    <t>00-0040178</t>
  </si>
  <si>
    <t>J.Marshall</t>
  </si>
  <si>
    <t>Jason Marshall Jr.</t>
  </si>
  <si>
    <t>https://static.www.nfl.com/image/upload/f_auto,q_auto/league/chf1ow0awwha9hrcoqxc</t>
  </si>
  <si>
    <t>00-0040179</t>
  </si>
  <si>
    <t>D.Giddens</t>
  </si>
  <si>
    <t>https://static.www.nfl.com/image/upload/f_auto,q_auto/league/uohb3wkn00ew1chqyjue</t>
  </si>
  <si>
    <t>00-0040180</t>
  </si>
  <si>
    <t>J.Rivers</t>
  </si>
  <si>
    <t>Jalen Rivers</t>
  </si>
  <si>
    <t>https://static.www.nfl.com/image/upload/f_auto,q_auto/league/yypchbzegba5ptv3yqbf</t>
  </si>
  <si>
    <t>00-0040181</t>
  </si>
  <si>
    <t>M.Mbow</t>
  </si>
  <si>
    <t>Marcus Mbow</t>
  </si>
  <si>
    <t>https://static.www.nfl.com/image/upload/f_auto,q_auto/league/frnz5wwezwz01rxxbeeh</t>
  </si>
  <si>
    <t>00-0040182</t>
  </si>
  <si>
    <t>D.Trader</t>
  </si>
  <si>
    <t>Dante Trader Jr.</t>
  </si>
  <si>
    <t>https://static.www.nfl.com/image/upload/f_auto,q_auto/league/nffbi3a32ngmczzvxcz0</t>
  </si>
  <si>
    <t>00-0040183</t>
  </si>
  <si>
    <t>Elijah Roberts</t>
  </si>
  <si>
    <t>https://static.www.nfl.com/image/upload/f_auto,q_auto/league/wbr8dtnyw18fpq6tt7lh</t>
  </si>
  <si>
    <t>00-0040184</t>
  </si>
  <si>
    <t>K.Lambert-Smith</t>
  </si>
  <si>
    <t>https://static.www.nfl.com/image/upload/f_auto,q_auto/league/xhhzgylwh0ptvpaghnuu</t>
  </si>
  <si>
    <t>00-0040185</t>
  </si>
  <si>
    <t>M.Sigle</t>
  </si>
  <si>
    <t>Marques Sigle</t>
  </si>
  <si>
    <t>https://static.www.nfl.com/image/upload/f_auto,q_auto/league/njl59cs0r2vlnob8uz8k</t>
  </si>
  <si>
    <t>00-0040186</t>
  </si>
  <si>
    <t>F.Mauigoa</t>
  </si>
  <si>
    <t>Francisco Mauigoa</t>
  </si>
  <si>
    <t>https://static.www.nfl.com/image/upload/f_auto,q_auto/league/e9v5ipktxb3yepsq0abj</t>
  </si>
  <si>
    <t>00-0040187</t>
  </si>
  <si>
    <t>https://static.www.nfl.com/image/upload/f_auto,q_auto/league/gbu3iik4i1mi6vllmwlz</t>
  </si>
  <si>
    <t>00-0040188</t>
  </si>
  <si>
    <t>Y.Black</t>
  </si>
  <si>
    <t>Yahya Black</t>
  </si>
  <si>
    <t>https://static.www.nfl.com/image/upload/f_auto,q_auto/league/nhynksyggst8wuiprrfo</t>
  </si>
  <si>
    <t>00-0040189</t>
  </si>
  <si>
    <t>O.Gadsden</t>
  </si>
  <si>
    <t>Oronde Gadsden II</t>
  </si>
  <si>
    <t>https://static.www.nfl.com/image/upload/f_auto,q_auto/league/r8b4oghjwhw8x9nv1wbs</t>
  </si>
  <si>
    <t>00-0040192</t>
  </si>
  <si>
    <t>J.Hancock</t>
  </si>
  <si>
    <t>Jordan Hancock</t>
  </si>
  <si>
    <t>https://static.www.nfl.com/image/upload/f_auto,q_auto/league/si9jap5xrlrxqge8tu2n</t>
  </si>
  <si>
    <t>00-0040193</t>
  </si>
  <si>
    <t>M.Frazier</t>
  </si>
  <si>
    <t>Miles Frazier</t>
  </si>
  <si>
    <t>https://static.www.nfl.com/image/upload/f_auto,q_auto/league/asa4zimgj3iqzky8kz46</t>
  </si>
  <si>
    <t>00-0040194</t>
  </si>
  <si>
    <t>J.Hawes</t>
  </si>
  <si>
    <t>https://static.www.nfl.com/image/upload/f_auto,q_auto/league/nmulibermshvvmemgupo</t>
  </si>
  <si>
    <t>00-0040195</t>
  </si>
  <si>
    <t>D.Burke</t>
  </si>
  <si>
    <t>Denzel Burke</t>
  </si>
  <si>
    <t>https://static.www.nfl.com/image/upload/f_auto,q_auto/league/bbw1bwj7tnuiv8vyc48b</t>
  </si>
  <si>
    <t>00-0040196</t>
  </si>
  <si>
    <t>T.Baron</t>
  </si>
  <si>
    <t>Tyler Baron</t>
  </si>
  <si>
    <t>https://static.www.nfl.com/image/upload/f_auto,q_auto/league/v9mbzoaeie7jm6jt4gdx</t>
  </si>
  <si>
    <t>00-0040197</t>
  </si>
  <si>
    <t>D.Strong</t>
  </si>
  <si>
    <t>Dorian Strong</t>
  </si>
  <si>
    <t>https://static.www.nfl.com/image/upload/f_auto,q_auto/league/alxdcy6excheslkfjcfk</t>
  </si>
  <si>
    <t>00-0040198</t>
  </si>
  <si>
    <t>O.Gordon</t>
  </si>
  <si>
    <t>https://static.www.nfl.com/image/upload/f_auto,q_auto/league/bv33rgypaauv7sealwkr</t>
  </si>
  <si>
    <t>00-0040199</t>
  </si>
  <si>
    <t>J.Pegues</t>
  </si>
  <si>
    <t>JJ Pegues</t>
  </si>
  <si>
    <t>https://static.www.nfl.com/image/upload/f_auto,q_auto/league/dvqvxiv0lmy8wyunoztu</t>
  </si>
  <si>
    <t>00-0040200</t>
  </si>
  <si>
    <t>A.Borregales</t>
  </si>
  <si>
    <t>Andy Borregales</t>
  </si>
  <si>
    <t>https://static.www.nfl.com/image/upload/f_auto,q_auto/league/jgxnjxhysqwqk4fgf1ke</t>
  </si>
  <si>
    <t>35;44;22;53;30;19;52;24;36;36;32;42;32;44;26;41;45;19;52;22;30;28;23;36;45;41;59</t>
  </si>
  <si>
    <t>40;45;45;41</t>
  </si>
  <si>
    <t>00-0040201</t>
  </si>
  <si>
    <t>M.Harris</t>
  </si>
  <si>
    <t>Marcus Harris</t>
  </si>
  <si>
    <t>https://static.www.nfl.com/image/upload/f_auto,q_auto/league/hvjye0qefdut1vzbcgkh</t>
  </si>
  <si>
    <t>00-0040202</t>
  </si>
  <si>
    <t>D.Neal</t>
  </si>
  <si>
    <t>https://static.www.nfl.com/image/upload/f_auto,q_auto/league/e0pzghslevb27ssozx4s</t>
  </si>
  <si>
    <t>00-0040204</t>
  </si>
  <si>
    <t>Jaylen Reed</t>
  </si>
  <si>
    <t>https://static.www.nfl.com/image/upload/f_auto,q_auto/league/xwfbvbjref1iuik9qhx8</t>
  </si>
  <si>
    <t>00-0040205</t>
  </si>
  <si>
    <t>K.Mullings</t>
  </si>
  <si>
    <t>https://static.www.nfl.com/image/upload/f_auto,q_auto/league/jaymtuoljhnetzekrgqx</t>
  </si>
  <si>
    <t>00-0040206</t>
  </si>
  <si>
    <t>R.Leonard</t>
  </si>
  <si>
    <t>Riley Leonard</t>
  </si>
  <si>
    <t>https://static.www.nfl.com/image/upload/f_auto,q_auto/league/vzdcrhp4p5kjmuhn7yay</t>
  </si>
  <si>
    <t>00-0040208</t>
  </si>
  <si>
    <t>T.Brooks</t>
  </si>
  <si>
    <t>https://static.www.nfl.com/image/upload/f_auto,q_auto/league/wi7smnfts8t04wnd0n3p</t>
  </si>
  <si>
    <t>00-0040212</t>
  </si>
  <si>
    <t>B.Taylor</t>
  </si>
  <si>
    <t>Branson Taylor</t>
  </si>
  <si>
    <t>https://static.www.nfl.com/image/upload/f_auto,q_auto/league/hwnhjli2jqpgvguvzxzg</t>
  </si>
  <si>
    <t>00-0040213</t>
  </si>
  <si>
    <t>R.Lane</t>
  </si>
  <si>
    <t>Rayuan Lane III</t>
  </si>
  <si>
    <t>https://static.www.nfl.com/image/upload/f_auto,q_auto/league/emzamsuwuuxtpw4natjw</t>
  </si>
  <si>
    <t>00-0040214</t>
  </si>
  <si>
    <t>K.King</t>
  </si>
  <si>
    <t>Kobe King</t>
  </si>
  <si>
    <t>https://static.www.nfl.com/image/upload/f_auto,q_auto/league/sdbdytvgxowtgi92inpv</t>
  </si>
  <si>
    <t>00-0040216</t>
  </si>
  <si>
    <t>K.Medrano</t>
  </si>
  <si>
    <t>Kain Medrano</t>
  </si>
  <si>
    <t>https://static.www.nfl.com/image/upload/f_auto,q_auto/league/a9c6sezqfgnpwxnc3sl2</t>
  </si>
  <si>
    <t>00-0040218</t>
  </si>
  <si>
    <t>Ji.Horn</t>
  </si>
  <si>
    <t>https://static.www.nfl.com/image/upload/f_auto,q_auto/league/gggcgfbghcft0xwxtrhk</t>
  </si>
  <si>
    <t>00-0040221</t>
  </si>
  <si>
    <t>R.Mickens</t>
  </si>
  <si>
    <t>R.J. Mickens</t>
  </si>
  <si>
    <t>https://static.www.nfl.com/image/upload/f_auto,q_auto/league/ukzfqydyiezmemut0zoe</t>
  </si>
  <si>
    <t>00-0040223</t>
  </si>
  <si>
    <t>J.Crawshaw</t>
  </si>
  <si>
    <t>Jeremy Crawshaw</t>
  </si>
  <si>
    <t>https://static.www.nfl.com/image/upload/f_auto,q_auto/league/nqnll8kqdpeuajt2lkyx</t>
  </si>
  <si>
    <t>00-0040224</t>
  </si>
  <si>
    <t>J.Nelson</t>
  </si>
  <si>
    <t>Jack Nelson</t>
  </si>
  <si>
    <t>https://static.www.nfl.com/image/upload/f_auto,q_auto/league/b7u6stspsu1odnwktqwz</t>
  </si>
  <si>
    <t>00-0040225</t>
  </si>
  <si>
    <t>T.Fidone</t>
  </si>
  <si>
    <t>https://static.www.nfl.com/image/upload/f_auto,q_auto/league/vbaqpkcxcfwh9dhzescy</t>
  </si>
  <si>
    <t>00-0040228</t>
  </si>
  <si>
    <t>C.Lindenberg</t>
  </si>
  <si>
    <t>Cody Lindenberg</t>
  </si>
  <si>
    <t>https://static.www.nfl.com/image/upload/f_auto,q_auto/league/fkyosruw3thae4zuxksu</t>
  </si>
  <si>
    <t>00-0040230</t>
  </si>
  <si>
    <t>K.Crawford</t>
  </si>
  <si>
    <t>Kitan Crawford</t>
  </si>
  <si>
    <t>https://static.www.nfl.com/image/upload/f_auto,q_auto/league/yitfnwsstvdstxcktfh6</t>
  </si>
  <si>
    <t>00-0040231</t>
  </si>
  <si>
    <t>C.Bruener</t>
  </si>
  <si>
    <t>Carson Bruener</t>
  </si>
  <si>
    <t>https://static.www.nfl.com/image/upload/f_auto,q_auto/league/vuf75qxgpwpimtkt8skl</t>
  </si>
  <si>
    <t>00-0040234</t>
  </si>
  <si>
    <t>Q.Ewers</t>
  </si>
  <si>
    <t>Quinn Ewers</t>
  </si>
  <si>
    <t>https://static.www.nfl.com/image/upload/f_auto,q_auto/league/wikumn4ijbsxyuhtv1vz</t>
  </si>
  <si>
    <t>00-0040236</t>
  </si>
  <si>
    <t>K.Monangai</t>
  </si>
  <si>
    <t>https://static.www.nfl.com/image/upload/f_auto,q_auto/league/cici2wf1walmoluhe95i</t>
  </si>
  <si>
    <t>00-0040237</t>
  </si>
  <si>
    <t>https://static.www.nfl.com/image/upload/f_auto,q_auto/league/zjtu1bcayjh9qunkxs9z</t>
  </si>
  <si>
    <t>00-0040238</t>
  </si>
  <si>
    <t>L.Allen</t>
  </si>
  <si>
    <t>https://static.www.nfl.com/image/upload/f_auto,q_auto/league/i0utigksuuvo2njb9wtk</t>
  </si>
  <si>
    <t>00-0040241</t>
  </si>
  <si>
    <t>D.Lovett</t>
  </si>
  <si>
    <t>https://static.www.nfl.com/image/upload/f_auto,q_auto/league/fzxlfb3wl37vyzwfmbmk</t>
  </si>
  <si>
    <t>00-0040242</t>
  </si>
  <si>
    <t>J.Croskey-Merritt</t>
  </si>
  <si>
    <t>https://static.www.nfl.com/image/upload/f_auto,q_auto/league/tklzj7zzve1t4z2hhr1g</t>
  </si>
  <si>
    <t>00-0040243</t>
  </si>
  <si>
    <t>K.Black</t>
  </si>
  <si>
    <t>Korie Black</t>
  </si>
  <si>
    <t>https://static.www.nfl.com/image/upload/f_auto,q_auto/league/ulzvk0ytwjmtrqemlmhd</t>
  </si>
  <si>
    <t>00-0040244</t>
  </si>
  <si>
    <t>M.Matavao</t>
  </si>
  <si>
    <t>https://static.www.nfl.com/image/upload/f_auto,q_auto/league/rwiaj2lks7kzqbxdulyy</t>
  </si>
  <si>
    <t>00-0040245</t>
  </si>
  <si>
    <t>C.Colby</t>
  </si>
  <si>
    <t>Connor Colby</t>
  </si>
  <si>
    <t>https://static.www.nfl.com/image/upload/f_auto,q_auto/league/b0b2krvxbpylwerralyx</t>
  </si>
  <si>
    <t>00-0040246</t>
  </si>
  <si>
    <t>J.Ashby</t>
  </si>
  <si>
    <t>Julian Ashby</t>
  </si>
  <si>
    <t>https://static.www.nfl.com/image/upload/f_auto,q_auto/league/qlam8vwdvr3fxlbcbotw</t>
  </si>
  <si>
    <t>00-0040248</t>
  </si>
  <si>
    <t>Z.Biggers</t>
  </si>
  <si>
    <t>Zeek Biggers</t>
  </si>
  <si>
    <t>https://static.www.nfl.com/image/upload/f_auto,q_auto/league/koyblxerkw9bj2ui64th</t>
  </si>
  <si>
    <t>00-0040249</t>
  </si>
  <si>
    <t>F.Diggs</t>
  </si>
  <si>
    <t>Fadil Diggs</t>
  </si>
  <si>
    <t>https://static.www.nfl.com/image/upload/f_auto,q_auto/league/oyuhjwmnw2mnr75h5udw</t>
  </si>
  <si>
    <t>00-0040251</t>
  </si>
  <si>
    <t>T.Bridges</t>
  </si>
  <si>
    <t>Trikweze Bridges</t>
  </si>
  <si>
    <t>https://static.www.nfl.com/image/upload/f_auto,q_auto/league/gjjfpzprpesl0q2ujavn</t>
  </si>
  <si>
    <t>00-0040252</t>
  </si>
  <si>
    <t>K.Minor</t>
  </si>
  <si>
    <t>Kobee Minor</t>
  </si>
  <si>
    <t>https://static.www.nfl.com/image/upload/f_auto,q_auto/league/ni03g9qaavvfbyzt7zck</t>
  </si>
  <si>
    <t>00-0040255</t>
  </si>
  <si>
    <t>A.Huntington</t>
  </si>
  <si>
    <t>Adin Huntington</t>
  </si>
  <si>
    <t>https://static.www.nfl.com/image/upload/f_auto,q_auto/league/zqevui8ikmsi20blzgot</t>
  </si>
  <si>
    <t>00-0040258</t>
  </si>
  <si>
    <t>Dom Jones</t>
  </si>
  <si>
    <t>https://static.www.nfl.com/image/upload/f_auto,q_auto/league/drlhingyoocycjx2j7qc</t>
  </si>
  <si>
    <t>00-0040259</t>
  </si>
  <si>
    <t>G.Larvadain</t>
  </si>
  <si>
    <t>https://static.www.nfl.com/image/upload/f_auto,q_auto/league/ghzcze6fe8cmvu2vrkyo</t>
  </si>
  <si>
    <t>00-0040261</t>
  </si>
  <si>
    <t>E.Mascarenas-Arnold</t>
  </si>
  <si>
    <t>Easton Mascarenas-Arnold</t>
  </si>
  <si>
    <t>https://static.www.nfl.com/image/upload/f_auto,q_auto/league/ms3shd56ki1juzpdzuly</t>
  </si>
  <si>
    <t>00-0040263</t>
  </si>
  <si>
    <t>D.McMillon</t>
  </si>
  <si>
    <t>Donovan McMillon</t>
  </si>
  <si>
    <t>https://static.www.nfl.com/image/upload/f_auto,q_auto/league/fbnuqvyuya1btewfzslw</t>
  </si>
  <si>
    <t>00-0040277</t>
  </si>
  <si>
    <t>J.Walker</t>
  </si>
  <si>
    <t>https://static.www.nfl.com/image/upload/f_auto,q_auto/league/h3pgfkuao7n0txq0qtd6</t>
  </si>
  <si>
    <t>00-0040279</t>
  </si>
  <si>
    <t>R.Fitzgerald</t>
  </si>
  <si>
    <t>Ryan Fitzgerald</t>
  </si>
  <si>
    <t>https://static.www.nfl.com/image/upload/f_auto,q_auto/league/abfug5vjak5ixdcqca7x</t>
  </si>
  <si>
    <t>48;27;57;35;41;35;49;31;55;33;30;29;48;49;29;34;28;25;33;40;27;41;48;35</t>
  </si>
  <si>
    <t>55;32;57;54</t>
  </si>
  <si>
    <t>33;49;28</t>
  </si>
  <si>
    <t>00-0040289</t>
  </si>
  <si>
    <t>B.Martin-Scott</t>
  </si>
  <si>
    <t>Bam Martin-Scott</t>
  </si>
  <si>
    <t>https://static.www.nfl.com/image/upload/f_auto,q_auto/league/fvfw5drjy4cxaotvve69</t>
  </si>
  <si>
    <t>00-0040295</t>
  </si>
  <si>
    <t>Trevian Thomas</t>
  </si>
  <si>
    <t>https://static.www.nfl.com/image/upload/f_auto,q_auto/league/h1dafnkoaft9gldc6beo</t>
  </si>
  <si>
    <t>00-0040296</t>
  </si>
  <si>
    <t>C.Thornton</t>
  </si>
  <si>
    <t>Corey Thornton</t>
  </si>
  <si>
    <t>https://static.www.nfl.com/image/upload/f_auto,q_auto/league/tlmmgdiwijyhzguzyjwy</t>
  </si>
  <si>
    <t>00-0040311</t>
  </si>
  <si>
    <t>T.Wease</t>
  </si>
  <si>
    <t>https://static.www.nfl.com/image/upload/f_auto,q_auto/league/iykujtgwn2x1ymy7jdxw</t>
  </si>
  <si>
    <t>00-0040314</t>
  </si>
  <si>
    <t>R.Barber</t>
  </si>
  <si>
    <t>Ricky Barber</t>
  </si>
  <si>
    <t>https://static.www.nfl.com/image/upload/f_auto,q_auto/league/vughlwfjshabiavyyxfs</t>
  </si>
  <si>
    <t>00-0040317</t>
  </si>
  <si>
    <t>Ja.Jones</t>
  </si>
  <si>
    <t>https://static.www.nfl.com/image/upload/f_auto,q_auto/league/jfy4bvrbzlpyreglk79s</t>
  </si>
  <si>
    <t>00-0040318</t>
  </si>
  <si>
    <t>A.Kaho</t>
  </si>
  <si>
    <t>Ale Kaho</t>
  </si>
  <si>
    <t>https://static.www.nfl.com/image/upload/f_auto,q_auto/league/roqau9uehkwexrwqij8u</t>
  </si>
  <si>
    <t>00-0040326</t>
  </si>
  <si>
    <t>B.Combs</t>
  </si>
  <si>
    <t>Branson Combs</t>
  </si>
  <si>
    <t>https://static.www.nfl.com/image/upload/f_auto,q_auto/league/vw3vnd5qllxsvf6eeinn</t>
  </si>
  <si>
    <t>00-0040328</t>
  </si>
  <si>
    <t>E.Downs</t>
  </si>
  <si>
    <t>Ethan Downs</t>
  </si>
  <si>
    <t>https://static.www.nfl.com/image/upload/f_auto,q_auto/league/somszafluhppwnnplu8i</t>
  </si>
  <si>
    <t>00-0040329</t>
  </si>
  <si>
    <t>B.Green</t>
  </si>
  <si>
    <t>BJ Green II</t>
  </si>
  <si>
    <t>https://static.www.nfl.com/image/upload/f_auto,q_auto/league/ozs0yiy8cfhwplbjdgnd</t>
  </si>
  <si>
    <t>00-0040339</t>
  </si>
  <si>
    <t>C.Silmon-Craig</t>
  </si>
  <si>
    <t>Cam'Ron Silmon-Craig</t>
  </si>
  <si>
    <t>https://static.www.nfl.com/image/upload/f_auto,q_auto/league/sdlpu4khplzqtchb5syg</t>
  </si>
  <si>
    <t>00-0040342</t>
  </si>
  <si>
    <t>D.Striggow</t>
  </si>
  <si>
    <t>Danny Striggow</t>
  </si>
  <si>
    <t>https://static.www.nfl.com/image/upload/f_auto,q_auto/league/qalm38ldbufzxr5lbbjk</t>
  </si>
  <si>
    <t>00-0040347</t>
  </si>
  <si>
    <t>J.Edwards</t>
  </si>
  <si>
    <t>Johnathan Edwards</t>
  </si>
  <si>
    <t>https://static.www.nfl.com/image/upload/f_auto,q_auto/league/hvshzsyqwcqqtfdltrpu</t>
  </si>
  <si>
    <t>00-0040352</t>
  </si>
  <si>
    <t>C.Owen</t>
  </si>
  <si>
    <t>https://static.www.nfl.com/image/upload/f_auto,q_auto/league/rvjkyuhymdjax5jk9bf6</t>
  </si>
  <si>
    <t>00-0040357</t>
  </si>
  <si>
    <t>Trey Washington</t>
  </si>
  <si>
    <t>https://static.www.nfl.com/image/upload/f_auto,q_auto/league/p3t9mxultgfpepu09sme</t>
  </si>
  <si>
    <t>00-0040362</t>
  </si>
  <si>
    <t>Keonta Jenkins</t>
  </si>
  <si>
    <t>https://static.www.nfl.com/image/upload/f_auto,q_auto/league/dfm3e8943azsxp4zwpr7</t>
  </si>
  <si>
    <t>00-0040363</t>
  </si>
  <si>
    <t>K.Latu</t>
  </si>
  <si>
    <t>https://static.www.nfl.com/image/upload/f_auto,q_auto/league/yqhw4wguafosmzae7idl</t>
  </si>
  <si>
    <t>00-0040369</t>
  </si>
  <si>
    <t>H.Cross</t>
  </si>
  <si>
    <t>Howard Cross III</t>
  </si>
  <si>
    <t>https://static.www.nfl.com/image/upload/f_auto,q_auto/league/c14y9hq7dq3e6wfuiqi7</t>
  </si>
  <si>
    <t>00-0040371</t>
  </si>
  <si>
    <t>E.Gregory</t>
  </si>
  <si>
    <t>Eric Gregory</t>
  </si>
  <si>
    <t>https://static.www.nfl.com/image/upload/f_auto,q_auto/league/ycfbf89kkgotgpldra6o</t>
  </si>
  <si>
    <t>00-0040372</t>
  </si>
  <si>
    <t>B.Lux</t>
  </si>
  <si>
    <t>Bralyn Lux</t>
  </si>
  <si>
    <t>https://static.www.nfl.com/image/upload/f_auto,q_auto/league/wvhkjnczs9xhzmhpjfhh</t>
  </si>
  <si>
    <t>00-0040379</t>
  </si>
  <si>
    <t>W.Wagner</t>
  </si>
  <si>
    <t>William Wagner</t>
  </si>
  <si>
    <t>https://static.www.nfl.com/image/upload/f_auto,q_auto/league/y7yfjyw559ytucyitpey</t>
  </si>
  <si>
    <t>00-0040382</t>
  </si>
  <si>
    <t>J.Fryar</t>
  </si>
  <si>
    <t>Josh Fryar</t>
  </si>
  <si>
    <t>https://static.www.nfl.com/image/upload/f_auto,q_auto/league/w0u0ymmb61jmfyihob2j</t>
  </si>
  <si>
    <t>00-0040384</t>
  </si>
  <si>
    <t>E.Simmons</t>
  </si>
  <si>
    <t>Elijah Simmons</t>
  </si>
  <si>
    <t>https://static.www.nfl.com/image/upload/f_auto,q_auto/league/ilbr68buxdmb4lk0pa0h</t>
  </si>
  <si>
    <t>00-0040388</t>
  </si>
  <si>
    <t>J.Keeney-James</t>
  </si>
  <si>
    <t>00-0040396</t>
  </si>
  <si>
    <t>Dean Clark</t>
  </si>
  <si>
    <t>https://static.www.nfl.com/image/upload/f_auto,q_auto/league/p6jf4tbfaxal0x71dqvy</t>
  </si>
  <si>
    <t>00-0040397</t>
  </si>
  <si>
    <t>J.Clark</t>
  </si>
  <si>
    <t>Jordan Clark</t>
  </si>
  <si>
    <t>https://static.www.nfl.com/image/upload/f_auto,q_auto/league/lvdhuy33vubfxxtrnfyy</t>
  </si>
  <si>
    <t>00-0040398</t>
  </si>
  <si>
    <t>Brady Cook</t>
  </si>
  <si>
    <t>https://static.www.nfl.com/image/upload/f_auto,q_auto/league/h8dnpq2fikpgnrnfiapx</t>
  </si>
  <si>
    <t>00-0040404</t>
  </si>
  <si>
    <t>P.Page</t>
  </si>
  <si>
    <t>Payton Page</t>
  </si>
  <si>
    <t>https://static.www.nfl.com/image/upload/f_auto,q_auto/league/g1ivzzgbgrffumq1gttf</t>
  </si>
  <si>
    <t>00-0040406</t>
  </si>
  <si>
    <t>Q.Skinner</t>
  </si>
  <si>
    <t>https://static.www.nfl.com/image/upload/f_auto,q_auto/league/opemnlou4xhxf1hf1d3j</t>
  </si>
  <si>
    <t>00-0040408</t>
  </si>
  <si>
    <t>J.Weston</t>
  </si>
  <si>
    <t>Ja'Markis Weston</t>
  </si>
  <si>
    <t>https://static.www.nfl.com/image/upload/f_auto,q_auto/league/v41az1eczskjq29u2e9n</t>
  </si>
  <si>
    <t>00-0040409</t>
  </si>
  <si>
    <t>A.Brinkman</t>
  </si>
  <si>
    <t>Austin Brinkman</t>
  </si>
  <si>
    <t>https://static.www.nfl.com/image/upload/f_auto,q_auto/league/xpshpmoydqrru3vbug0k</t>
  </si>
  <si>
    <t>00-0040411</t>
  </si>
  <si>
    <t>A.Huzzie</t>
  </si>
  <si>
    <t>Alijah Huzzie</t>
  </si>
  <si>
    <t>https://static.www.nfl.com/image/upload/f_auto,q_auto/league/wnunmzibn9qdxwp158rq</t>
  </si>
  <si>
    <t>00-0040416</t>
  </si>
  <si>
    <t>J.Bullock</t>
  </si>
  <si>
    <t>John Bullock</t>
  </si>
  <si>
    <t>https://static.www.nfl.com/image/upload/f_auto,q_auto/league/myb1grpfohovodjjzdb6</t>
  </si>
  <si>
    <t>00-0040417</t>
  </si>
  <si>
    <t>B.Chukwuma</t>
  </si>
  <si>
    <t>Benjamin Chukwuma</t>
  </si>
  <si>
    <t>https://static.www.nfl.com/image/upload/f_auto,q_auto/league/gudosqnpwknrvvpaqjzg</t>
  </si>
  <si>
    <t>00-0040429</t>
  </si>
  <si>
    <t>https://static.www.nfl.com/image/upload/f_auto,q_auto/league/sdsmzjq9e7ccae9imvbm</t>
  </si>
  <si>
    <t>00-0040431</t>
  </si>
  <si>
    <t>D.Cambre</t>
  </si>
  <si>
    <t>https://static.www.nfl.com/image/upload/f_auto,q_auto/league/madcztlwaa3qwun36mui</t>
  </si>
  <si>
    <t>00-0040432</t>
  </si>
  <si>
    <t>B.Collins</t>
  </si>
  <si>
    <t>https://static.www.nfl.com/image/upload/f_auto,q_auto/league/hmdciwdixqbmrh7nj9fy</t>
  </si>
  <si>
    <t>00-0040449</t>
  </si>
  <si>
    <t>K.Reid</t>
  </si>
  <si>
    <t>Karene Reid</t>
  </si>
  <si>
    <t>https://static.www.nfl.com/image/upload/f_auto,q_auto/league/jcv9wokifabbgw68ldu4</t>
  </si>
  <si>
    <t>00-0040451</t>
  </si>
  <si>
    <t>X.Truss</t>
  </si>
  <si>
    <t>Xavier Truss</t>
  </si>
  <si>
    <t>https://static.www.nfl.com/image/upload/f_auto,q_auto/league/dimz3zv8mumt0yyyrci4</t>
  </si>
  <si>
    <t>00-0040460</t>
  </si>
  <si>
    <t>M.Wax</t>
  </si>
  <si>
    <t>Marlowe Wax</t>
  </si>
  <si>
    <t>https://static.www.nfl.com/image/upload/f_auto,q_auto/league/fvei7bpdtr2uqk43loi3</t>
  </si>
  <si>
    <t>00-0040466</t>
  </si>
  <si>
    <t>R.Sanders</t>
  </si>
  <si>
    <t>https://static.www.nfl.com/image/upload/f_auto,q_auto/league/jkty8m7iqcjjfmrxhfub</t>
  </si>
  <si>
    <t>00-0040471</t>
  </si>
  <si>
    <t>N.Reed</t>
  </si>
  <si>
    <t>Nikko Reed</t>
  </si>
  <si>
    <t>https://static.www.nfl.com/image/upload/f_auto,q_auto/league/rcimuj4atlzsu4camzve</t>
  </si>
  <si>
    <t>00-0040476</t>
  </si>
  <si>
    <t>U.Bentley</t>
  </si>
  <si>
    <t>https://static.www.nfl.com/image/upload/f_auto,q_auto/league/iw8g8cngrmp4ipcrdpwi</t>
  </si>
  <si>
    <t>00-0040488</t>
  </si>
  <si>
    <t>C.Runyon</t>
  </si>
  <si>
    <t>https://static.www.nfl.com/image/upload/f_auto,q_auto/league/q8knlo3npxhjxiyyx4h6</t>
  </si>
  <si>
    <t>00-0040489</t>
  </si>
  <si>
    <t>G.Vance</t>
  </si>
  <si>
    <t>Greedy Vance</t>
  </si>
  <si>
    <t>https://static.www.nfl.com/image/upload/f_auto,q_auto/league/qrndx5zcq89jnz3vccyp</t>
  </si>
  <si>
    <t>00-0040492</t>
  </si>
  <si>
    <t>T.Batty</t>
  </si>
  <si>
    <t>Tyler Batty</t>
  </si>
  <si>
    <t>https://static.www.nfl.com/image/upload/f_auto,q_auto/league/qr2chpkjx8to1a1x8ekj</t>
  </si>
  <si>
    <t>00-0040494</t>
  </si>
  <si>
    <t>M.Brosmer</t>
  </si>
  <si>
    <t>Max Brosmer</t>
  </si>
  <si>
    <t>https://static.www.nfl.com/image/upload/f_auto,q_auto/league/sp7hya1uwgvty3grdnjq</t>
  </si>
  <si>
    <t>00-0040496</t>
  </si>
  <si>
    <t>C.Chambliss</t>
  </si>
  <si>
    <t>Chaz Chambliss</t>
  </si>
  <si>
    <t>https://static.www.nfl.com/image/upload/f_auto,q_auto/league/jrt7ihzpzhaqexxcilah</t>
  </si>
  <si>
    <t>00-0040500</t>
  </si>
  <si>
    <t>J.Huber</t>
  </si>
  <si>
    <t>Joe Huber</t>
  </si>
  <si>
    <t>https://static.www.nfl.com/image/upload/f_auto,q_auto/league/clnwellmhvxparvjkgxi</t>
  </si>
  <si>
    <t>00-0040501</t>
  </si>
  <si>
    <t>A.Keys</t>
  </si>
  <si>
    <t>Austin Keys</t>
  </si>
  <si>
    <t>https://static.www.nfl.com/image/upload/f_auto,q_auto/league/u4h08rpevr5barwyomuw</t>
  </si>
  <si>
    <t>00-0040503</t>
  </si>
  <si>
    <t>D.Mausi</t>
  </si>
  <si>
    <t>Dorian Mausi</t>
  </si>
  <si>
    <t>https://static.www.nfl.com/image/upload/f_auto,q_auto/league/ms9jnxwaub6b68urkzna</t>
  </si>
  <si>
    <t>00-0040506</t>
  </si>
  <si>
    <t>M.Price</t>
  </si>
  <si>
    <t>https://static.www.nfl.com/image/upload/f_auto,q_auto/league/xd9ciqvi9v0wyvsdh6nc</t>
  </si>
  <si>
    <t>00-0040509</t>
  </si>
  <si>
    <t>B.Yurosek</t>
  </si>
  <si>
    <t>https://static.www.nfl.com/image/upload/f_auto,q_auto/league/umrpo7rhywbzctgdb109</t>
  </si>
  <si>
    <t>00-0040522</t>
  </si>
  <si>
    <t>X.Restrepo</t>
  </si>
  <si>
    <t>https://static.www.nfl.com/image/upload/f_auto,q_auto/league/ig4zstror8jyd9s9igfd</t>
  </si>
  <si>
    <t>00-0040527</t>
  </si>
  <si>
    <t>S.Castro</t>
  </si>
  <si>
    <t>Sebastian Castro</t>
  </si>
  <si>
    <t>https://static.www.nfl.com/image/upload/f_auto,q_auto/league/cfkyx3r4lqt2j1ghimig</t>
  </si>
  <si>
    <t>00-0040530</t>
  </si>
  <si>
    <t>B.Sauls</t>
  </si>
  <si>
    <t>Ben Sauls</t>
  </si>
  <si>
    <t>https://static.www.nfl.com/image/upload/f_auto,q_auto/league/ert4wflttmvtssck1qz4</t>
  </si>
  <si>
    <t>27;39;32;23;45;35;23;30</t>
  </si>
  <si>
    <t>00-0040534</t>
  </si>
  <si>
    <t>https://static.www.nfl.com/image/upload/f_auto,q_auto/league/pqfs2u522zke7ax4qk3i</t>
  </si>
  <si>
    <t>00-0040541</t>
  </si>
  <si>
    <t>T.Simpkins</t>
  </si>
  <si>
    <t>Torricelli Simpkins III</t>
  </si>
  <si>
    <t>https://static.www.nfl.com/image/upload/f_auto,q_auto/league/xhof0hsbncovhmhhvifd</t>
  </si>
  <si>
    <t>00-0040546</t>
  </si>
  <si>
    <t>Cobee Bryant</t>
  </si>
  <si>
    <t>https://static.www.nfl.com/image/upload/f_auto,q_auto/league/krehmn2g4cxokjpcr6iw</t>
  </si>
  <si>
    <t>00-0040547</t>
  </si>
  <si>
    <t>N.Carter</t>
  </si>
  <si>
    <t>Nate Carter</t>
  </si>
  <si>
    <t>https://static.www.nfl.com/image/upload/f_auto,q_auto/league/eosjwyv1vlsfkztvgtnd</t>
  </si>
  <si>
    <t>00-0040556</t>
  </si>
  <si>
    <t>C.Kiner</t>
  </si>
  <si>
    <t>https://static.www.nfl.com/image/upload/f_auto,q_auto/league/zmoljkk7go5ztvqxje6u</t>
  </si>
  <si>
    <t>00-0040563</t>
  </si>
  <si>
    <t>E.Chism</t>
  </si>
  <si>
    <t>https://static.www.nfl.com/image/upload/f_auto,q_auto/league/zbnf3ujmwprzgjnwdtlo</t>
  </si>
  <si>
    <t>00-0040574</t>
  </si>
  <si>
    <t>E.Ponder</t>
  </si>
  <si>
    <t>Elijah Ponder</t>
  </si>
  <si>
    <t>https://static.www.nfl.com/image/upload/f_auto,q_auto/league/pshxciepzu7pcditmb9a</t>
  </si>
  <si>
    <t>00-0040577</t>
  </si>
  <si>
    <t>Jalon Walker</t>
  </si>
  <si>
    <t>https://static.www.nfl.com/image/upload/f_auto,q_auto/league/hfon24jti4vkgmvkbiqd</t>
  </si>
  <si>
    <t>00-0040578</t>
  </si>
  <si>
    <t>J.Pearce</t>
  </si>
  <si>
    <t>James Pearce Jr.</t>
  </si>
  <si>
    <t>https://static.www.nfl.com/image/upload/f_auto,q_auto/league/yu8dlxrhu7oog8kgnay7</t>
  </si>
  <si>
    <t>00-0040579</t>
  </si>
  <si>
    <t>C.Schwesinger</t>
  </si>
  <si>
    <t>Carson Schwesinger</t>
  </si>
  <si>
    <t>https://static.www.nfl.com/image/upload/f_auto,q_auto/league/ga2yg6qhxs12sqo6jvfz</t>
  </si>
  <si>
    <t>00-0040580</t>
  </si>
  <si>
    <t>J.Stewart</t>
  </si>
  <si>
    <t>Josaiah Stewart</t>
  </si>
  <si>
    <t>https://static.www.nfl.com/image/upload/f_auto,q_auto/league/xuhdmqisxil9rvhurdpn</t>
  </si>
  <si>
    <t>00-0040581</t>
  </si>
  <si>
    <t>D.Thornton</t>
  </si>
  <si>
    <t>https://static.www.nfl.com/image/upload/f_auto,q_auto/league/hlxztd3lpjaxtzojuxwh</t>
  </si>
  <si>
    <t>00-0040582</t>
  </si>
  <si>
    <t>A.Smith</t>
  </si>
  <si>
    <t>https://static.www.nfl.com/image/upload/f_auto,q_auto/league/asywvwrn6zhlidxothqn</t>
  </si>
  <si>
    <t>00-0040583</t>
  </si>
  <si>
    <t>W.Marks</t>
  </si>
  <si>
    <t>https://static.www.nfl.com/image/upload/f_auto,q_auto/league/pwvxisrnjitkkghkfcn3</t>
  </si>
  <si>
    <t>00-0040584</t>
  </si>
  <si>
    <t>G.Helm</t>
  </si>
  <si>
    <t>https://static.www.nfl.com/image/upload/f_auto,q_auto/league/lcyqbbnrzgtbnirz8knj</t>
  </si>
  <si>
    <t>00-0040585</t>
  </si>
  <si>
    <t>T.Hamilton</t>
  </si>
  <si>
    <t>Ty Hamilton</t>
  </si>
  <si>
    <t>https://static.www.nfl.com/image/upload/f_auto,q_auto/league/ehyuqjfrgtdsallsvoo0</t>
  </si>
  <si>
    <t>00-0040586</t>
  </si>
  <si>
    <t>J.Blue</t>
  </si>
  <si>
    <t>https://static.www.nfl.com/image/upload/f_auto,q_auto/league/jhbmit7yp8dlhepncsvp</t>
  </si>
  <si>
    <t>00-0040590</t>
  </si>
  <si>
    <t>K.Mumpfield</t>
  </si>
  <si>
    <t>https://static.www.nfl.com/image/upload/f_auto,q_auto/league/psy72cl8ko1zp7vkbvga</t>
  </si>
  <si>
    <t>00-0040604</t>
  </si>
  <si>
    <t>J.Harvey</t>
  </si>
  <si>
    <t>Jahfari Harvey</t>
  </si>
  <si>
    <t>https://static.www.nfl.com/image/upload/f_auto,q_auto/league/nbkouemkxdpjax4c4lsl</t>
  </si>
  <si>
    <t>00-0040613</t>
  </si>
  <si>
    <t>S.Dolac</t>
  </si>
  <si>
    <t>Shaun Dolac</t>
  </si>
  <si>
    <t>https://static.www.nfl.com/image/upload/f_auto,q_auto/league/f7nr5g6gntkjbnybt14c</t>
  </si>
  <si>
    <t>00-0040624</t>
  </si>
  <si>
    <t>Elijah Williams</t>
  </si>
  <si>
    <t>https://static.www.nfl.com/image/upload/f_auto,q_auto/league/otbqrjttpts6xctkdzez</t>
  </si>
  <si>
    <t>00-0040625</t>
  </si>
  <si>
    <t>N.Jackson</t>
  </si>
  <si>
    <t>Nick Jackson</t>
  </si>
  <si>
    <t>https://static.www.nfl.com/image/upload/f_auto,q_auto/league/j1tpfwt373szwooa1cdq</t>
  </si>
  <si>
    <t>00-0040628</t>
  </si>
  <si>
    <t>D.Dabney</t>
  </si>
  <si>
    <t>https://static.www.nfl.com/image/upload/f_auto,q_auto/league/zhbm42fl9vheduggznpa</t>
  </si>
  <si>
    <t>00-0040629</t>
  </si>
  <si>
    <t>D.Campbell</t>
  </si>
  <si>
    <t>https://static.www.nfl.com/image/upload/f_auto,q_auto/league/lmdwuz4anz0nhbaeewmm</t>
  </si>
  <si>
    <t>00-0040634</t>
  </si>
  <si>
    <t>J.Turner</t>
  </si>
  <si>
    <t>Jordan Turner</t>
  </si>
  <si>
    <t>https://static.www.nfl.com/image/upload/f_auto,q_auto/league/epacfen9zva0gpsveb66</t>
  </si>
  <si>
    <t>00-0040636</t>
  </si>
  <si>
    <t>K.Martin</t>
  </si>
  <si>
    <t>Keyon Martin</t>
  </si>
  <si>
    <t>https://static.www.nfl.com/image/upload/f_auto,q_auto/league/drg6ppedf9zg66vgfpdr</t>
  </si>
  <si>
    <t>00-0040639</t>
  </si>
  <si>
    <t>G.Zabel</t>
  </si>
  <si>
    <t>Grey Zabel</t>
  </si>
  <si>
    <t>https://static.www.nfl.com/image/upload/f_auto,q_auto/league/k8sitrpdklde1rt9blbg</t>
  </si>
  <si>
    <t>00-0040640</t>
  </si>
  <si>
    <t>A.Gillotte</t>
  </si>
  <si>
    <t>Ashton Gillotte</t>
  </si>
  <si>
    <t>https://static.www.nfl.com/image/upload/f_auto,q_auto/league/kosxaikscmzp69msssey</t>
  </si>
  <si>
    <t>00-0040641</t>
  </si>
  <si>
    <t>D.Porter</t>
  </si>
  <si>
    <t>Darien Porter</t>
  </si>
  <si>
    <t>https://static.www.nfl.com/image/upload/f_auto,q_auto/league/ypukflc6tvt4usvyouhk</t>
  </si>
  <si>
    <t>00-0040642</t>
  </si>
  <si>
    <t>V.Broughton</t>
  </si>
  <si>
    <t>Vernon Broughton</t>
  </si>
  <si>
    <t>https://static.www.nfl.com/image/upload/f_auto,q_auto/league/v5nxtujwmtvpdiqk8hrz</t>
  </si>
  <si>
    <t>00-0040643</t>
  </si>
  <si>
    <t>J.Sanker</t>
  </si>
  <si>
    <t>Jonas Sanker</t>
  </si>
  <si>
    <t>https://static.www.nfl.com/image/upload/f_auto,q_auto/league/hsimdzcratj6wt0gzra8</t>
  </si>
  <si>
    <t>00-0040644</t>
  </si>
  <si>
    <t>https://static.www.nfl.com/image/upload/f_auto,q_auto/league/futkvr4juiazofhntj0p</t>
  </si>
  <si>
    <t>00-0040645</t>
  </si>
  <si>
    <t>C.Simon</t>
  </si>
  <si>
    <t>Cody Simon</t>
  </si>
  <si>
    <t>https://static.www.nfl.com/image/upload/f_auto,q_auto/league/v9vqu3cfhinzlpsua99j</t>
  </si>
  <si>
    <t>00-0040646</t>
  </si>
  <si>
    <t>J.Royals</t>
  </si>
  <si>
    <t>https://static.www.nfl.com/image/upload/f_auto,q_auto/league/x1t7v5nl0zwkjqucmnfw</t>
  </si>
  <si>
    <t>00-0040647</t>
  </si>
  <si>
    <t>R.Mills</t>
  </si>
  <si>
    <t>Rylie Mills</t>
  </si>
  <si>
    <t>https://static.www.nfl.com/image/upload/f_auto,q_auto/league/ce84r98k33mvy9kjqtsa</t>
  </si>
  <si>
    <t>00-0040648</t>
  </si>
  <si>
    <t>T.Horton</t>
  </si>
  <si>
    <t>https://static.www.nfl.com/image/upload/f_auto,q_auto/league/vpgs86vlcp3gejw6tget</t>
  </si>
  <si>
    <t>00-0040649</t>
  </si>
  <si>
    <t>R.Ouzts</t>
  </si>
  <si>
    <t>Robbie Ouzts</t>
  </si>
  <si>
    <t>https://static.www.nfl.com/image/upload/f_auto,q_auto/league/bbgpfhy0vssgu6vkfzs8</t>
  </si>
  <si>
    <t>00-0040650</t>
  </si>
  <si>
    <t>B.Cabeldue</t>
  </si>
  <si>
    <t>Bryce Cabeldue</t>
  </si>
  <si>
    <t>https://static.www.nfl.com/image/upload/f_auto,q_auto/league/vstidnrvwrdawcyjk1h3</t>
  </si>
  <si>
    <t>00-0040654</t>
  </si>
  <si>
    <t>K.Kroeger</t>
  </si>
  <si>
    <t>Kai Kroeger</t>
  </si>
  <si>
    <t>https://static.www.nfl.com/image/upload/f_auto,q_auto/league/uc7y2ptipriskzxvnrwv</t>
  </si>
  <si>
    <t>00-0040660</t>
  </si>
  <si>
    <t>Mykel Williams</t>
  </si>
  <si>
    <t>https://static.www.nfl.com/image/upload/f_auto,q_auto/league/glewua5vtcbfvbm6j8s3</t>
  </si>
  <si>
    <t>00-0040661</t>
  </si>
  <si>
    <t>Donovan Jackson</t>
  </si>
  <si>
    <t>https://static.www.nfl.com/image/upload/f_auto,q_auto/league/mkim8wtzxniexhbrobrv</t>
  </si>
  <si>
    <t>00-0040662</t>
  </si>
  <si>
    <t>Ty Robinson</t>
  </si>
  <si>
    <t>https://static.www.nfl.com/image/upload/f_auto,q_auto/league/qsrpqkqp4bqrtpgk6bqa</t>
  </si>
  <si>
    <t>00-0040663</t>
  </si>
  <si>
    <t>H.Fannin</t>
  </si>
  <si>
    <t>https://static.www.nfl.com/image/upload/f_auto,q_auto/league/fxublmpnxx9uggsddwik</t>
  </si>
  <si>
    <t>00-0040666</t>
  </si>
  <si>
    <t>O.Hampton</t>
  </si>
  <si>
    <t>https://static.www.nfl.com/image/upload/f_auto,q_auto/league/ck7xcbwuka7wu2zwhssk</t>
  </si>
  <si>
    <t>00-0040667</t>
  </si>
  <si>
    <t>M.Golden</t>
  </si>
  <si>
    <t>https://static.www.nfl.com/image/upload/f_auto,q_auto/league/gkbhlytvkltv5whjo3ru</t>
  </si>
  <si>
    <t>00-0040668</t>
  </si>
  <si>
    <t>S.Sanders</t>
  </si>
  <si>
    <t>Shedeur Sanders</t>
  </si>
  <si>
    <t>https://static.www.nfl.com/image/upload/f_auto,q_auto/league/joe08hz6to2madpko8zl</t>
  </si>
  <si>
    <t>00-0040669</t>
  </si>
  <si>
    <t>I.TeSlaa</t>
  </si>
  <si>
    <t>https://static.www.nfl.com/image/upload/f_auto,q_auto/league/wa4sruqazyqobmepi6vi</t>
  </si>
  <si>
    <t>00-0040670</t>
  </si>
  <si>
    <t>N.Williams</t>
  </si>
  <si>
    <t>Nohl Williams</t>
  </si>
  <si>
    <t>https://static.www.nfl.com/image/upload/f_auto,q_auto/league/wgzpsljodoj0uanznf5e</t>
  </si>
  <si>
    <t>00-0040672</t>
  </si>
  <si>
    <t>Tyleik Williams</t>
  </si>
  <si>
    <t>https://static.www.nfl.com/image/upload/f_auto,q_auto/league/emppyzljgfew4i1qmdhb</t>
  </si>
  <si>
    <t>00-0040673</t>
  </si>
  <si>
    <t>J.Milroe</t>
  </si>
  <si>
    <t>Jalen Milroe</t>
  </si>
  <si>
    <t>https://static.www.nfl.com/image/upload/f_auto,q_auto/league/gmucibahkrfu9xowwiio</t>
  </si>
  <si>
    <t>00-0040676</t>
  </si>
  <si>
    <t>Cam Ward</t>
  </si>
  <si>
    <t>https://static.www.nfl.com/image/upload/f_auto,q_auto/league/viadutkbvligsopnd2qn</t>
  </si>
  <si>
    <t>00-0040677</t>
  </si>
  <si>
    <t>A.Carter</t>
  </si>
  <si>
    <t>Abdul Carter</t>
  </si>
  <si>
    <t>https://static.www.nfl.com/image/upload/f_auto,q_auto/league/tfchuu4khsh6jarotqga</t>
  </si>
  <si>
    <t>00-0040678</t>
  </si>
  <si>
    <t>D.Harmon</t>
  </si>
  <si>
    <t>Derrick Harmon</t>
  </si>
  <si>
    <t>https://static.www.nfl.com/image/upload/f_auto,q_auto/league/mi9zx7s8bmnyscpo1jmg</t>
  </si>
  <si>
    <t>00-0040685</t>
  </si>
  <si>
    <t>M.Graham</t>
  </si>
  <si>
    <t>Mason Graham</t>
  </si>
  <si>
    <t>https://static.www.nfl.com/image/upload/f_auto,q_auto/league/fizf7lkmgqhpg9o8vu92</t>
  </si>
  <si>
    <t>00-0040686</t>
  </si>
  <si>
    <t>J.Conerly</t>
  </si>
  <si>
    <t>Josh Conerly Jr.</t>
  </si>
  <si>
    <t>https://static.www.nfl.com/image/upload/f_auto,q_auto/league/q9vrq43u3qh6nw3rcajo</t>
  </si>
  <si>
    <t>00-0040688</t>
  </si>
  <si>
    <t>M.Starks</t>
  </si>
  <si>
    <t>Malaki Starks</t>
  </si>
  <si>
    <t>https://static.www.nfl.com/image/upload/f_auto,q_auto/league/wfdoofktfspnxsclihrf</t>
  </si>
  <si>
    <t>00-0040691</t>
  </si>
  <si>
    <t>J.Dart</t>
  </si>
  <si>
    <t>Jaxson Dart</t>
  </si>
  <si>
    <t>https://static.www.nfl.com/image/upload/f_auto,q_auto/league/n6uymxssgiicjmxkzxoc</t>
  </si>
  <si>
    <t>00-0040694</t>
  </si>
  <si>
    <t>D.Alexander</t>
  </si>
  <si>
    <t>Darius Alexander</t>
  </si>
  <si>
    <t>https://static.www.nfl.com/image/upload/f_auto,q_auto/league/pppak1njaiplvvzdwkn7</t>
  </si>
  <si>
    <t>00-0040699</t>
  </si>
  <si>
    <t>W.Campbell</t>
  </si>
  <si>
    <t>Will Campbell</t>
  </si>
  <si>
    <t>https://static.www.nfl.com/image/upload/f_auto,q_auto/league/xyzvfa0r5p4s8u16aqrh</t>
  </si>
  <si>
    <t>00-0040704</t>
  </si>
  <si>
    <t>D.Gabriel</t>
  </si>
  <si>
    <t>Dillon Gabriel</t>
  </si>
  <si>
    <t>https://static.www.nfl.com/image/upload/f_auto,q_auto/league/szpyvusef9jvoctbnkbk</t>
  </si>
  <si>
    <t>00-0040705</t>
  </si>
  <si>
    <t>C.Dike</t>
  </si>
  <si>
    <t>https://static.www.nfl.com/image/upload/f_auto,q_auto/league/njdduv9jx7c8vlrll8ex</t>
  </si>
  <si>
    <t>00-0040706</t>
  </si>
  <si>
    <t>W.Nolen</t>
  </si>
  <si>
    <t>Walter Nolen</t>
  </si>
  <si>
    <t>https://static.www.nfl.com/image/upload/f_auto,q_auto/league/jr8karjanloyyas4erxt</t>
  </si>
  <si>
    <t>00-0040708</t>
  </si>
  <si>
    <t>Jihaad Campbell</t>
  </si>
  <si>
    <t>https://static.www.nfl.com/image/upload/f_auto,q_auto/league/vjdpuldnh2hhbqjszrx2</t>
  </si>
  <si>
    <t>00-0040709</t>
  </si>
  <si>
    <t>M.Hairston</t>
  </si>
  <si>
    <t>Maxwell Hairston</t>
  </si>
  <si>
    <t>https://static.www.nfl.com/image/upload/f_auto,q_auto/league/mq8i1kc45zupk4j6yvkf</t>
  </si>
  <si>
    <t>00-0040710</t>
  </si>
  <si>
    <t>Deone Walker</t>
  </si>
  <si>
    <t>https://static.www.nfl.com/image/upload/f_auto,q_auto/league/okadfq0bsl9zdsmsfemw</t>
  </si>
  <si>
    <t>00-0040711</t>
  </si>
  <si>
    <t>C.West</t>
  </si>
  <si>
    <t>CJ West</t>
  </si>
  <si>
    <t>https://static.www.nfl.com/image/upload/f_auto,q_auto/league/bhqq8ebh20hehf1em9zz</t>
  </si>
  <si>
    <t>00-0040715</t>
  </si>
  <si>
    <t>C.Skattebo</t>
  </si>
  <si>
    <t>https://static.www.nfl.com/image/upload/f_auto,q_auto/league/vnftthkbvw7ucsqtqjpq</t>
  </si>
  <si>
    <t>00-0040716</t>
  </si>
  <si>
    <t>C.Woodson</t>
  </si>
  <si>
    <t>Craig Woodson</t>
  </si>
  <si>
    <t>https://static.www.nfl.com/image/upload/f_auto,q_auto/league/nsfjxvef5ck9bytvti1u</t>
  </si>
  <si>
    <t>00-0040718</t>
  </si>
  <si>
    <t>T.Hunter</t>
  </si>
  <si>
    <t>https://static.www.nfl.com/image/upload/f_auto,q_auto/league/apfzii6u8pwj9ntvyfkk</t>
  </si>
  <si>
    <t>00-0040719</t>
  </si>
  <si>
    <t>B.Tuten</t>
  </si>
  <si>
    <t>https://static.www.nfl.com/image/upload/f_auto,q_auto/league/uf6bidyfjeemrlgsibiz</t>
  </si>
  <si>
    <t>00-0040720</t>
  </si>
  <si>
    <t>J.Barron</t>
  </si>
  <si>
    <t>Jahdae Barron</t>
  </si>
  <si>
    <t>https://static.www.nfl.com/image/upload/f_auto,q_auto/league/pftuc6gjil6zstrg4ht2</t>
  </si>
  <si>
    <t>00-0040721</t>
  </si>
  <si>
    <t>A.Collins</t>
  </si>
  <si>
    <t>Alfred Collins</t>
  </si>
  <si>
    <t>https://static.www.nfl.com/image/upload/f_auto,q_auto/league/rjziol6cqynoyc0w0qfh</t>
  </si>
  <si>
    <t>00-0040722</t>
  </si>
  <si>
    <t>M.Green</t>
  </si>
  <si>
    <t>Mike Green</t>
  </si>
  <si>
    <t>https://static.www.nfl.com/image/upload/f_auto,q_auto/league/u7sictvg6th8tpfineb6</t>
  </si>
  <si>
    <t>00-0040723</t>
  </si>
  <si>
    <t>J.Kiser</t>
  </si>
  <si>
    <t>Jack Kiser</t>
  </si>
  <si>
    <t>https://static.www.nfl.com/image/upload/f_auto,q_auto/league/nkzzuhextfhildyebh5i</t>
  </si>
  <si>
    <t>00-0040724</t>
  </si>
  <si>
    <t>T.Sanders</t>
  </si>
  <si>
    <t>T.J. Sanders</t>
  </si>
  <si>
    <t>https://static.www.nfl.com/image/upload/f_auto,q_auto/league/wxkk01nfridtywdbl86z</t>
  </si>
  <si>
    <t>00-0040725</t>
  </si>
  <si>
    <t>D.Ezeiruaku</t>
  </si>
  <si>
    <t>Donovan Ezeiruaku</t>
  </si>
  <si>
    <t>https://static.www.nfl.com/image/upload/f_auto,q_auto/league/p01praffl9gjoogdgaq8</t>
  </si>
  <si>
    <t>00-0040726</t>
  </si>
  <si>
    <t>A.Belton</t>
  </si>
  <si>
    <t>Anthony Belton</t>
  </si>
  <si>
    <t>https://static.www.nfl.com/image/upload/f_auto,q_auto/league/erhseeamoxq7v9ay9bz8</t>
  </si>
  <si>
    <t>00-0040727</t>
  </si>
  <si>
    <t>T.Harris</t>
  </si>
  <si>
    <t>Tre Harris</t>
  </si>
  <si>
    <t>https://static.www.nfl.com/image/upload/f_auto,q_auto/league/vfjekjvrfpbmskmuwoz9</t>
  </si>
  <si>
    <t>00-0040728</t>
  </si>
  <si>
    <t>T.Ratledge</t>
  </si>
  <si>
    <t>Tate Ratledge</t>
  </si>
  <si>
    <t>https://static.www.nfl.com/image/upload/f_auto,q_auto/league/esuwyzsj6ecirwuaa0ul</t>
  </si>
  <si>
    <t>00-0040729</t>
  </si>
  <si>
    <t>J.Bech</t>
  </si>
  <si>
    <t>https://static.www.nfl.com/image/upload/f_auto,q_auto/league/feplgtl0x1svqen9szwv</t>
  </si>
  <si>
    <t>00-0040730</t>
  </si>
  <si>
    <t>R.Harvey</t>
  </si>
  <si>
    <t>https://static.www.nfl.com/image/upload/f_auto,q_auto/league/i1qxzydetb2orrynzvzk</t>
  </si>
  <si>
    <t>00-0040731</t>
  </si>
  <si>
    <t>T.Amos</t>
  </si>
  <si>
    <t>Trey Amos</t>
  </si>
  <si>
    <t>https://static.www.nfl.com/image/upload/f_auto,q_auto/league/cxabcu8nz9p6k6sqsw4t</t>
  </si>
  <si>
    <t>00-0040733</t>
  </si>
  <si>
    <t>N.Emmanwori</t>
  </si>
  <si>
    <t>Nick Emmanwori</t>
  </si>
  <si>
    <t>https://static.www.nfl.com/image/upload/f_auto,q_auto/league/klniolruih3c5jo9pvjr</t>
  </si>
  <si>
    <t>00-0040734</t>
  </si>
  <si>
    <t>T.Henderson</t>
  </si>
  <si>
    <t>https://static.www.nfl.com/image/upload/f_auto,q_auto/league/cfcux3dnfmbmz3qzrnco</t>
  </si>
  <si>
    <t>00-0040735</t>
  </si>
  <si>
    <t>L.Burden</t>
  </si>
  <si>
    <t>https://static.www.nfl.com/image/upload/f_auto,q_auto/league/iyuwdz7pbowdkwzq2tg5</t>
  </si>
  <si>
    <t>00-0040736</t>
  </si>
  <si>
    <t>M.Taylor</t>
  </si>
  <si>
    <t>https://static.www.nfl.com/image/upload/f_auto,q_auto/league/bk7wjtjt7dpc5qsuil4z</t>
  </si>
  <si>
    <t>00-0040737</t>
  </si>
  <si>
    <t>T.Ferguson</t>
  </si>
  <si>
    <t>https://static.www.nfl.com/image/upload/f_auto,q_auto/league/usa23ax8dratptvikr9a</t>
  </si>
  <si>
    <t>00-0040738</t>
  </si>
  <si>
    <t>D.Knight</t>
  </si>
  <si>
    <t>Demetrius Knight Jr.</t>
  </si>
  <si>
    <t>https://static.www.nfl.com/image/upload/f_auto,q_auto/league/j9eequyosorm1p9zc5gx</t>
  </si>
  <si>
    <t>00-0040739</t>
  </si>
  <si>
    <t>E.Arroyo</t>
  </si>
  <si>
    <t>https://static.www.nfl.com/image/upload/f_auto,q_auto/league/dwlyrxi2yxowfj4abtoa</t>
  </si>
  <si>
    <t>00-0040740</t>
  </si>
  <si>
    <t>O.Trapilo</t>
  </si>
  <si>
    <t>Ozzy Trapilo</t>
  </si>
  <si>
    <t>https://static.www.nfl.com/image/upload/f_auto,q_auto/league/xjnksmbwipltv0hxz4qj</t>
  </si>
  <si>
    <t>00-0040741</t>
  </si>
  <si>
    <t>S.Turner</t>
  </si>
  <si>
    <t>Shemar Turner</t>
  </si>
  <si>
    <t>https://static.www.nfl.com/image/upload/f_auto,q_auto/league/gj6rxglwrkzwgvvq0z1q</t>
  </si>
  <si>
    <t>00-0040742</t>
  </si>
  <si>
    <t>J.Savaiinaea</t>
  </si>
  <si>
    <t>Jonah Savaiinaea</t>
  </si>
  <si>
    <t>https://static.www.nfl.com/image/upload/f_auto,q_auto/league/kglg4js9nthq1wg9rn5y</t>
  </si>
  <si>
    <t>00-0040743</t>
  </si>
  <si>
    <t>T.Shough</t>
  </si>
  <si>
    <t>Tyler Shough</t>
  </si>
  <si>
    <t>https://static.www.nfl.com/image/upload/f_auto,q_auto/league/wsrkib8qgwtb2t2ugaru</t>
  </si>
  <si>
    <t>00-0040744</t>
  </si>
  <si>
    <t>J.Tuimoloau</t>
  </si>
  <si>
    <t>JT Tuimoloau</t>
  </si>
  <si>
    <t>https://static.www.nfl.com/image/upload/f_auto,q_auto/league/cxkxb1csogr9v773tdib</t>
  </si>
  <si>
    <t>00-0040745</t>
  </si>
  <si>
    <t>A.Ersery</t>
  </si>
  <si>
    <t>Aireontae Ersery</t>
  </si>
  <si>
    <t>https://static.www.nfl.com/image/upload/f_auto,q_auto/league/nvdycakgyrk5nllug02b</t>
  </si>
  <si>
    <t>00-0040746</t>
  </si>
  <si>
    <t>N.Scourton</t>
  </si>
  <si>
    <t>Nic Scourton</t>
  </si>
  <si>
    <t>https://static.www.nfl.com/image/upload/f_auto,q_auto/league/iyf5alwnsqxygvayiom5</t>
  </si>
  <si>
    <t>00-0040747</t>
  </si>
  <si>
    <t>B.Morrison</t>
  </si>
  <si>
    <t>Benjamin Morrison</t>
  </si>
  <si>
    <t>https://static.www.nfl.com/image/upload/f_auto,q_auto/league/beby7ndkduvgasydudha</t>
  </si>
  <si>
    <t>00-0040748</t>
  </si>
  <si>
    <t>O.Norman-Lott</t>
  </si>
  <si>
    <t>Omarr Norman-Lott</t>
  </si>
  <si>
    <t>https://static.www.nfl.com/image/upload/f_auto,q_auto/league/jp69jatihj5oqc37g9gv</t>
  </si>
  <si>
    <t>00-0040749</t>
  </si>
  <si>
    <t>A.Mukuba</t>
  </si>
  <si>
    <t>Andrew Mukuba</t>
  </si>
  <si>
    <t>https://static.www.nfl.com/image/upload/f_auto,q_auto/league/uis1nibeesqlsasmw2km</t>
  </si>
  <si>
    <t>00-0040751</t>
  </si>
  <si>
    <t>W.Johnson</t>
  </si>
  <si>
    <t>Will Johnson</t>
  </si>
  <si>
    <t>https://static.www.nfl.com/image/upload/f_auto,q_auto/league/qrzob3kg2nylp6hp5xhv</t>
  </si>
  <si>
    <t>00-0040752</t>
  </si>
  <si>
    <t>O.Oladejo</t>
  </si>
  <si>
    <t>Oluwafemi Oladejo</t>
  </si>
  <si>
    <t>https://static.www.nfl.com/image/upload/f_auto,q_auto/league/xux3tjanbookjm0wmalz</t>
  </si>
  <si>
    <t>00-0040756</t>
  </si>
  <si>
    <t>S.Stewart</t>
  </si>
  <si>
    <t>Shemar Stewart</t>
  </si>
  <si>
    <t>https://static.www.nfl.com/image/upload/f_auto,q_auto/league/htljgrthvgq7pd2rsxhu</t>
  </si>
  <si>
    <t>00-0040782</t>
  </si>
  <si>
    <t>I.Bond</t>
  </si>
  <si>
    <t>https://static.www.nfl.com/image/upload/f_auto,q_auto/league/piv889pkizjvgrtpfkxm</t>
  </si>
  <si>
    <t>00-0040784</t>
  </si>
  <si>
    <t>Q.Judkins</t>
  </si>
  <si>
    <t>https://static.www.nfl.com/image/upload/f_auto,q_auto/league/ojtce2im0wp2ltyel0vc</t>
  </si>
  <si>
    <t>ESPN API — NFL 2026 ROSTER PULLER (RB / WR / TE)</t>
  </si>
  <si>
    <t>STEP 1: Data → Refresh All  |  STEP 2: Select data rows (A4 down)  |  STEP 3: Copy → paste into 2026_Rosters tab from A2</t>
  </si>
  <si>
    <t>POWER QUERY SETUP — AUTOMATED NFL DATA</t>
  </si>
  <si>
    <t>3 queries pull data automatically. Stats from nflverse GitHub (free, no login). Rosters update within 24-48hrs of signings. Click Data → Refresh All to update everything.</t>
  </si>
  <si>
    <t>QUERY 1 — 2025_PlayerStats</t>
  </si>
  <si>
    <t>Source: nflverse GitHub (direct CSV). Contains every player's carries, receptions, targets by team.</t>
  </si>
  <si>
    <t>let</t>
  </si>
  <si>
    <t xml:space="preserve">    Source = Csv.Document(</t>
  </si>
  <si>
    <t xml:space="preserve">        Web.Contents("https://github.com/nflverse/nflverse-data/releases/download/player_stats/player_stats_2025.csv"),</t>
  </si>
  <si>
    <t xml:space="preserve">        [Delimiter=",", Columns=15, Encoding=65001, QuoteStyle=QuoteStyle.None]</t>
  </si>
  <si>
    <t xml:space="preserve">    ),</t>
  </si>
  <si>
    <t xml:space="preserve">    Promoted = Table.PromoteHeaders(Source, [PromoteAllScalars=true]),</t>
  </si>
  <si>
    <t xml:space="preserve">    Typed = Table.TransformColumnTypes(Promoted, {</t>
  </si>
  <si>
    <t xml:space="preserve">        {"player_name", type text}, {"recent_team", type text},</t>
  </si>
  <si>
    <t xml:space="preserve">        {"season", Int64.Type}, {"position", type text},</t>
  </si>
  <si>
    <t xml:space="preserve">        {"carries", Int64.Type}, {"rushing_yards", Int64.Type},</t>
  </si>
  <si>
    <t xml:space="preserve">        {"receptions", Int64.Type}, {"targets", Int64.Type},</t>
  </si>
  <si>
    <t xml:space="preserve">        {"receiving_yards", Int64.Type}, {"season_type", type text}</t>
  </si>
  <si>
    <t xml:space="preserve">    }),</t>
  </si>
  <si>
    <t xml:space="preserve">    RegSeasonOnly = Table.SelectRows(Typed, each [season_type] = "REG"),</t>
  </si>
  <si>
    <t xml:space="preserve">    SkillPositions = Table.SelectRows(RegSeasonOnly,</t>
  </si>
  <si>
    <t xml:space="preserve">        each [position] = "RB" or [position] = "WR" or [position] = "TE"),</t>
  </si>
  <si>
    <t xml:space="preserve">    Grouped = Table.Group(SkillPositions, {"player_name", "recent_team", "position"}, {</t>
  </si>
  <si>
    <t xml:space="preserve">        {"Carries",    each List.Sum([carries]),         type number},</t>
  </si>
  <si>
    <t xml:space="preserve">        {"Receptions", each List.Sum([receptions]),      type number},</t>
  </si>
  <si>
    <t xml:space="preserve">        {"Targets",    each List.Sum([targets]),         type number},</t>
  </si>
  <si>
    <t xml:space="preserve">        {"Rush_Yards", each List.Sum([rushing_yards]),   type number},</t>
  </si>
  <si>
    <t xml:space="preserve">        {"Rec_Yards",  each List.Sum([receiving_yards]), type number}</t>
  </si>
  <si>
    <t xml:space="preserve">    AddTouches = Table.AddColumn(Grouped, "Touches",</t>
  </si>
  <si>
    <t xml:space="preserve">        each [Carries] + [Receptions], type number)</t>
  </si>
  <si>
    <t>in</t>
  </si>
  <si>
    <t xml:space="preserve">    AddTouches</t>
  </si>
  <si>
    <t>QUERY 2 — 2026_Rosters</t>
  </si>
  <si>
    <t>Source: nflverse GitHub (live roster). Updates within 24-48hrs of each signing. This is the key to tracking FA moves automatically.</t>
  </si>
  <si>
    <t xml:space="preserve">        Web.Contents("https://github.com/nflverse/nflverse-data/releases/download/rosters/roster_2026.csv"),</t>
  </si>
  <si>
    <t xml:space="preserve">        [Delimiter=",", Columns=10, Encoding=65001, QuoteStyle=QuoteStyle.None]</t>
  </si>
  <si>
    <t xml:space="preserve">        {"full_name", type text}, {"team", type text},</t>
  </si>
  <si>
    <t xml:space="preserve">        {"position", type text}, {"status", type text}</t>
  </si>
  <si>
    <t xml:space="preserve">    SkillPos = Table.SelectRows(Typed,</t>
  </si>
  <si>
    <t xml:space="preserve">    ActiveOnly = Table.SelectRows(SkillPos,</t>
  </si>
  <si>
    <t xml:space="preserve">        each [status] = "ACT" or [status] = "RES" or [status] = null),</t>
  </si>
  <si>
    <t xml:space="preserve">    Renamed = Table.RenameColumns(ActiveOnly, {</t>
  </si>
  <si>
    <t xml:space="preserve">        {"full_name", "player_name_2026"},</t>
  </si>
  <si>
    <t xml:space="preserve">        {"team",      "team_2026"}</t>
  </si>
  <si>
    <t xml:space="preserve">    Selected = Table.SelectColumns(Renamed,</t>
  </si>
  <si>
    <t xml:space="preserve">        {"player_name_2026", "team_2026", "position"})</t>
  </si>
  <si>
    <t xml:space="preserve">    Selected</t>
  </si>
  <si>
    <t>QUERY 3 — Vacancy_Calculator</t>
  </si>
  <si>
    <t>Joins 2025 stats + 2026 rosters. Calculates NET vacated touches/targets per team per position. Converts to 0-10 score. Load to each Landing Spot sheet col E.</t>
  </si>
  <si>
    <t xml:space="preserve">    Stats   = Excel.CurrentWorkbook(){[Name="2025_PlayerStats"]}[Content],</t>
  </si>
  <si>
    <t xml:space="preserve">    Rosters = Excel.CurrentWorkbook(){[Name="2026_Rosters"]}[Content],</t>
  </si>
  <si>
    <t xml:space="preserve">    // --- Join: match 2025 player to their 2026 team ---</t>
  </si>
  <si>
    <t xml:space="preserve">    Joined = Table.NestedJoin(</t>
  </si>
  <si>
    <t xml:space="preserve">        Stats, {"player_name"}, Rosters, {"player_name_2026"},</t>
  </si>
  <si>
    <t xml:space="preserve">        "RosterData", JoinKind.LeftOuter</t>
  </si>
  <si>
    <t xml:space="preserve">    Expanded = Table.ExpandTableColumn(Joined, "RosterData",</t>
  </si>
  <si>
    <t xml:space="preserve">        {"team_2026"}, {"team_2026"}),</t>
  </si>
  <si>
    <t xml:space="preserve">    // --- A player is DEPARTED from old team if their 2026 team is different (or blank = unsigned) ---</t>
  </si>
  <si>
    <t xml:space="preserve">    AddStatus = Table.AddColumn(Expanded, "Status", each</t>
  </si>
  <si>
    <t xml:space="preserve">        if [team_2026] = null then "Unsigned"</t>
  </si>
  <si>
    <t xml:space="preserve">        else if [team_2026] = [recent_team] then "Retained"</t>
  </si>
  <si>
    <t xml:space="preserve">        else "Moved"),</t>
  </si>
  <si>
    <t xml:space="preserve">    // --- Vacated touches: departed/unsigned players leave touches at OLD team ---</t>
  </si>
  <si>
    <t xml:space="preserve">    Departed = Table.SelectRows(AddStatus,</t>
  </si>
  <si>
    <t xml:space="preserve">        each [Status] = "Departed" or [Status] = "Unsigned" or [Status] = "Moved"),</t>
  </si>
  <si>
    <t xml:space="preserve">    // --- For RBs: vacancy metric = Touches (carries+receptions) ---</t>
  </si>
  <si>
    <t xml:space="preserve">    RB_Vacant = Table.SelectRows(Departed, each [position] = "RB"),</t>
  </si>
  <si>
    <t xml:space="preserve">    RB_ByTeam = Table.Group(RB_Vacant, {"recent_team"}, {</t>
  </si>
  <si>
    <t xml:space="preserve">        {"Vacated_Touches", each List.Sum([Touches]), type number}</t>
  </si>
  <si>
    <t xml:space="preserve">    // --- For WRs/TEs: vacancy metric = Targets ---</t>
  </si>
  <si>
    <t xml:space="preserve">    WR_Vacant = Table.SelectRows(Departed, each [position] = "WR"),</t>
  </si>
  <si>
    <t xml:space="preserve">    WR_ByTeam = Table.Group(WR_Vacant, {"recent_team"}, {</t>
  </si>
  <si>
    <t xml:space="preserve">        {"Vacated_Targets", each List.Sum([Targets]), type number}</t>
  </si>
  <si>
    <t xml:space="preserve">    TE_Vacant = Table.SelectRows(Departed, each [position] = "TE"),</t>
  </si>
  <si>
    <t xml:space="preserve">    TE_ByTeam = Table.Group(TE_Vacant, {"recent_team"}, {</t>
  </si>
  <si>
    <t xml:space="preserve">    // --- Incoming: newly signed players REDUCE vacancy at new team ---</t>
  </si>
  <si>
    <t xml:space="preserve">    Incoming = Table.SelectRows(AddStatus, each [Status] = "Moved"),</t>
  </si>
  <si>
    <t xml:space="preserve">    RB_In   = Table.Group(Table.SelectRows(Incoming, each [position]="RB"),</t>
  </si>
  <si>
    <t xml:space="preserve">        {"team_2026"},{{"Incoming_Touches", each List.Sum([Touches]), type number}}),</t>
  </si>
  <si>
    <t xml:space="preserve">    WR_In   = Table.Group(Table.SelectRows(Incoming, each [position]="WR"),</t>
  </si>
  <si>
    <t xml:space="preserve">        {"team_2026"},{{"Incoming_Targets", each List.Sum([Targets]), type number}}),</t>
  </si>
  <si>
    <t xml:space="preserve">    TE_In   = Table.Group(Table.SelectRows(Incoming, each [position]="TE"),</t>
  </si>
  <si>
    <t xml:space="preserve">    // --- Net RB Vacancy per team ---</t>
  </si>
  <si>
    <t xml:space="preserve">    RB_Net = Table.Join(RB_ByTeam, "recent_team", RB_In, "team_2026", JoinKind.LeftOuter),</t>
  </si>
  <si>
    <t xml:space="preserve">    RB_Score = Table.AddColumn(RB_Net, "RB_Vacancy_Score", each</t>
  </si>
  <si>
    <t xml:space="preserve">        let net = [Vacated_Touches] - (if [Incoming_Touches] = null then 0 else [Incoming_Touches])</t>
  </si>
  <si>
    <t xml:space="preserve">        in  if net &gt;= 250 then 10</t>
  </si>
  <si>
    <t xml:space="preserve">            else if net &gt;= 180 then 8</t>
  </si>
  <si>
    <t xml:space="preserve">            else if net &gt;= 120 then 6</t>
  </si>
  <si>
    <t xml:space="preserve">            else if net &gt;= 60  then 4</t>
  </si>
  <si>
    <t xml:space="preserve">            else if net &gt; 0    then 2</t>
  </si>
  <si>
    <t xml:space="preserve">            else 0),</t>
  </si>
  <si>
    <t xml:space="preserve">    // --- Net WR Vacancy per team ---</t>
  </si>
  <si>
    <t xml:space="preserve">    WR_Net = Table.Join(WR_ByTeam, "recent_team", WR_In, "team_2026", JoinKind.LeftOuter),</t>
  </si>
  <si>
    <t xml:space="preserve">    WR_Score = Table.AddColumn(WR_Net, "WR_Vacancy_Score", each</t>
  </si>
  <si>
    <t xml:space="preserve">        let net = [Vacated_Targets] - (if [Incoming_Targets] = null then 0 else [Incoming_Targets])</t>
  </si>
  <si>
    <t xml:space="preserve">        in  if net &gt;= 150 then 10</t>
  </si>
  <si>
    <t xml:space="preserve">            else if net &gt;= 110 then 8</t>
  </si>
  <si>
    <t xml:space="preserve">            else if net &gt;= 75  then 6</t>
  </si>
  <si>
    <t xml:space="preserve">            else if net &gt;= 40  then 4</t>
  </si>
  <si>
    <t xml:space="preserve">    // --- Net TE Vacancy per team ---</t>
  </si>
  <si>
    <t xml:space="preserve">    TE_Net = Table.Join(TE_ByTeam, "recent_team", TE_In, "team_2026", JoinKind.LeftOuter),</t>
  </si>
  <si>
    <t xml:space="preserve">    TE_Score = Table.AddColumn(TE_Net, "TE_Vacancy_Score", each</t>
  </si>
  <si>
    <t xml:space="preserve">        in  if net &gt;= 100 then 10</t>
  </si>
  <si>
    <t xml:space="preserve">            else if net &gt;= 70  then 8</t>
  </si>
  <si>
    <t xml:space="preserve">            else if net &gt;= 45  then 6</t>
  </si>
  <si>
    <t xml:space="preserve">            else if net &gt;= 20  then 4</t>
  </si>
  <si>
    <t xml:space="preserve">    // --- Final: combine all three position scores by team ---</t>
  </si>
  <si>
    <t xml:space="preserve">    AllTeams = {"ARI","ATL","BAL","BUF","CAR","CHI","CIN","CLE","DAL","DEN",</t>
  </si>
  <si>
    <t xml:space="preserve">                "DET","GB","HOU","IND","JAC","KC","LAC","LAR","LV","MIA",</t>
  </si>
  <si>
    <t xml:space="preserve">                "MIN","NE","NO","NYG","NYJ","PHI","PIT","SEA","SF","TB","TEN","WAS"},</t>
  </si>
  <si>
    <t xml:space="preserve">    TeamTable = Table.FromList(AllTeams, Splitter.SplitByNothing(), {"Team"}),</t>
  </si>
  <si>
    <t xml:space="preserve">    WithRB = Table.NestedJoin(TeamTable,"Team",Table.RenameColumns(RB_Score,{{"recent_team","Team"}}),</t>
  </si>
  <si>
    <t xml:space="preserve">        "Team","RB",JoinKind.LeftOuter),</t>
  </si>
  <si>
    <t xml:space="preserve">    ExpandRB = Table.ExpandTableColumn(WithRB,"RB",{"RB_Vacancy_Score"},{"RB_Score"}),</t>
  </si>
  <si>
    <t xml:space="preserve">    WithWR = Table.NestedJoin(ExpandRB,"Team",Table.RenameColumns(WR_Score,{{"recent_team","Team"}}),</t>
  </si>
  <si>
    <t xml:space="preserve">        "Team","WR",JoinKind.LeftOuter),</t>
  </si>
  <si>
    <t xml:space="preserve">    ExpandWR = Table.ExpandTableColumn(WithWR,"WR",{"WR_Vacancy_Score"},{"WR_Score"}),</t>
  </si>
  <si>
    <t xml:space="preserve">    WithTE = Table.NestedJoin(ExpandWR,"Team",Table.RenameColumns(TE_Score,{{"recent_team","Team"}}),</t>
  </si>
  <si>
    <t xml:space="preserve">        "Team","TE",JoinKind.LeftOuter),</t>
  </si>
  <si>
    <t xml:space="preserve">    ExpandTE = Table.ExpandTableColumn(WithTE,"TE",{"TE_Vacancy_Score"},{"TE_Score"}),</t>
  </si>
  <si>
    <t xml:space="preserve">    Cleaned = Table.ReplaceValue(ExpandTE, null, 0,</t>
  </si>
  <si>
    <t xml:space="preserve">        Replacer.ReplaceValue, {"RB_Score","WR_Score","TE_Score"})</t>
  </si>
  <si>
    <t xml:space="preserve">    Cleaned</t>
  </si>
  <si>
    <t>HOW TO SET UP — STEP BY STEP</t>
  </si>
  <si>
    <t>1. In Excel, go to Data tab → Get Data → Launch Power Query Editor</t>
  </si>
  <si>
    <t>2. In Power Query Editor: Home → New Source → Blank Query</t>
  </si>
  <si>
    <t>3. In the formula bar, click the 'fx' icon → paste QUERY 1 M code above → rename query to '2025_PlayerStats'</t>
  </si>
  <si>
    <t>4. Repeat for QUERY 2 → rename to '2026_Rosters'</t>
  </si>
  <si>
    <t>5. Repeat for QUERY 3 → rename to 'Vacancy_Calculator'</t>
  </si>
  <si>
    <t>6. For each query: Home → Close &amp; Load To → select 'Only Create Connection' (for Queries 1 &amp; 2)</t>
  </si>
  <si>
    <t>7. For Query 3 (Vacancy_Calculator): Close &amp; Load To → Table → select a blank sheet or new sheet</t>
  </si>
  <si>
    <t>8. The Vacancy_Calculator output has columns: Team | RB_Score | WR_Score | TE_Score</t>
  </si>
  <si>
    <t>9. Use VLOOKUP or INDEX/MATCH to pull each score into col E of RB_Landing, WR_Landing, TE_Landing</t>
  </si>
  <si>
    <t xml:space="preserve">   Example for RB_Landing E5: =IFERROR(VLOOKUP(A5, Vacancy_Calculator, 2, FALSE), 0)</t>
  </si>
  <si>
    <t xml:space="preserve">   Example for WR_Landing E5: =IFERROR(VLOOKUP(A5, Vacancy_Calculator, 3, FALSE), 0)</t>
  </si>
  <si>
    <t xml:space="preserve">   Example for TE_Landing E5: =IFERROR(VLOOKUP(A5, Vacancy_Calculator, 4, FALSE), 0)</t>
  </si>
  <si>
    <t>10. To refresh all data: Data tab → Refresh All — takes ~10 seconds</t>
  </si>
  <si>
    <t>NOTE: nflverse roster file updates within 24-48hrs of official signing announcements.</t>
  </si>
  <si>
    <t>NOTE: Stats file is final 2025 season data — it will not change until 2026 season 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</si>
</sst>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57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theme="1"/>
      <name val="Calibri"/>
      <family val="2"/>
      <charset val="1"/>
    </font>
    <font>
      <b/>
      <u/>
      <sz val="14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b/>
      <u/>
      <sz val="12"/>
      <color theme="1"/>
      <name val="Arial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FF"/>
      <name val="Calibri"/>
      <family val="2"/>
      <charset val="1"/>
    </font>
    <font>
      <b/>
      <sz val="11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b/>
      <sz val="16"/>
      <color theme="1"/>
      <name val="Arial"/>
      <family val="2"/>
      <charset val="1"/>
    </font>
    <font>
      <sz val="10"/>
      <name val="Arial"/>
      <family val="2"/>
    </font>
    <font>
      <b/>
      <sz val="12"/>
      <color rgb="FFFFFFFF"/>
      <name val="Cambria"/>
      <family val="1"/>
      <charset val="1"/>
    </font>
    <font>
      <b/>
      <u/>
      <sz val="24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b/>
      <sz val="11"/>
      <name val="Cambria"/>
      <family val="1"/>
      <charset val="1"/>
    </font>
    <font>
      <b/>
      <sz val="11"/>
      <color theme="1"/>
      <name val="Cambria"/>
      <family val="1"/>
      <charset val="1"/>
    </font>
    <font>
      <b/>
      <sz val="14"/>
      <name val="Cambria"/>
      <family val="1"/>
      <charset val="1"/>
    </font>
    <font>
      <b/>
      <i/>
      <sz val="9"/>
      <name val="Cambria"/>
      <family val="1"/>
      <charset val="1"/>
    </font>
    <font>
      <b/>
      <sz val="14"/>
      <color rgb="FF000000"/>
      <name val="Calibri"/>
      <family val="2"/>
      <charset val="1"/>
    </font>
    <font>
      <b/>
      <sz val="14"/>
      <color rgb="FF212121"/>
      <name val="Arial"/>
      <family val="2"/>
      <charset val="1"/>
    </font>
    <font>
      <b/>
      <sz val="10"/>
      <color rgb="FFFFFFFF"/>
      <name val="Cambria"/>
      <family val="1"/>
      <charset val="1"/>
    </font>
    <font>
      <b/>
      <sz val="11"/>
      <color theme="0"/>
      <name val="Calibri"/>
      <family val="2"/>
      <charset val="1"/>
    </font>
    <font>
      <b/>
      <sz val="9"/>
      <name val="Cambria"/>
      <family val="1"/>
      <charset val="1"/>
    </font>
    <font>
      <b/>
      <sz val="11"/>
      <color rgb="FF375623"/>
      <name val="Calibri"/>
      <family val="2"/>
      <charset val="1"/>
    </font>
    <font>
      <b/>
      <i/>
      <sz val="9"/>
      <color rgb="FF595959"/>
      <name val="Cambria"/>
      <family val="1"/>
      <charset val="1"/>
    </font>
    <font>
      <b/>
      <sz val="18"/>
      <color theme="1"/>
      <name val="Arial"/>
      <family val="2"/>
      <charset val="1"/>
    </font>
    <font>
      <b/>
      <sz val="11"/>
      <color rgb="FF007BB8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u/>
      <sz val="16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C55A11"/>
      <name val="Calibri"/>
      <family val="2"/>
      <charset val="1"/>
    </font>
    <font>
      <b/>
      <sz val="9"/>
      <name val="Arial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rgb="FFFF8C00"/>
      <name val="Calibri"/>
      <family val="2"/>
      <charset val="1"/>
    </font>
    <font>
      <b/>
      <sz val="12"/>
      <name val="Calibri"/>
      <family val="2"/>
      <charset val="1"/>
    </font>
    <font>
      <b/>
      <sz val="10"/>
      <name val="Cambria"/>
      <family val="1"/>
      <charset val="1"/>
    </font>
    <font>
      <b/>
      <u/>
      <sz val="14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i/>
      <sz val="9"/>
      <name val="Cambria"/>
      <family val="1"/>
      <charset val="1"/>
    </font>
    <font>
      <sz val="9"/>
      <name val="Courier New"/>
      <family val="3"/>
      <charset val="1"/>
    </font>
    <font>
      <sz val="9"/>
      <name val="Cambria"/>
      <family val="1"/>
      <charset val="1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212121"/>
      </patternFill>
    </fill>
    <fill>
      <patternFill patternType="solid">
        <fgColor rgb="FFDEEAF6"/>
        <bgColor rgb="FFDEEBF7"/>
      </patternFill>
    </fill>
    <fill>
      <patternFill patternType="solid">
        <fgColor theme="9"/>
        <bgColor rgb="FF92D050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rgb="FFFFFF00"/>
        <bgColor rgb="FFFFCC00"/>
      </patternFill>
    </fill>
    <fill>
      <patternFill patternType="solid">
        <fgColor theme="8" tint="0.79979857783745845"/>
        <bgColor rgb="FFDEEAF6"/>
      </patternFill>
    </fill>
    <fill>
      <patternFill patternType="solid">
        <fgColor theme="8" tint="0.39979247413556324"/>
        <bgColor rgb="FFB4C7E7"/>
      </patternFill>
    </fill>
    <fill>
      <patternFill patternType="solid">
        <fgColor rgb="FF92D050"/>
        <bgColor rgb="FFA9D18E"/>
      </patternFill>
    </fill>
    <fill>
      <patternFill patternType="solid">
        <fgColor theme="4" tint="0.59959715567491678"/>
        <bgColor rgb="FF9DC3E6"/>
      </patternFill>
    </fill>
    <fill>
      <patternFill patternType="solid">
        <fgColor theme="5" tint="0.59959715567491678"/>
        <bgColor rgb="FFFBE5D6"/>
      </patternFill>
    </fill>
    <fill>
      <patternFill patternType="solid">
        <fgColor theme="9" tint="0.59978026673177287"/>
        <bgColor rgb="FFD9D9D9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rgb="FF203864"/>
        <bgColor rgb="FF333399"/>
      </patternFill>
    </fill>
    <fill>
      <patternFill patternType="solid">
        <fgColor theme="6" tint="0.59959715567491678"/>
        <bgColor rgb="FFD9D9D9"/>
      </patternFill>
    </fill>
    <fill>
      <patternFill patternType="solid">
        <fgColor rgb="FFFFC000"/>
        <bgColor rgb="FFFFCC00"/>
      </patternFill>
    </fill>
    <fill>
      <patternFill patternType="solid">
        <fgColor rgb="FFD9E1F2"/>
        <bgColor rgb="FFDAE3F3"/>
      </patternFill>
    </fill>
    <fill>
      <patternFill patternType="solid">
        <fgColor rgb="FFE2EFDA"/>
        <bgColor rgb="FFE2F0D9"/>
      </patternFill>
    </fill>
    <fill>
      <patternFill patternType="solid">
        <fgColor theme="5"/>
        <bgColor rgb="FFFF8C00"/>
      </patternFill>
    </fill>
    <fill>
      <patternFill patternType="solid">
        <fgColor theme="9" tint="0.79979857783745845"/>
        <bgColor rgb="FFE2EFDA"/>
      </patternFill>
    </fill>
    <fill>
      <patternFill patternType="solid">
        <fgColor theme="9" tint="0.39948728904080327"/>
        <bgColor rgb="FFC5E0B4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5" tint="0.79979857783745845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EBF1DE"/>
        <bgColor rgb="FFE2F0D9"/>
      </patternFill>
    </fill>
    <fill>
      <patternFill patternType="solid">
        <fgColor rgb="FFFFFFFF"/>
        <bgColor rgb="FFF2F2F2"/>
      </patternFill>
    </fill>
    <fill>
      <patternFill patternType="solid">
        <fgColor rgb="FFFFCC00"/>
        <bgColor rgb="FFFFC000"/>
      </patternFill>
    </fill>
    <fill>
      <patternFill patternType="solid">
        <fgColor rgb="FFFF0000"/>
        <bgColor rgb="FF800000"/>
      </patternFill>
    </fill>
    <fill>
      <patternFill patternType="solid">
        <fgColor theme="8" tint="0.59959715567491678"/>
        <bgColor rgb="FFC0DEEC"/>
      </patternFill>
    </fill>
    <fill>
      <patternFill patternType="solid">
        <fgColor rgb="FFC0DEEC"/>
        <bgColor rgb="FFBDD7EE"/>
      </patternFill>
    </fill>
    <fill>
      <patternFill patternType="solid">
        <fgColor rgb="FFFFF2CC"/>
        <bgColor rgb="FFFBE5D6"/>
      </patternFill>
    </fill>
    <fill>
      <patternFill patternType="solid">
        <fgColor rgb="FF4472C4"/>
        <bgColor rgb="FF0070C0"/>
      </patternFill>
    </fill>
    <fill>
      <patternFill patternType="solid">
        <fgColor rgb="FFF2F2F2"/>
        <bgColor rgb="FFEBF1DE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69">
    <xf numFmtId="0" fontId="0" fillId="0" borderId="0" xfId="0"/>
    <xf numFmtId="0" fontId="52" fillId="26" borderId="0" xfId="0" applyFont="1" applyFill="1" applyAlignment="1">
      <alignment horizontal="left" vertical="top" wrapText="1"/>
    </xf>
    <xf numFmtId="0" fontId="30" fillId="32" borderId="0" xfId="0" applyFont="1" applyFill="1" applyAlignment="1">
      <alignment horizontal="left" vertical="center"/>
    </xf>
    <xf numFmtId="0" fontId="50" fillId="31" borderId="0" xfId="0" applyFont="1" applyFill="1" applyAlignment="1">
      <alignment horizontal="left" vertical="top" wrapText="1"/>
    </xf>
    <xf numFmtId="0" fontId="37" fillId="14" borderId="0" xfId="0" applyFont="1" applyFill="1" applyAlignment="1">
      <alignment horizontal="center" vertical="center"/>
    </xf>
    <xf numFmtId="0" fontId="2" fillId="31" borderId="12" xfId="0" applyFont="1" applyFill="1" applyBorder="1"/>
    <xf numFmtId="0" fontId="2" fillId="0" borderId="0" xfId="0" applyFont="1"/>
    <xf numFmtId="0" fontId="47" fillId="0" borderId="0" xfId="0" applyFont="1"/>
    <xf numFmtId="0" fontId="27" fillId="0" borderId="0" xfId="0" applyFont="1"/>
    <xf numFmtId="0" fontId="27" fillId="17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37" fillId="14" borderId="0" xfId="0" applyFont="1" applyFill="1" applyAlignment="1">
      <alignment horizontal="center"/>
    </xf>
    <xf numFmtId="0" fontId="27" fillId="17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2" fillId="0" borderId="0" xfId="0" applyFont="1"/>
    <xf numFmtId="0" fontId="9" fillId="0" borderId="0" xfId="0" applyFont="1" applyAlignment="1">
      <alignment horizontal="center"/>
    </xf>
    <xf numFmtId="49" fontId="10" fillId="2" borderId="8" xfId="0" applyNumberFormat="1" applyFont="1" applyFill="1" applyBorder="1" applyAlignment="1">
      <alignment horizontal="center" vertical="center" wrapText="1"/>
    </xf>
    <xf numFmtId="49" fontId="11" fillId="5" borderId="9" xfId="0" applyNumberFormat="1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2" fontId="14" fillId="0" borderId="18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2" fontId="14" fillId="0" borderId="19" xfId="0" applyNumberFormat="1" applyFont="1" applyBorder="1" applyAlignment="1">
      <alignment horizontal="center" vertical="center"/>
    </xf>
    <xf numFmtId="2" fontId="2" fillId="7" borderId="20" xfId="0" applyNumberFormat="1" applyFont="1" applyFill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165" fontId="14" fillId="0" borderId="18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/>
    </xf>
    <xf numFmtId="164" fontId="14" fillId="12" borderId="22" xfId="0" applyNumberFormat="1" applyFont="1" applyFill="1" applyBorder="1" applyAlignment="1">
      <alignment horizontal="center"/>
    </xf>
    <xf numFmtId="0" fontId="14" fillId="12" borderId="23" xfId="0" applyFont="1" applyFill="1" applyBorder="1" applyAlignment="1">
      <alignment horizontal="center" wrapText="1"/>
    </xf>
    <xf numFmtId="0" fontId="2" fillId="13" borderId="24" xfId="0" applyFont="1" applyFill="1" applyBorder="1" applyAlignment="1">
      <alignment horizontal="center" wrapText="1"/>
    </xf>
    <xf numFmtId="0" fontId="2" fillId="7" borderId="22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2" fillId="7" borderId="6" xfId="0" applyNumberFormat="1" applyFont="1" applyFill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/>
    </xf>
    <xf numFmtId="164" fontId="14" fillId="12" borderId="25" xfId="0" applyNumberFormat="1" applyFont="1" applyFill="1" applyBorder="1" applyAlignment="1">
      <alignment horizontal="center"/>
    </xf>
    <xf numFmtId="0" fontId="14" fillId="12" borderId="26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14" fillId="12" borderId="26" xfId="0" applyFont="1" applyFill="1" applyBorder="1" applyAlignment="1">
      <alignment horizontal="center" wrapText="1"/>
    </xf>
    <xf numFmtId="0" fontId="2" fillId="13" borderId="27" xfId="0" applyFont="1" applyFill="1" applyBorder="1" applyAlignment="1">
      <alignment horizontal="center" wrapText="1"/>
    </xf>
    <xf numFmtId="0" fontId="2" fillId="7" borderId="25" xfId="0" applyFont="1" applyFill="1" applyBorder="1" applyAlignment="1">
      <alignment horizontal="center" wrapText="1"/>
    </xf>
    <xf numFmtId="0" fontId="2" fillId="7" borderId="26" xfId="0" applyFont="1" applyFill="1" applyBorder="1" applyAlignment="1">
      <alignment horizontal="center" wrapText="1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2" fontId="14" fillId="7" borderId="6" xfId="0" applyNumberFormat="1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 wrapText="1"/>
    </xf>
    <xf numFmtId="2" fontId="16" fillId="0" borderId="3" xfId="0" applyNumberFormat="1" applyFont="1" applyBorder="1" applyAlignment="1">
      <alignment horizontal="center" vertical="center"/>
    </xf>
    <xf numFmtId="0" fontId="14" fillId="7" borderId="25" xfId="0" applyFont="1" applyFill="1" applyBorder="1" applyAlignment="1">
      <alignment horizontal="center"/>
    </xf>
    <xf numFmtId="2" fontId="16" fillId="0" borderId="2" xfId="0" applyNumberFormat="1" applyFont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2" fontId="2" fillId="7" borderId="7" xfId="0" applyNumberFormat="1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164" fontId="14" fillId="12" borderId="28" xfId="0" applyNumberFormat="1" applyFont="1" applyFill="1" applyBorder="1" applyAlignment="1">
      <alignment horizontal="center"/>
    </xf>
    <xf numFmtId="0" fontId="14" fillId="12" borderId="29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 wrapText="1"/>
    </xf>
    <xf numFmtId="49" fontId="17" fillId="2" borderId="31" xfId="0" applyNumberFormat="1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5" fillId="2" borderId="3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/>
    <xf numFmtId="0" fontId="19" fillId="2" borderId="0" xfId="0" applyFont="1" applyFill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2" fillId="13" borderId="14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10" fontId="6" fillId="6" borderId="10" xfId="0" applyNumberFormat="1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 wrapText="1"/>
    </xf>
    <xf numFmtId="0" fontId="24" fillId="15" borderId="12" xfId="0" applyFont="1" applyFill="1" applyBorder="1" applyAlignment="1">
      <alignment horizontal="center" vertical="center" wrapText="1"/>
    </xf>
    <xf numFmtId="0" fontId="24" fillId="8" borderId="37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5" fillId="7" borderId="9" xfId="0" applyFont="1" applyFill="1" applyBorder="1" applyAlignment="1">
      <alignment horizontal="center" vertical="center" wrapText="1"/>
    </xf>
    <xf numFmtId="0" fontId="25" fillId="7" borderId="15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26" fillId="16" borderId="12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/>
    </xf>
    <xf numFmtId="2" fontId="14" fillId="0" borderId="39" xfId="0" applyNumberFormat="1" applyFont="1" applyBorder="1" applyAlignment="1">
      <alignment horizontal="center"/>
    </xf>
    <xf numFmtId="1" fontId="14" fillId="0" borderId="39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2" fontId="14" fillId="0" borderId="40" xfId="0" applyNumberFormat="1" applyFont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2" fontId="14" fillId="0" borderId="41" xfId="0" applyNumberFormat="1" applyFont="1" applyBorder="1" applyAlignment="1">
      <alignment horizontal="center"/>
    </xf>
    <xf numFmtId="10" fontId="14" fillId="0" borderId="39" xfId="0" applyNumberFormat="1" applyFont="1" applyBorder="1" applyAlignment="1">
      <alignment horizontal="center"/>
    </xf>
    <xf numFmtId="2" fontId="16" fillId="0" borderId="39" xfId="0" applyNumberFormat="1" applyFont="1" applyBorder="1" applyAlignment="1">
      <alignment horizontal="center"/>
    </xf>
    <xf numFmtId="10" fontId="14" fillId="0" borderId="40" xfId="0" applyNumberFormat="1" applyFont="1" applyBorder="1" applyAlignment="1">
      <alignment horizontal="center"/>
    </xf>
    <xf numFmtId="2" fontId="2" fillId="13" borderId="4" xfId="0" applyNumberFormat="1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164" fontId="12" fillId="12" borderId="38" xfId="0" applyNumberFormat="1" applyFont="1" applyFill="1" applyBorder="1" applyAlignment="1">
      <alignment horizontal="center"/>
    </xf>
    <xf numFmtId="164" fontId="12" fillId="12" borderId="42" xfId="0" applyNumberFormat="1" applyFont="1" applyFill="1" applyBorder="1" applyAlignment="1">
      <alignment horizontal="center"/>
    </xf>
    <xf numFmtId="2" fontId="2" fillId="7" borderId="38" xfId="0" applyNumberFormat="1" applyFont="1" applyFill="1" applyBorder="1" applyAlignment="1">
      <alignment horizontal="center"/>
    </xf>
    <xf numFmtId="2" fontId="2" fillId="7" borderId="42" xfId="0" applyNumberFormat="1" applyFont="1" applyFill="1" applyBorder="1" applyAlignment="1">
      <alignment horizontal="center"/>
    </xf>
    <xf numFmtId="2" fontId="12" fillId="18" borderId="4" xfId="0" applyNumberFormat="1" applyFont="1" applyFill="1" applyBorder="1" applyAlignment="1">
      <alignment horizontal="center"/>
    </xf>
    <xf numFmtId="2" fontId="28" fillId="16" borderId="4" xfId="0" applyNumberFormat="1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9" fillId="10" borderId="12" xfId="0" applyFont="1" applyFill="1" applyBorder="1" applyAlignment="1">
      <alignment horizontal="center" vertical="center" wrapText="1"/>
    </xf>
    <xf numFmtId="0" fontId="29" fillId="10" borderId="10" xfId="0" applyFont="1" applyFill="1" applyBorder="1" applyAlignment="1">
      <alignment horizontal="center" vertical="center" wrapText="1"/>
    </xf>
    <xf numFmtId="0" fontId="29" fillId="10" borderId="15" xfId="0" applyFont="1" applyFill="1" applyBorder="1" applyAlignment="1">
      <alignment horizontal="center" vertical="center" wrapText="1"/>
    </xf>
    <xf numFmtId="0" fontId="30" fillId="19" borderId="43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2" fillId="0" borderId="25" xfId="0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center"/>
    </xf>
    <xf numFmtId="2" fontId="14" fillId="7" borderId="6" xfId="0" applyNumberFormat="1" applyFont="1" applyFill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10" fontId="14" fillId="0" borderId="2" xfId="0" applyNumberFormat="1" applyFont="1" applyBorder="1" applyAlignment="1">
      <alignment horizontal="center"/>
    </xf>
    <xf numFmtId="10" fontId="14" fillId="0" borderId="3" xfId="0" applyNumberFormat="1" applyFont="1" applyBorder="1" applyAlignment="1">
      <alignment horizontal="center"/>
    </xf>
    <xf numFmtId="2" fontId="2" fillId="13" borderId="6" xfId="0" applyNumberFormat="1" applyFont="1" applyFill="1" applyBorder="1" applyAlignment="1">
      <alignment horizontal="center"/>
    </xf>
    <xf numFmtId="164" fontId="12" fillId="12" borderId="25" xfId="0" applyNumberFormat="1" applyFont="1" applyFill="1" applyBorder="1" applyAlignment="1">
      <alignment horizontal="center"/>
    </xf>
    <xf numFmtId="164" fontId="12" fillId="12" borderId="26" xfId="0" applyNumberFormat="1" applyFont="1" applyFill="1" applyBorder="1" applyAlignment="1">
      <alignment horizontal="center"/>
    </xf>
    <xf numFmtId="2" fontId="2" fillId="7" borderId="25" xfId="0" applyNumberFormat="1" applyFont="1" applyFill="1" applyBorder="1" applyAlignment="1">
      <alignment horizontal="center" wrapText="1"/>
    </xf>
    <xf numFmtId="2" fontId="2" fillId="7" borderId="26" xfId="0" applyNumberFormat="1" applyFont="1" applyFill="1" applyBorder="1" applyAlignment="1">
      <alignment horizontal="center" wrapText="1"/>
    </xf>
    <xf numFmtId="2" fontId="12" fillId="18" borderId="6" xfId="0" applyNumberFormat="1" applyFont="1" applyFill="1" applyBorder="1" applyAlignment="1">
      <alignment horizontal="center"/>
    </xf>
    <xf numFmtId="2" fontId="28" fillId="16" borderId="6" xfId="0" applyNumberFormat="1" applyFont="1" applyFill="1" applyBorder="1" applyAlignment="1">
      <alignment horizontal="center"/>
    </xf>
    <xf numFmtId="0" fontId="29" fillId="6" borderId="4" xfId="0" applyFont="1" applyFill="1" applyBorder="1" applyAlignment="1">
      <alignment horizontal="center" vertical="center" wrapText="1"/>
    </xf>
    <xf numFmtId="0" fontId="29" fillId="20" borderId="18" xfId="0" applyFont="1" applyFill="1" applyBorder="1" applyAlignment="1">
      <alignment horizontal="center" vertical="center" wrapText="1"/>
    </xf>
    <xf numFmtId="10" fontId="29" fillId="21" borderId="18" xfId="0" applyNumberFormat="1" applyFont="1" applyFill="1" applyBorder="1" applyAlignment="1">
      <alignment horizontal="center" vertical="center" wrapText="1"/>
    </xf>
    <xf numFmtId="10" fontId="29" fillId="20" borderId="23" xfId="0" applyNumberFormat="1" applyFont="1" applyFill="1" applyBorder="1" applyAlignment="1">
      <alignment horizontal="center" vertical="center" wrapText="1"/>
    </xf>
    <xf numFmtId="0" fontId="32" fillId="17" borderId="9" xfId="0" applyFont="1" applyFill="1" applyBorder="1" applyAlignment="1">
      <alignment horizontal="center" vertical="center" wrapText="1"/>
    </xf>
    <xf numFmtId="0" fontId="32" fillId="17" borderId="10" xfId="0" applyFont="1" applyFill="1" applyBorder="1" applyAlignment="1">
      <alignment horizontal="center" vertical="center" wrapText="1"/>
    </xf>
    <xf numFmtId="0" fontId="2" fillId="22" borderId="44" xfId="0" applyFont="1" applyFill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/>
    </xf>
    <xf numFmtId="2" fontId="2" fillId="7" borderId="25" xfId="0" applyNumberFormat="1" applyFont="1" applyFill="1" applyBorder="1" applyAlignment="1">
      <alignment horizontal="center"/>
    </xf>
    <xf numFmtId="2" fontId="2" fillId="7" borderId="26" xfId="0" applyNumberFormat="1" applyFont="1" applyFill="1" applyBorder="1" applyAlignment="1">
      <alignment horizontal="center"/>
    </xf>
    <xf numFmtId="0" fontId="29" fillId="6" borderId="6" xfId="0" applyFont="1" applyFill="1" applyBorder="1" applyAlignment="1">
      <alignment horizontal="center" vertical="center" wrapText="1"/>
    </xf>
    <xf numFmtId="0" fontId="29" fillId="20" borderId="2" xfId="0" applyFont="1" applyFill="1" applyBorder="1" applyAlignment="1">
      <alignment horizontal="center" vertical="center" wrapText="1"/>
    </xf>
    <xf numFmtId="10" fontId="29" fillId="20" borderId="2" xfId="0" applyNumberFormat="1" applyFont="1" applyFill="1" applyBorder="1" applyAlignment="1">
      <alignment horizontal="center" vertical="center" wrapText="1"/>
    </xf>
    <xf numFmtId="10" fontId="29" fillId="21" borderId="2" xfId="0" applyNumberFormat="1" applyFont="1" applyFill="1" applyBorder="1" applyAlignment="1">
      <alignment horizontal="center" vertical="center" wrapText="1"/>
    </xf>
    <xf numFmtId="10" fontId="29" fillId="21" borderId="26" xfId="0" applyNumberFormat="1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164" fontId="24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64" fontId="33" fillId="18" borderId="18" xfId="0" applyNumberFormat="1" applyFont="1" applyFill="1" applyBorder="1" applyAlignment="1">
      <alignment horizontal="center"/>
    </xf>
    <xf numFmtId="2" fontId="14" fillId="18" borderId="18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2" fontId="16" fillId="0" borderId="3" xfId="0" applyNumberFormat="1" applyFont="1" applyBorder="1" applyAlignment="1">
      <alignment horizontal="center"/>
    </xf>
    <xf numFmtId="0" fontId="29" fillId="6" borderId="7" xfId="0" applyFont="1" applyFill="1" applyBorder="1" applyAlignment="1">
      <alignment horizontal="center" vertical="center" wrapText="1"/>
    </xf>
    <xf numFmtId="0" fontId="29" fillId="20" borderId="45" xfId="0" applyFont="1" applyFill="1" applyBorder="1" applyAlignment="1">
      <alignment horizontal="center" vertical="center" wrapText="1"/>
    </xf>
    <xf numFmtId="10" fontId="29" fillId="20" borderId="45" xfId="0" applyNumberFormat="1" applyFont="1" applyFill="1" applyBorder="1" applyAlignment="1">
      <alignment horizontal="center" vertical="center" wrapText="1"/>
    </xf>
    <xf numFmtId="10" fontId="29" fillId="21" borderId="45" xfId="0" applyNumberFormat="1" applyFont="1" applyFill="1" applyBorder="1" applyAlignment="1">
      <alignment horizontal="center" vertical="center" wrapText="1"/>
    </xf>
    <xf numFmtId="10" fontId="29" fillId="21" borderId="29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64" fontId="24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33" fillId="18" borderId="2" xfId="0" applyNumberFormat="1" applyFont="1" applyFill="1" applyBorder="1" applyAlignment="1">
      <alignment horizontal="center"/>
    </xf>
    <xf numFmtId="2" fontId="14" fillId="18" borderId="2" xfId="0" applyNumberFormat="1" applyFont="1" applyFill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/>
    </xf>
    <xf numFmtId="0" fontId="29" fillId="6" borderId="20" xfId="0" applyFont="1" applyFill="1" applyBorder="1" applyAlignment="1">
      <alignment horizontal="center" vertical="center" wrapText="1"/>
    </xf>
    <xf numFmtId="10" fontId="29" fillId="23" borderId="18" xfId="0" applyNumberFormat="1" applyFont="1" applyFill="1" applyBorder="1" applyAlignment="1">
      <alignment horizontal="center" vertical="center" wrapText="1"/>
    </xf>
    <xf numFmtId="10" fontId="29" fillId="20" borderId="18" xfId="0" applyNumberFormat="1" applyFont="1" applyFill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wrapText="1"/>
    </xf>
    <xf numFmtId="1" fontId="14" fillId="0" borderId="2" xfId="0" applyNumberFormat="1" applyFont="1" applyBorder="1" applyAlignment="1">
      <alignment horizontal="center" wrapText="1"/>
    </xf>
    <xf numFmtId="10" fontId="29" fillId="23" borderId="2" xfId="0" applyNumberFormat="1" applyFont="1" applyFill="1" applyBorder="1" applyAlignment="1">
      <alignment horizontal="center" vertical="center" wrapText="1"/>
    </xf>
    <xf numFmtId="10" fontId="29" fillId="23" borderId="26" xfId="0" applyNumberFormat="1" applyFont="1" applyFill="1" applyBorder="1" applyAlignment="1">
      <alignment horizontal="center" vertical="center" wrapText="1"/>
    </xf>
    <xf numFmtId="10" fontId="29" fillId="23" borderId="45" xfId="0" applyNumberFormat="1" applyFont="1" applyFill="1" applyBorder="1" applyAlignment="1">
      <alignment horizontal="center" vertical="center" wrapText="1"/>
    </xf>
    <xf numFmtId="10" fontId="29" fillId="23" borderId="29" xfId="0" applyNumberFormat="1" applyFont="1" applyFill="1" applyBorder="1" applyAlignment="1">
      <alignment horizontal="center" vertical="center" wrapText="1"/>
    </xf>
    <xf numFmtId="0" fontId="35" fillId="2" borderId="46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" fillId="0" borderId="25" xfId="0" applyFont="1" applyBorder="1" applyAlignment="1">
      <alignment horizontal="center" wrapText="1"/>
    </xf>
    <xf numFmtId="0" fontId="9" fillId="12" borderId="46" xfId="0" applyFont="1" applyFill="1" applyBorder="1" applyAlignment="1">
      <alignment horizontal="left" vertical="center"/>
    </xf>
    <xf numFmtId="0" fontId="35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/>
    </xf>
    <xf numFmtId="2" fontId="14" fillId="7" borderId="26" xfId="0" applyNumberFormat="1" applyFont="1" applyFill="1" applyBorder="1" applyAlignment="1">
      <alignment horizontal="center"/>
    </xf>
    <xf numFmtId="2" fontId="16" fillId="0" borderId="5" xfId="0" applyNumberFormat="1" applyFont="1" applyBorder="1" applyAlignment="1">
      <alignment horizontal="center"/>
    </xf>
    <xf numFmtId="10" fontId="16" fillId="0" borderId="2" xfId="0" applyNumberFormat="1" applyFont="1" applyBorder="1" applyAlignment="1">
      <alignment horizontal="center"/>
    </xf>
    <xf numFmtId="10" fontId="16" fillId="0" borderId="3" xfId="0" applyNumberFormat="1" applyFont="1" applyBorder="1" applyAlignment="1">
      <alignment horizontal="center"/>
    </xf>
    <xf numFmtId="2" fontId="36" fillId="13" borderId="6" xfId="0" applyNumberFormat="1" applyFont="1" applyFill="1" applyBorder="1" applyAlignment="1">
      <alignment horizontal="center"/>
    </xf>
    <xf numFmtId="2" fontId="14" fillId="7" borderId="26" xfId="0" applyNumberFormat="1" applyFont="1" applyFill="1" applyBorder="1" applyAlignment="1">
      <alignment horizontal="center" wrapText="1"/>
    </xf>
    <xf numFmtId="2" fontId="16" fillId="0" borderId="2" xfId="0" applyNumberFormat="1" applyFont="1" applyBorder="1" applyAlignment="1">
      <alignment horizontal="center" wrapText="1"/>
    </xf>
    <xf numFmtId="1" fontId="16" fillId="0" borderId="2" xfId="0" applyNumberFormat="1" applyFont="1" applyBorder="1" applyAlignment="1">
      <alignment horizontal="center" wrapText="1"/>
    </xf>
    <xf numFmtId="2" fontId="14" fillId="7" borderId="25" xfId="0" applyNumberFormat="1" applyFont="1" applyFill="1" applyBorder="1" applyAlignment="1">
      <alignment horizontal="center" wrapText="1"/>
    </xf>
    <xf numFmtId="2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2" fontId="16" fillId="0" borderId="45" xfId="0" applyNumberFormat="1" applyFont="1" applyBorder="1" applyAlignment="1">
      <alignment horizontal="center"/>
    </xf>
    <xf numFmtId="1" fontId="16" fillId="0" borderId="45" xfId="0" applyNumberFormat="1" applyFont="1" applyBorder="1" applyAlignment="1">
      <alignment horizontal="center"/>
    </xf>
    <xf numFmtId="164" fontId="2" fillId="0" borderId="45" xfId="0" applyNumberFormat="1" applyFont="1" applyBorder="1" applyAlignment="1">
      <alignment horizontal="center"/>
    </xf>
    <xf numFmtId="2" fontId="14" fillId="0" borderId="47" xfId="0" applyNumberFormat="1" applyFont="1" applyBorder="1" applyAlignment="1">
      <alignment horizontal="center"/>
    </xf>
    <xf numFmtId="2" fontId="14" fillId="7" borderId="7" xfId="0" applyNumberFormat="1" applyFont="1" applyFill="1" applyBorder="1" applyAlignment="1">
      <alignment horizontal="center"/>
    </xf>
    <xf numFmtId="2" fontId="14" fillId="0" borderId="48" xfId="0" applyNumberFormat="1" applyFont="1" applyBorder="1" applyAlignment="1">
      <alignment horizontal="center"/>
    </xf>
    <xf numFmtId="2" fontId="14" fillId="0" borderId="45" xfId="0" applyNumberFormat="1" applyFont="1" applyBorder="1" applyAlignment="1">
      <alignment horizontal="center"/>
    </xf>
    <xf numFmtId="10" fontId="14" fillId="0" borderId="45" xfId="0" applyNumberFormat="1" applyFont="1" applyBorder="1" applyAlignment="1">
      <alignment horizontal="center"/>
    </xf>
    <xf numFmtId="10" fontId="14" fillId="0" borderId="47" xfId="0" applyNumberFormat="1" applyFont="1" applyBorder="1" applyAlignment="1">
      <alignment horizontal="center"/>
    </xf>
    <xf numFmtId="2" fontId="2" fillId="13" borderId="7" xfId="0" applyNumberFormat="1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164" fontId="12" fillId="12" borderId="28" xfId="0" applyNumberFormat="1" applyFont="1" applyFill="1" applyBorder="1" applyAlignment="1">
      <alignment horizontal="center"/>
    </xf>
    <xf numFmtId="164" fontId="12" fillId="12" borderId="29" xfId="0" applyNumberFormat="1" applyFont="1" applyFill="1" applyBorder="1" applyAlignment="1">
      <alignment horizontal="center"/>
    </xf>
    <xf numFmtId="2" fontId="2" fillId="7" borderId="28" xfId="0" applyNumberFormat="1" applyFont="1" applyFill="1" applyBorder="1" applyAlignment="1">
      <alignment horizontal="center"/>
    </xf>
    <xf numFmtId="2" fontId="2" fillId="7" borderId="29" xfId="0" applyNumberFormat="1" applyFont="1" applyFill="1" applyBorder="1" applyAlignment="1">
      <alignment horizontal="center" wrapText="1"/>
    </xf>
    <xf numFmtId="2" fontId="12" fillId="18" borderId="7" xfId="0" applyNumberFormat="1" applyFont="1" applyFill="1" applyBorder="1" applyAlignment="1">
      <alignment horizontal="center"/>
    </xf>
    <xf numFmtId="2" fontId="28" fillId="16" borderId="7" xfId="0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37" fillId="24" borderId="0" xfId="0" applyFont="1" applyFill="1" applyAlignment="1">
      <alignment horizontal="center"/>
    </xf>
    <xf numFmtId="0" fontId="38" fillId="9" borderId="0" xfId="0" applyFont="1" applyFill="1" applyAlignment="1">
      <alignment horizontal="center"/>
    </xf>
    <xf numFmtId="0" fontId="38" fillId="25" borderId="0" xfId="0" applyFont="1" applyFill="1" applyAlignment="1">
      <alignment horizontal="center"/>
    </xf>
    <xf numFmtId="0" fontId="38" fillId="26" borderId="0" xfId="0" applyFont="1" applyFill="1" applyAlignment="1">
      <alignment horizontal="center"/>
    </xf>
    <xf numFmtId="0" fontId="38" fillId="27" borderId="0" xfId="0" applyFont="1" applyFill="1" applyAlignment="1">
      <alignment horizontal="center"/>
    </xf>
    <xf numFmtId="0" fontId="38" fillId="16" borderId="0" xfId="0" applyFont="1" applyFill="1" applyAlignment="1">
      <alignment horizontal="center"/>
    </xf>
    <xf numFmtId="0" fontId="37" fillId="28" borderId="0" xfId="0" applyFont="1" applyFill="1" applyAlignment="1">
      <alignment horizontal="center"/>
    </xf>
    <xf numFmtId="0" fontId="18" fillId="0" borderId="0" xfId="0" applyFont="1"/>
    <xf numFmtId="0" fontId="39" fillId="13" borderId="12" xfId="0" applyFont="1" applyFill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5" fillId="9" borderId="9" xfId="0" applyFont="1" applyFill="1" applyBorder="1" applyAlignment="1">
      <alignment horizontal="center" vertical="center" wrapText="1"/>
    </xf>
    <xf numFmtId="0" fontId="25" fillId="9" borderId="44" xfId="0" applyFont="1" applyFill="1" applyBorder="1" applyAlignment="1">
      <alignment horizontal="center" vertical="center" wrapText="1"/>
    </xf>
    <xf numFmtId="2" fontId="24" fillId="7" borderId="9" xfId="0" applyNumberFormat="1" applyFont="1" applyFill="1" applyBorder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49" fontId="26" fillId="16" borderId="12" xfId="0" applyNumberFormat="1" applyFont="1" applyFill="1" applyBorder="1" applyAlignment="1">
      <alignment horizontal="center" vertical="center" wrapText="1"/>
    </xf>
    <xf numFmtId="49" fontId="26" fillId="16" borderId="44" xfId="0" applyNumberFormat="1" applyFont="1" applyFill="1" applyBorder="1" applyAlignment="1">
      <alignment horizontal="center" vertical="center" wrapText="1"/>
    </xf>
    <xf numFmtId="0" fontId="40" fillId="16" borderId="0" xfId="0" applyFont="1" applyFill="1" applyAlignment="1">
      <alignment horizontal="center" vertical="center" wrapText="1"/>
    </xf>
    <xf numFmtId="0" fontId="14" fillId="0" borderId="2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0" fontId="14" fillId="29" borderId="6" xfId="0" applyFont="1" applyFill="1" applyBorder="1" applyAlignment="1">
      <alignment horizontal="center"/>
    </xf>
    <xf numFmtId="0" fontId="14" fillId="12" borderId="25" xfId="0" applyFont="1" applyFill="1" applyBorder="1" applyAlignment="1">
      <alignment horizontal="center"/>
    </xf>
    <xf numFmtId="0" fontId="14" fillId="7" borderId="26" xfId="0" applyFont="1" applyFill="1" applyBorder="1" applyAlignment="1">
      <alignment horizontal="center"/>
    </xf>
    <xf numFmtId="2" fontId="14" fillId="20" borderId="6" xfId="0" applyNumberFormat="1" applyFont="1" applyFill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14" fillId="2" borderId="0" xfId="0" applyFont="1" applyFill="1"/>
    <xf numFmtId="0" fontId="14" fillId="30" borderId="9" xfId="0" applyFont="1" applyFill="1" applyBorder="1" applyAlignment="1">
      <alignment horizontal="center" vertical="center" wrapText="1"/>
    </xf>
    <xf numFmtId="0" fontId="29" fillId="30" borderId="10" xfId="0" applyFont="1" applyFill="1" applyBorder="1" applyAlignment="1">
      <alignment horizontal="center" vertical="center" wrapText="1"/>
    </xf>
    <xf numFmtId="0" fontId="29" fillId="30" borderId="15" xfId="0" applyFont="1" applyFill="1" applyBorder="1" applyAlignment="1">
      <alignment horizontal="center" vertical="center" wrapText="1"/>
    </xf>
    <xf numFmtId="0" fontId="30" fillId="19" borderId="2" xfId="0" applyFont="1" applyFill="1" applyBorder="1" applyAlignment="1">
      <alignment horizontal="center" vertical="center" wrapText="1"/>
    </xf>
    <xf numFmtId="164" fontId="41" fillId="0" borderId="2" xfId="0" applyNumberFormat="1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164" fontId="42" fillId="12" borderId="25" xfId="0" applyNumberFormat="1" applyFont="1" applyFill="1" applyBorder="1" applyAlignment="1">
      <alignment horizontal="center" wrapText="1"/>
    </xf>
    <xf numFmtId="164" fontId="14" fillId="12" borderId="26" xfId="0" applyNumberFormat="1" applyFont="1" applyFill="1" applyBorder="1" applyAlignment="1">
      <alignment horizontal="center" wrapText="1"/>
    </xf>
    <xf numFmtId="0" fontId="14" fillId="6" borderId="18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10" fontId="29" fillId="26" borderId="2" xfId="0" applyNumberFormat="1" applyFont="1" applyFill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2" fontId="43" fillId="0" borderId="2" xfId="0" applyNumberFormat="1" applyFont="1" applyBorder="1" applyAlignment="1">
      <alignment horizontal="center" vertical="center"/>
    </xf>
    <xf numFmtId="10" fontId="14" fillId="0" borderId="2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164" fontId="42" fillId="12" borderId="25" xfId="0" applyNumberFormat="1" applyFont="1" applyFill="1" applyBorder="1" applyAlignment="1">
      <alignment horizontal="center" vertical="center" wrapText="1"/>
    </xf>
    <xf numFmtId="164" fontId="14" fillId="12" borderId="26" xfId="0" applyNumberFormat="1" applyFont="1" applyFill="1" applyBorder="1" applyAlignment="1">
      <alignment horizontal="center" vertical="center" wrapText="1"/>
    </xf>
    <xf numFmtId="164" fontId="33" fillId="20" borderId="2" xfId="0" applyNumberFormat="1" applyFont="1" applyFill="1" applyBorder="1" applyAlignment="1">
      <alignment horizontal="center"/>
    </xf>
    <xf numFmtId="2" fontId="14" fillId="2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/>
    </xf>
    <xf numFmtId="2" fontId="44" fillId="7" borderId="25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0" fontId="29" fillId="0" borderId="2" xfId="0" applyNumberFormat="1" applyFont="1" applyBorder="1" applyAlignment="1">
      <alignment horizontal="center" vertical="center" wrapText="1"/>
    </xf>
    <xf numFmtId="2" fontId="14" fillId="7" borderId="25" xfId="0" applyNumberFormat="1" applyFont="1" applyFill="1" applyBorder="1" applyAlignment="1">
      <alignment horizontal="center"/>
    </xf>
    <xf numFmtId="0" fontId="2" fillId="29" borderId="6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2" fontId="2" fillId="20" borderId="6" xfId="0" applyNumberFormat="1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2" fontId="41" fillId="0" borderId="2" xfId="0" applyNumberFormat="1" applyFont="1" applyBorder="1" applyAlignment="1">
      <alignment horizontal="center" vertical="center"/>
    </xf>
    <xf numFmtId="2" fontId="14" fillId="7" borderId="25" xfId="0" applyNumberFormat="1" applyFont="1" applyFill="1" applyBorder="1" applyAlignment="1">
      <alignment horizontal="center" vertical="center"/>
    </xf>
    <xf numFmtId="2" fontId="14" fillId="7" borderId="26" xfId="0" applyNumberFormat="1" applyFont="1" applyFill="1" applyBorder="1" applyAlignment="1">
      <alignment horizontal="center" vertical="center"/>
    </xf>
    <xf numFmtId="2" fontId="14" fillId="7" borderId="25" xfId="0" applyNumberFormat="1" applyFont="1" applyFill="1" applyBorder="1" applyAlignment="1">
      <alignment horizontal="center" vertical="center" wrapText="1"/>
    </xf>
    <xf numFmtId="2" fontId="14" fillId="7" borderId="26" xfId="0" applyNumberFormat="1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10" fontId="16" fillId="0" borderId="2" xfId="0" applyNumberFormat="1" applyFont="1" applyBorder="1" applyAlignment="1">
      <alignment horizontal="center" vertical="center"/>
    </xf>
    <xf numFmtId="10" fontId="16" fillId="0" borderId="3" xfId="0" applyNumberFormat="1" applyFont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 wrapText="1"/>
    </xf>
    <xf numFmtId="2" fontId="44" fillId="7" borderId="25" xfId="0" applyNumberFormat="1" applyFont="1" applyFill="1" applyBorder="1" applyAlignment="1">
      <alignment horizontal="center" vertical="center"/>
    </xf>
    <xf numFmtId="2" fontId="2" fillId="29" borderId="6" xfId="0" applyNumberFormat="1" applyFont="1" applyFill="1" applyBorder="1" applyAlignment="1">
      <alignment horizontal="center"/>
    </xf>
    <xf numFmtId="1" fontId="16" fillId="0" borderId="2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2" fontId="2" fillId="7" borderId="25" xfId="0" applyNumberFormat="1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2" fontId="44" fillId="7" borderId="26" xfId="0" applyNumberFormat="1" applyFont="1" applyFill="1" applyBorder="1" applyAlignment="1">
      <alignment horizontal="center" vertical="center"/>
    </xf>
    <xf numFmtId="2" fontId="44" fillId="7" borderId="25" xfId="0" applyNumberFormat="1" applyFont="1" applyFill="1" applyBorder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/>
    </xf>
    <xf numFmtId="164" fontId="41" fillId="0" borderId="2" xfId="0" applyNumberFormat="1" applyFont="1" applyBorder="1" applyAlignment="1">
      <alignment horizontal="center" vertical="center"/>
    </xf>
    <xf numFmtId="2" fontId="41" fillId="0" borderId="3" xfId="0" applyNumberFormat="1" applyFont="1" applyBorder="1" applyAlignment="1">
      <alignment horizontal="center" vertical="center"/>
    </xf>
    <xf numFmtId="165" fontId="41" fillId="0" borderId="5" xfId="0" applyNumberFormat="1" applyFont="1" applyBorder="1" applyAlignment="1">
      <alignment horizontal="center" vertical="center"/>
    </xf>
    <xf numFmtId="1" fontId="43" fillId="0" borderId="2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 vertical="center"/>
    </xf>
    <xf numFmtId="0" fontId="44" fillId="7" borderId="2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/>
    </xf>
    <xf numFmtId="0" fontId="14" fillId="29" borderId="7" xfId="0" applyFont="1" applyFill="1" applyBorder="1" applyAlignment="1">
      <alignment horizontal="center"/>
    </xf>
    <xf numFmtId="164" fontId="42" fillId="12" borderId="28" xfId="0" applyNumberFormat="1" applyFont="1" applyFill="1" applyBorder="1" applyAlignment="1">
      <alignment horizontal="center" vertical="center" wrapText="1"/>
    </xf>
    <xf numFmtId="164" fontId="14" fillId="12" borderId="29" xfId="0" applyNumberFormat="1" applyFont="1" applyFill="1" applyBorder="1" applyAlignment="1">
      <alignment horizontal="center" vertical="center" wrapText="1"/>
    </xf>
    <xf numFmtId="2" fontId="44" fillId="7" borderId="28" xfId="0" applyNumberFormat="1" applyFont="1" applyFill="1" applyBorder="1" applyAlignment="1">
      <alignment horizontal="center" vertical="center"/>
    </xf>
    <xf numFmtId="2" fontId="14" fillId="7" borderId="29" xfId="0" applyNumberFormat="1" applyFont="1" applyFill="1" applyBorder="1" applyAlignment="1">
      <alignment horizontal="center" vertical="center"/>
    </xf>
    <xf numFmtId="0" fontId="18" fillId="2" borderId="0" xfId="0" applyFont="1" applyFill="1"/>
    <xf numFmtId="0" fontId="22" fillId="13" borderId="50" xfId="0" applyFont="1" applyFill="1" applyBorder="1" applyAlignment="1">
      <alignment horizontal="center" vertical="center" wrapText="1"/>
    </xf>
    <xf numFmtId="0" fontId="6" fillId="6" borderId="51" xfId="0" applyFont="1" applyFill="1" applyBorder="1" applyAlignment="1">
      <alignment horizontal="center" vertical="center" wrapText="1"/>
    </xf>
    <xf numFmtId="0" fontId="23" fillId="6" borderId="51" xfId="0" applyFont="1" applyFill="1" applyBorder="1" applyAlignment="1">
      <alignment horizontal="center" vertical="center" wrapText="1"/>
    </xf>
    <xf numFmtId="0" fontId="23" fillId="6" borderId="52" xfId="0" applyFont="1" applyFill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center" vertical="center" wrapText="1"/>
    </xf>
    <xf numFmtId="0" fontId="46" fillId="8" borderId="37" xfId="0" applyFont="1" applyFill="1" applyBorder="1" applyAlignment="1">
      <alignment horizontal="center" vertical="center" wrapText="1"/>
    </xf>
    <xf numFmtId="0" fontId="45" fillId="9" borderId="38" xfId="0" applyFont="1" applyFill="1" applyBorder="1" applyAlignment="1">
      <alignment horizontal="center" vertical="center" wrapText="1"/>
    </xf>
    <xf numFmtId="0" fontId="45" fillId="9" borderId="42" xfId="0" applyFont="1" applyFill="1" applyBorder="1" applyAlignment="1">
      <alignment horizontal="center" vertical="center" wrapText="1"/>
    </xf>
    <xf numFmtId="0" fontId="45" fillId="7" borderId="17" xfId="0" applyFont="1" applyFill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center" vertical="center" wrapText="1"/>
    </xf>
    <xf numFmtId="0" fontId="11" fillId="16" borderId="37" xfId="0" applyFont="1" applyFill="1" applyBorder="1" applyAlignment="1">
      <alignment horizontal="center" vertical="center" wrapText="1"/>
    </xf>
    <xf numFmtId="0" fontId="11" fillId="16" borderId="53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6" fontId="14" fillId="0" borderId="2" xfId="0" applyNumberFormat="1" applyFont="1" applyBorder="1" applyAlignment="1">
      <alignment horizontal="center"/>
    </xf>
    <xf numFmtId="164" fontId="43" fillId="0" borderId="2" xfId="0" applyNumberFormat="1" applyFont="1" applyBorder="1" applyAlignment="1">
      <alignment horizontal="center"/>
    </xf>
    <xf numFmtId="166" fontId="43" fillId="0" borderId="3" xfId="0" applyNumberFormat="1" applyFont="1" applyBorder="1" applyAlignment="1">
      <alignment horizontal="center"/>
    </xf>
    <xf numFmtId="164" fontId="42" fillId="12" borderId="3" xfId="0" applyNumberFormat="1" applyFont="1" applyFill="1" applyBorder="1" applyAlignment="1">
      <alignment horizontal="center" wrapText="1"/>
    </xf>
    <xf numFmtId="2" fontId="14" fillId="7" borderId="2" xfId="0" applyNumberFormat="1" applyFont="1" applyFill="1" applyBorder="1" applyAlignment="1">
      <alignment horizontal="center"/>
    </xf>
    <xf numFmtId="2" fontId="12" fillId="20" borderId="3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64" fontId="14" fillId="0" borderId="2" xfId="0" applyNumberFormat="1" applyFont="1" applyBorder="1" applyAlignment="1">
      <alignment horizontal="center" wrapText="1"/>
    </xf>
    <xf numFmtId="165" fontId="14" fillId="0" borderId="2" xfId="0" applyNumberFormat="1" applyFont="1" applyBorder="1" applyAlignment="1">
      <alignment horizontal="center" wrapText="1"/>
    </xf>
    <xf numFmtId="166" fontId="14" fillId="0" borderId="2" xfId="0" applyNumberFormat="1" applyFont="1" applyBorder="1" applyAlignment="1">
      <alignment horizontal="center" wrapText="1"/>
    </xf>
    <xf numFmtId="2" fontId="43" fillId="0" borderId="2" xfId="0" applyNumberFormat="1" applyFont="1" applyBorder="1" applyAlignment="1">
      <alignment horizontal="center" wrapText="1"/>
    </xf>
    <xf numFmtId="2" fontId="2" fillId="7" borderId="2" xfId="0" applyNumberFormat="1" applyFont="1" applyFill="1" applyBorder="1" applyAlignment="1">
      <alignment horizontal="center" wrapText="1"/>
    </xf>
    <xf numFmtId="2" fontId="2" fillId="7" borderId="2" xfId="0" applyNumberFormat="1" applyFont="1" applyFill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 vertical="center"/>
    </xf>
    <xf numFmtId="164" fontId="42" fillId="12" borderId="3" xfId="0" applyNumberFormat="1" applyFont="1" applyFill="1" applyBorder="1" applyAlignment="1">
      <alignment horizontal="center" vertical="center" wrapText="1"/>
    </xf>
    <xf numFmtId="2" fontId="14" fillId="7" borderId="2" xfId="0" applyNumberFormat="1" applyFont="1" applyFill="1" applyBorder="1" applyAlignment="1">
      <alignment horizontal="center" vertical="center"/>
    </xf>
    <xf numFmtId="2" fontId="24" fillId="18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2" fontId="43" fillId="0" borderId="2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 vertical="center"/>
    </xf>
    <xf numFmtId="166" fontId="41" fillId="0" borderId="3" xfId="0" applyNumberFormat="1" applyFont="1" applyBorder="1" applyAlignment="1">
      <alignment horizontal="center"/>
    </xf>
    <xf numFmtId="2" fontId="2" fillId="7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2" fillId="20" borderId="3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18" borderId="2" xfId="0" applyNumberFormat="1" applyFont="1" applyFill="1" applyBorder="1" applyAlignment="1">
      <alignment horizontal="center"/>
    </xf>
    <xf numFmtId="2" fontId="2" fillId="18" borderId="2" xfId="0" applyNumberFormat="1" applyFont="1" applyFill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2" fontId="16" fillId="0" borderId="43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2" fontId="2" fillId="7" borderId="43" xfId="0" applyNumberFormat="1" applyFont="1" applyFill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66" fontId="14" fillId="0" borderId="43" xfId="0" applyNumberFormat="1" applyFont="1" applyBorder="1" applyAlignment="1">
      <alignment horizontal="center" vertical="center"/>
    </xf>
    <xf numFmtId="2" fontId="14" fillId="0" borderId="43" xfId="0" applyNumberFormat="1" applyFont="1" applyBorder="1" applyAlignment="1">
      <alignment horizontal="center" vertical="center"/>
    </xf>
    <xf numFmtId="164" fontId="14" fillId="0" borderId="43" xfId="0" applyNumberFormat="1" applyFont="1" applyBorder="1" applyAlignment="1">
      <alignment horizontal="center"/>
    </xf>
    <xf numFmtId="166" fontId="14" fillId="0" borderId="43" xfId="0" applyNumberFormat="1" applyFont="1" applyBorder="1" applyAlignment="1">
      <alignment horizontal="center"/>
    </xf>
    <xf numFmtId="0" fontId="14" fillId="29" borderId="55" xfId="0" applyFont="1" applyFill="1" applyBorder="1" applyAlignment="1">
      <alignment horizontal="center"/>
    </xf>
    <xf numFmtId="164" fontId="42" fillId="12" borderId="56" xfId="0" applyNumberFormat="1" applyFont="1" applyFill="1" applyBorder="1" applyAlignment="1">
      <alignment horizontal="center" vertical="center" wrapText="1"/>
    </xf>
    <xf numFmtId="164" fontId="42" fillId="12" borderId="54" xfId="0" applyNumberFormat="1" applyFont="1" applyFill="1" applyBorder="1" applyAlignment="1">
      <alignment horizontal="center" vertical="center" wrapText="1"/>
    </xf>
    <xf numFmtId="2" fontId="12" fillId="20" borderId="54" xfId="0" applyNumberFormat="1" applyFont="1" applyFill="1" applyBorder="1" applyAlignment="1">
      <alignment horizontal="center"/>
    </xf>
    <xf numFmtId="2" fontId="28" fillId="16" borderId="55" xfId="0" applyNumberFormat="1" applyFont="1" applyFill="1" applyBorder="1" applyAlignment="1">
      <alignment horizontal="center"/>
    </xf>
    <xf numFmtId="166" fontId="43" fillId="0" borderId="2" xfId="0" applyNumberFormat="1" applyFont="1" applyBorder="1" applyAlignment="1">
      <alignment horizontal="center"/>
    </xf>
    <xf numFmtId="0" fontId="14" fillId="29" borderId="2" xfId="0" applyFont="1" applyFill="1" applyBorder="1" applyAlignment="1">
      <alignment horizontal="center"/>
    </xf>
    <xf numFmtId="164" fontId="42" fillId="12" borderId="2" xfId="0" applyNumberFormat="1" applyFont="1" applyFill="1" applyBorder="1" applyAlignment="1">
      <alignment horizontal="center" vertical="center" wrapText="1"/>
    </xf>
    <xf numFmtId="2" fontId="12" fillId="20" borderId="2" xfId="0" applyNumberFormat="1" applyFont="1" applyFill="1" applyBorder="1" applyAlignment="1">
      <alignment horizontal="center"/>
    </xf>
    <xf numFmtId="2" fontId="28" fillId="16" borderId="2" xfId="0" applyNumberFormat="1" applyFont="1" applyFill="1" applyBorder="1" applyAlignment="1">
      <alignment horizontal="center"/>
    </xf>
    <xf numFmtId="0" fontId="0" fillId="2" borderId="0" xfId="0" applyFill="1"/>
    <xf numFmtId="0" fontId="48" fillId="29" borderId="0" xfId="0" applyFont="1" applyFill="1"/>
    <xf numFmtId="0" fontId="47" fillId="31" borderId="0" xfId="0" applyFont="1" applyFill="1" applyAlignment="1">
      <alignment horizontal="left"/>
    </xf>
    <xf numFmtId="0" fontId="2" fillId="31" borderId="0" xfId="0" applyFont="1" applyFill="1"/>
    <xf numFmtId="0" fontId="0" fillId="31" borderId="0" xfId="0" applyFill="1"/>
    <xf numFmtId="0" fontId="0" fillId="0" borderId="0" xfId="0" applyAlignment="1">
      <alignment horizontal="center"/>
    </xf>
    <xf numFmtId="0" fontId="48" fillId="6" borderId="0" xfId="0" applyFont="1" applyFill="1"/>
    <xf numFmtId="0" fontId="49" fillId="0" borderId="0" xfId="0" applyFont="1"/>
    <xf numFmtId="0" fontId="51" fillId="33" borderId="0" xfId="0" applyFont="1" applyFill="1" applyAlignment="1">
      <alignment horizontal="left" vertical="center"/>
    </xf>
    <xf numFmtId="0" fontId="2" fillId="7" borderId="19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2" fillId="7" borderId="47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 vertical="center" wrapText="1"/>
    </xf>
    <xf numFmtId="0" fontId="11" fillId="11" borderId="57" xfId="0" applyFont="1" applyFill="1" applyBorder="1" applyAlignment="1">
      <alignment horizontal="center" vertical="center" wrapText="1"/>
    </xf>
    <xf numFmtId="0" fontId="53" fillId="11" borderId="17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center" wrapText="1"/>
    </xf>
    <xf numFmtId="0" fontId="54" fillId="0" borderId="2" xfId="0" applyFont="1" applyFill="1" applyBorder="1" applyAlignment="1">
      <alignment horizontal="center"/>
    </xf>
    <xf numFmtId="164" fontId="55" fillId="0" borderId="2" xfId="0" applyNumberFormat="1" applyFont="1" applyFill="1" applyBorder="1" applyAlignment="1">
      <alignment horizontal="center" wrapText="1"/>
    </xf>
    <xf numFmtId="0" fontId="55" fillId="0" borderId="2" xfId="0" applyFont="1" applyFill="1" applyBorder="1" applyAlignment="1">
      <alignment horizontal="center" wrapText="1"/>
    </xf>
    <xf numFmtId="164" fontId="55" fillId="0" borderId="2" xfId="0" applyNumberFormat="1" applyFont="1" applyFill="1" applyBorder="1" applyAlignment="1">
      <alignment horizontal="center"/>
    </xf>
    <xf numFmtId="2" fontId="55" fillId="16" borderId="6" xfId="0" applyNumberFormat="1" applyFont="1" applyFill="1" applyBorder="1" applyAlignment="1">
      <alignment horizontal="center"/>
    </xf>
    <xf numFmtId="2" fontId="55" fillId="16" borderId="7" xfId="0" applyNumberFormat="1" applyFont="1" applyFill="1" applyBorder="1" applyAlignment="1">
      <alignment horizontal="center"/>
    </xf>
    <xf numFmtId="166" fontId="1" fillId="0" borderId="2" xfId="1" applyNumberFormat="1" applyBorder="1" applyAlignment="1">
      <alignment horizontal="center"/>
    </xf>
    <xf numFmtId="10" fontId="56" fillId="0" borderId="2" xfId="1" applyNumberFormat="1" applyFont="1" applyBorder="1" applyAlignment="1">
      <alignment horizontal="center"/>
    </xf>
    <xf numFmtId="10" fontId="56" fillId="0" borderId="3" xfId="1" applyNumberFormat="1" applyFont="1" applyBorder="1" applyAlignment="1">
      <alignment horizontal="center"/>
    </xf>
    <xf numFmtId="0" fontId="2" fillId="3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" fontId="41" fillId="0" borderId="2" xfId="0" applyNumberFormat="1" applyFont="1" applyBorder="1" applyAlignment="1">
      <alignment horizontal="center"/>
    </xf>
    <xf numFmtId="164" fontId="14" fillId="0" borderId="43" xfId="0" applyNumberFormat="1" applyFont="1" applyBorder="1" applyAlignment="1">
      <alignment horizontal="center" vertical="center"/>
    </xf>
    <xf numFmtId="1" fontId="14" fillId="0" borderId="43" xfId="0" applyNumberFormat="1" applyFont="1" applyBorder="1" applyAlignment="1">
      <alignment horizontal="center" vertical="center"/>
    </xf>
    <xf numFmtId="2" fontId="41" fillId="0" borderId="43" xfId="0" applyNumberFormat="1" applyFont="1" applyBorder="1" applyAlignment="1">
      <alignment horizontal="center" vertical="center"/>
    </xf>
    <xf numFmtId="164" fontId="41" fillId="0" borderId="43" xfId="0" applyNumberFormat="1" applyFont="1" applyBorder="1" applyAlignment="1">
      <alignment horizontal="center"/>
    </xf>
    <xf numFmtId="166" fontId="41" fillId="0" borderId="54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FFCC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FFFFFF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AE3F3"/>
      <rgbColor rgb="FF800000"/>
      <rgbColor rgb="FF008000"/>
      <rgbColor rgb="FF000080"/>
      <rgbColor rgb="FFDBDBDB"/>
      <rgbColor rgb="FF800080"/>
      <rgbColor rgb="FF007BB8"/>
      <rgbColor rgb="FFCCCCCC"/>
      <rgbColor rgb="FFA9D18E"/>
      <rgbColor rgb="FFC0DEEC"/>
      <rgbColor rgb="FFFBE5D6"/>
      <rgbColor rgb="FFFFF2CC"/>
      <rgbColor rgb="FFDEEBF7"/>
      <rgbColor rgb="FF660066"/>
      <rgbColor rgb="FFD9D9D9"/>
      <rgbColor rgb="FF0070C0"/>
      <rgbColor rgb="FFBDD7EE"/>
      <rgbColor rgb="FF000080"/>
      <rgbColor rgb="FFFF00FF"/>
      <rgbColor rgb="FFFFC000"/>
      <rgbColor rgb="FFE2EFDA"/>
      <rgbColor rgb="FF800080"/>
      <rgbColor rgb="FF800000"/>
      <rgbColor rgb="FF008080"/>
      <rgbColor rgb="FF0000FF"/>
      <rgbColor rgb="FFD9E1F2"/>
      <rgbColor rgb="FFDEEAF6"/>
      <rgbColor rgb="FFE2F0D9"/>
      <rgbColor rgb="FFEBF1DE"/>
      <rgbColor rgb="FF9DC3E6"/>
      <rgbColor rgb="FFD0CECE"/>
      <rgbColor rgb="FFB4C7E7"/>
      <rgbColor rgb="FFF8CBAD"/>
      <rgbColor rgb="FF4472C4"/>
      <rgbColor rgb="FFC5E0B4"/>
      <rgbColor rgb="FF92D050"/>
      <rgbColor rgb="FFFFCC00"/>
      <rgbColor rgb="FFFF8C00"/>
      <rgbColor rgb="FFED7D31"/>
      <rgbColor rgb="FF595959"/>
      <rgbColor rgb="FF70AD47"/>
      <rgbColor rgb="FF203864"/>
      <rgbColor rgb="FF00B050"/>
      <rgbColor rgb="FF003300"/>
      <rgbColor rgb="FF375623"/>
      <rgbColor rgb="FFC55A11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cancy_Calculator" displayName="Vacancy_Calculator" ref="A3:G35" totalsRowShown="0">
  <autoFilter ref="A3:G35" xr:uid="{00000000-0009-0000-0100-000001000000}"/>
  <tableColumns count="7">
    <tableColumn id="1" xr3:uid="{00000000-0010-0000-0000-000001000000}" name="Team"/>
    <tableColumn id="2" xr3:uid="{00000000-0010-0000-0000-000002000000}" name="RB Score"/>
    <tableColumn id="3" xr3:uid="{00000000-0010-0000-0000-000003000000}" name="WR Score"/>
    <tableColumn id="4" xr3:uid="{00000000-0010-0000-0000-000004000000}" name="TE Score"/>
    <tableColumn id="5" xr3:uid="{00000000-0010-0000-0000-000005000000}" name="RB Net Touches"/>
    <tableColumn id="6" xr3:uid="{00000000-0010-0000-0000-000006000000}" name="WR Net Targets"/>
    <tableColumn id="7" xr3:uid="{00000000-0010-0000-0000-000007000000}" name="TE Net Targe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B3" zoomScale="75" zoomScaleNormal="75" workbookViewId="0">
      <selection activeCell="F15" sqref="F15"/>
    </sheetView>
  </sheetViews>
  <sheetFormatPr defaultColWidth="76.140625" defaultRowHeight="15" x14ac:dyDescent="0.25"/>
  <cols>
    <col min="2" max="2" width="32.140625" customWidth="1"/>
    <col min="3" max="3" width="18.28515625" customWidth="1"/>
    <col min="4" max="4" width="23.140625" style="14" customWidth="1"/>
    <col min="5" max="5" width="19.7109375" customWidth="1"/>
    <col min="6" max="6" width="167" customWidth="1"/>
  </cols>
  <sheetData>
    <row r="1" spans="1:6" ht="28.5" customHeight="1" x14ac:dyDescent="0.25">
      <c r="A1" s="15"/>
      <c r="B1" s="15"/>
      <c r="C1" s="15"/>
      <c r="D1" s="16"/>
      <c r="E1" s="15"/>
      <c r="F1" s="15"/>
    </row>
    <row r="2" spans="1:6" s="21" customFormat="1" ht="28.5" customHeight="1" x14ac:dyDescent="0.3">
      <c r="A2" s="17" t="s">
        <v>0</v>
      </c>
      <c r="B2" s="18" t="s">
        <v>1</v>
      </c>
      <c r="C2" s="19" t="s">
        <v>2</v>
      </c>
      <c r="D2" s="20" t="s">
        <v>3</v>
      </c>
      <c r="E2" s="17" t="s">
        <v>4</v>
      </c>
      <c r="F2" s="17" t="s">
        <v>5</v>
      </c>
    </row>
    <row r="3" spans="1:6" ht="28.5" customHeight="1" x14ac:dyDescent="0.25">
      <c r="A3" s="22" t="s">
        <v>6</v>
      </c>
      <c r="B3" s="23" t="s">
        <v>6</v>
      </c>
      <c r="C3" s="24">
        <v>1.1000000000000001</v>
      </c>
      <c r="D3" s="25" t="s">
        <v>7</v>
      </c>
      <c r="E3" s="26"/>
      <c r="F3" s="22" t="s">
        <v>8</v>
      </c>
    </row>
    <row r="4" spans="1:6" ht="28.5" customHeight="1" x14ac:dyDescent="0.25">
      <c r="A4" s="22" t="s">
        <v>9</v>
      </c>
      <c r="B4" s="23" t="s">
        <v>9</v>
      </c>
      <c r="C4" s="24">
        <v>1.2</v>
      </c>
      <c r="D4" s="25" t="s">
        <v>10</v>
      </c>
      <c r="E4" s="26"/>
      <c r="F4" s="22" t="s">
        <v>11</v>
      </c>
    </row>
    <row r="5" spans="1:6" ht="28.5" customHeight="1" x14ac:dyDescent="0.25">
      <c r="A5" s="22" t="s">
        <v>12</v>
      </c>
      <c r="B5" s="23" t="s">
        <v>13</v>
      </c>
      <c r="C5" s="24">
        <v>1.3</v>
      </c>
      <c r="D5" s="25" t="s">
        <v>14</v>
      </c>
      <c r="E5" s="26"/>
      <c r="F5" s="22" t="s">
        <v>15</v>
      </c>
    </row>
    <row r="6" spans="1:6" ht="28.5" customHeight="1" x14ac:dyDescent="0.25">
      <c r="A6" s="22" t="s">
        <v>16</v>
      </c>
      <c r="B6" s="23" t="s">
        <v>16</v>
      </c>
      <c r="C6" s="24">
        <v>1.4</v>
      </c>
      <c r="D6" s="27" t="s">
        <v>10</v>
      </c>
      <c r="E6" s="26"/>
      <c r="F6" s="22" t="s">
        <v>17</v>
      </c>
    </row>
    <row r="7" spans="1:6" ht="28.5" customHeight="1" x14ac:dyDescent="0.25">
      <c r="A7" s="28" t="s">
        <v>18</v>
      </c>
      <c r="B7" s="29" t="s">
        <v>19</v>
      </c>
      <c r="C7" s="30">
        <v>1.5</v>
      </c>
      <c r="D7" s="31"/>
      <c r="E7" s="32"/>
      <c r="F7" s="28" t="s">
        <v>20</v>
      </c>
    </row>
    <row r="8" spans="1:6" ht="28.5" customHeight="1" x14ac:dyDescent="0.25">
      <c r="A8" s="28" t="s">
        <v>18</v>
      </c>
      <c r="B8" s="29" t="s">
        <v>21</v>
      </c>
      <c r="C8" s="30">
        <v>1.6</v>
      </c>
      <c r="D8" s="31"/>
      <c r="E8" s="32"/>
      <c r="F8" s="28" t="s">
        <v>22</v>
      </c>
    </row>
    <row r="9" spans="1:6" ht="28.5" customHeight="1" x14ac:dyDescent="0.25">
      <c r="A9" s="22" t="s">
        <v>12</v>
      </c>
      <c r="B9" s="23" t="s">
        <v>12</v>
      </c>
      <c r="C9" s="24">
        <v>1.7</v>
      </c>
      <c r="D9" s="25" t="s">
        <v>14</v>
      </c>
      <c r="E9" s="26"/>
      <c r="F9" s="22" t="s">
        <v>23</v>
      </c>
    </row>
    <row r="10" spans="1:6" ht="28.5" customHeight="1" x14ac:dyDescent="0.25">
      <c r="A10" s="22" t="s">
        <v>24</v>
      </c>
      <c r="B10" s="23" t="s">
        <v>24</v>
      </c>
      <c r="C10" s="24">
        <v>1.8</v>
      </c>
      <c r="D10" s="25" t="s">
        <v>25</v>
      </c>
      <c r="E10" s="26"/>
      <c r="F10" s="22" t="s">
        <v>26</v>
      </c>
    </row>
    <row r="11" spans="1:6" ht="28.5" customHeight="1" x14ac:dyDescent="0.25">
      <c r="A11" s="22" t="s">
        <v>12</v>
      </c>
      <c r="B11" s="23" t="s">
        <v>27</v>
      </c>
      <c r="C11" s="24">
        <v>1.9</v>
      </c>
      <c r="D11" s="25" t="s">
        <v>14</v>
      </c>
      <c r="E11" s="26"/>
      <c r="F11" s="22" t="s">
        <v>28</v>
      </c>
    </row>
    <row r="12" spans="1:6" ht="28.5" customHeight="1" x14ac:dyDescent="0.25">
      <c r="A12" s="22" t="s">
        <v>27</v>
      </c>
      <c r="B12" s="23" t="s">
        <v>29</v>
      </c>
      <c r="C12" s="24">
        <v>1.1000000000000001</v>
      </c>
      <c r="D12" s="25" t="s">
        <v>30</v>
      </c>
      <c r="E12" s="26"/>
      <c r="F12" s="22" t="s">
        <v>31</v>
      </c>
    </row>
    <row r="13" spans="1:6" ht="28.5" customHeight="1" x14ac:dyDescent="0.25">
      <c r="A13" s="22" t="s">
        <v>12</v>
      </c>
      <c r="B13" s="23" t="s">
        <v>32</v>
      </c>
      <c r="C13" s="24">
        <v>1.1100000000000001</v>
      </c>
      <c r="D13" s="25" t="s">
        <v>14</v>
      </c>
      <c r="E13" s="26"/>
      <c r="F13" s="22" t="s">
        <v>33</v>
      </c>
    </row>
    <row r="14" spans="1:6" ht="28.5" customHeight="1" x14ac:dyDescent="0.25">
      <c r="A14" s="28" t="s">
        <v>18</v>
      </c>
      <c r="B14" s="29" t="s">
        <v>18</v>
      </c>
      <c r="C14" s="30">
        <v>1.1200000000000001</v>
      </c>
      <c r="D14" s="31"/>
      <c r="E14" s="32"/>
      <c r="F14" s="28" t="s">
        <v>34</v>
      </c>
    </row>
    <row r="15" spans="1:6" ht="28.5" customHeight="1" x14ac:dyDescent="0.25">
      <c r="A15" s="22" t="s">
        <v>6</v>
      </c>
      <c r="B15" s="23" t="s">
        <v>6</v>
      </c>
      <c r="C15" s="24">
        <v>2.1</v>
      </c>
      <c r="D15" s="25" t="s">
        <v>7</v>
      </c>
      <c r="E15" s="26"/>
      <c r="F15" s="22" t="s">
        <v>35</v>
      </c>
    </row>
    <row r="16" spans="1:6" ht="28.5" customHeight="1" x14ac:dyDescent="0.25">
      <c r="A16" s="22" t="s">
        <v>6</v>
      </c>
      <c r="B16" s="23" t="s">
        <v>9</v>
      </c>
      <c r="C16" s="24">
        <v>2.2000000000000002</v>
      </c>
      <c r="D16" s="25" t="s">
        <v>7</v>
      </c>
      <c r="E16" s="26"/>
      <c r="F16" s="22" t="s">
        <v>36</v>
      </c>
    </row>
    <row r="17" spans="1:6" ht="28.5" customHeight="1" x14ac:dyDescent="0.25">
      <c r="A17" s="22" t="s">
        <v>6</v>
      </c>
      <c r="B17" s="23" t="s">
        <v>13</v>
      </c>
      <c r="C17" s="24">
        <v>2.2999999999999998</v>
      </c>
      <c r="D17" s="25" t="s">
        <v>7</v>
      </c>
      <c r="E17" s="26"/>
      <c r="F17" s="22" t="s">
        <v>37</v>
      </c>
    </row>
    <row r="18" spans="1:6" ht="28.5" customHeight="1" x14ac:dyDescent="0.25">
      <c r="A18" s="22" t="s">
        <v>16</v>
      </c>
      <c r="B18" s="23" t="s">
        <v>16</v>
      </c>
      <c r="C18" s="24">
        <v>2.4</v>
      </c>
      <c r="D18" s="25" t="s">
        <v>38</v>
      </c>
      <c r="E18" s="26"/>
      <c r="F18" s="22" t="s">
        <v>39</v>
      </c>
    </row>
    <row r="19" spans="1:6" ht="28.5" customHeight="1" x14ac:dyDescent="0.25">
      <c r="A19" s="22" t="s">
        <v>19</v>
      </c>
      <c r="B19" s="23" t="s">
        <v>19</v>
      </c>
      <c r="C19" s="24">
        <v>2.5</v>
      </c>
      <c r="D19" s="25" t="s">
        <v>40</v>
      </c>
      <c r="E19" s="26"/>
      <c r="F19" s="22" t="s">
        <v>41</v>
      </c>
    </row>
    <row r="20" spans="1:6" ht="28.5" customHeight="1" x14ac:dyDescent="0.25">
      <c r="A20" s="22" t="s">
        <v>27</v>
      </c>
      <c r="B20" s="23" t="s">
        <v>21</v>
      </c>
      <c r="C20" s="24">
        <v>2.6</v>
      </c>
      <c r="D20" s="25" t="s">
        <v>30</v>
      </c>
      <c r="E20" s="26"/>
      <c r="F20" s="22" t="s">
        <v>42</v>
      </c>
    </row>
    <row r="21" spans="1:6" ht="28.5" customHeight="1" x14ac:dyDescent="0.25">
      <c r="A21" s="22" t="s">
        <v>12</v>
      </c>
      <c r="B21" s="23" t="s">
        <v>12</v>
      </c>
      <c r="C21" s="24">
        <v>2.7</v>
      </c>
      <c r="D21" s="25" t="s">
        <v>14</v>
      </c>
      <c r="E21" s="26"/>
      <c r="F21" s="22" t="s">
        <v>43</v>
      </c>
    </row>
    <row r="22" spans="1:6" ht="28.5" customHeight="1" x14ac:dyDescent="0.25">
      <c r="A22" s="22" t="s">
        <v>19</v>
      </c>
      <c r="B22" s="23" t="s">
        <v>24</v>
      </c>
      <c r="C22" s="24">
        <v>2.8</v>
      </c>
      <c r="D22" s="25" t="s">
        <v>40</v>
      </c>
      <c r="E22" s="26"/>
      <c r="F22" s="33" t="s">
        <v>44</v>
      </c>
    </row>
    <row r="23" spans="1:6" ht="28.5" customHeight="1" x14ac:dyDescent="0.25">
      <c r="A23" s="22" t="s">
        <v>6</v>
      </c>
      <c r="B23" s="23" t="s">
        <v>27</v>
      </c>
      <c r="C23" s="24">
        <v>2.9</v>
      </c>
      <c r="D23" s="25" t="s">
        <v>7</v>
      </c>
      <c r="E23" s="26"/>
      <c r="F23" s="22" t="s">
        <v>45</v>
      </c>
    </row>
    <row r="24" spans="1:6" ht="28.5" customHeight="1" x14ac:dyDescent="0.25">
      <c r="A24" s="22" t="s">
        <v>6</v>
      </c>
      <c r="B24" s="23" t="s">
        <v>29</v>
      </c>
      <c r="C24" s="24">
        <v>2.1</v>
      </c>
      <c r="D24" s="25" t="s">
        <v>7</v>
      </c>
      <c r="E24" s="26"/>
      <c r="F24" s="22" t="s">
        <v>46</v>
      </c>
    </row>
    <row r="25" spans="1:6" ht="28.5" customHeight="1" x14ac:dyDescent="0.25">
      <c r="A25" s="22" t="s">
        <v>27</v>
      </c>
      <c r="B25" s="23" t="s">
        <v>32</v>
      </c>
      <c r="C25" s="24">
        <v>2.11</v>
      </c>
      <c r="D25" s="25" t="s">
        <v>30</v>
      </c>
      <c r="E25" s="26"/>
      <c r="F25" s="22" t="s">
        <v>47</v>
      </c>
    </row>
    <row r="26" spans="1:6" ht="28.5" customHeight="1" x14ac:dyDescent="0.25">
      <c r="A26" s="28" t="s">
        <v>18</v>
      </c>
      <c r="B26" s="29" t="s">
        <v>18</v>
      </c>
      <c r="C26" s="30">
        <v>2.12</v>
      </c>
      <c r="D26" s="31"/>
      <c r="E26" s="32"/>
      <c r="F26" s="28" t="s">
        <v>48</v>
      </c>
    </row>
    <row r="27" spans="1:6" ht="28.5" customHeight="1" x14ac:dyDescent="0.25">
      <c r="A27" s="22" t="s">
        <v>6</v>
      </c>
      <c r="B27" s="23" t="s">
        <v>6</v>
      </c>
      <c r="C27" s="24">
        <v>3.1</v>
      </c>
      <c r="D27" s="25" t="s">
        <v>7</v>
      </c>
      <c r="E27" s="26"/>
      <c r="F27" s="22" t="s">
        <v>49</v>
      </c>
    </row>
    <row r="28" spans="1:6" ht="28.5" customHeight="1" x14ac:dyDescent="0.25">
      <c r="A28" s="22" t="s">
        <v>9</v>
      </c>
      <c r="B28" s="23" t="s">
        <v>9</v>
      </c>
      <c r="C28" s="24">
        <v>3.2</v>
      </c>
      <c r="D28" s="25" t="s">
        <v>50</v>
      </c>
      <c r="E28" s="26"/>
      <c r="F28" s="22" t="s">
        <v>51</v>
      </c>
    </row>
    <row r="29" spans="1:6" ht="28.5" customHeight="1" x14ac:dyDescent="0.25">
      <c r="A29" s="22" t="s">
        <v>24</v>
      </c>
      <c r="B29" s="23" t="s">
        <v>13</v>
      </c>
      <c r="C29" s="24">
        <v>3.3</v>
      </c>
      <c r="D29" s="25" t="s">
        <v>25</v>
      </c>
      <c r="E29" s="26"/>
      <c r="F29" s="22" t="s">
        <v>52</v>
      </c>
    </row>
    <row r="30" spans="1:6" ht="28.5" customHeight="1" x14ac:dyDescent="0.25">
      <c r="A30" s="22" t="s">
        <v>16</v>
      </c>
      <c r="B30" s="23" t="s">
        <v>16</v>
      </c>
      <c r="C30" s="24">
        <v>3.4</v>
      </c>
      <c r="D30" s="25" t="s">
        <v>38</v>
      </c>
      <c r="E30" s="26"/>
      <c r="F30" s="22" t="s">
        <v>53</v>
      </c>
    </row>
    <row r="31" spans="1:6" ht="28.5" customHeight="1" x14ac:dyDescent="0.25">
      <c r="A31" s="22" t="s">
        <v>24</v>
      </c>
      <c r="B31" s="23" t="s">
        <v>19</v>
      </c>
      <c r="C31" s="24">
        <v>3.5</v>
      </c>
      <c r="D31" s="25" t="s">
        <v>25</v>
      </c>
      <c r="E31" s="26"/>
      <c r="F31" s="22" t="s">
        <v>54</v>
      </c>
    </row>
    <row r="32" spans="1:6" ht="28.5" customHeight="1" x14ac:dyDescent="0.25">
      <c r="A32" s="22" t="s">
        <v>27</v>
      </c>
      <c r="B32" s="23" t="s">
        <v>21</v>
      </c>
      <c r="C32" s="24">
        <v>3.6</v>
      </c>
      <c r="D32" s="25" t="s">
        <v>30</v>
      </c>
      <c r="E32" s="26"/>
      <c r="F32" s="22" t="s">
        <v>55</v>
      </c>
    </row>
    <row r="33" spans="1:6" ht="28.5" customHeight="1" x14ac:dyDescent="0.25">
      <c r="A33" s="22" t="s">
        <v>12</v>
      </c>
      <c r="B33" s="23" t="s">
        <v>12</v>
      </c>
      <c r="C33" s="24">
        <v>3.7</v>
      </c>
      <c r="D33" s="25" t="s">
        <v>14</v>
      </c>
      <c r="E33" s="26"/>
      <c r="F33" s="22" t="s">
        <v>56</v>
      </c>
    </row>
    <row r="34" spans="1:6" ht="28.5" customHeight="1" x14ac:dyDescent="0.25">
      <c r="A34" s="22" t="s">
        <v>24</v>
      </c>
      <c r="B34" s="23" t="s">
        <v>24</v>
      </c>
      <c r="C34" s="24">
        <v>3.8</v>
      </c>
      <c r="D34" s="25" t="s">
        <v>25</v>
      </c>
      <c r="E34" s="26"/>
      <c r="F34" s="22" t="s">
        <v>57</v>
      </c>
    </row>
    <row r="35" spans="1:6" ht="28.5" customHeight="1" x14ac:dyDescent="0.25">
      <c r="A35" s="28" t="s">
        <v>18</v>
      </c>
      <c r="B35" s="29" t="s">
        <v>27</v>
      </c>
      <c r="C35" s="30">
        <v>3.9</v>
      </c>
      <c r="D35" s="31"/>
      <c r="E35" s="32"/>
      <c r="F35" s="28" t="s">
        <v>58</v>
      </c>
    </row>
    <row r="36" spans="1:6" ht="28.5" customHeight="1" x14ac:dyDescent="0.25">
      <c r="A36" s="22" t="s">
        <v>16</v>
      </c>
      <c r="B36" s="23" t="s">
        <v>29</v>
      </c>
      <c r="C36" s="24">
        <v>3.1</v>
      </c>
      <c r="D36" s="25" t="s">
        <v>38</v>
      </c>
      <c r="E36" s="26"/>
      <c r="F36" s="22" t="s">
        <v>59</v>
      </c>
    </row>
    <row r="37" spans="1:6" ht="28.5" customHeight="1" x14ac:dyDescent="0.25">
      <c r="A37" s="28" t="s">
        <v>18</v>
      </c>
      <c r="B37" s="29" t="s">
        <v>32</v>
      </c>
      <c r="C37" s="30">
        <v>3.11</v>
      </c>
      <c r="D37" s="31"/>
      <c r="E37" s="32"/>
      <c r="F37" s="28" t="s">
        <v>60</v>
      </c>
    </row>
    <row r="38" spans="1:6" ht="28.5" customHeight="1" x14ac:dyDescent="0.25">
      <c r="A38" s="28" t="s">
        <v>18</v>
      </c>
      <c r="B38" s="29" t="s">
        <v>18</v>
      </c>
      <c r="C38" s="34">
        <v>3.12</v>
      </c>
      <c r="D38" s="31"/>
      <c r="E38" s="32"/>
      <c r="F38" s="28" t="s">
        <v>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zoomScale="90" zoomScaleNormal="90" workbookViewId="0">
      <pane ySplit="1" topLeftCell="A2" activePane="bottomLeft" state="frozen"/>
      <selection pane="bottomLeft" activeCell="M10" sqref="M10"/>
    </sheetView>
  </sheetViews>
  <sheetFormatPr defaultColWidth="9.140625" defaultRowHeight="18" x14ac:dyDescent="0.25"/>
  <cols>
    <col min="1" max="1" width="3" style="35" customWidth="1"/>
    <col min="2" max="2" width="39.42578125" style="35" customWidth="1"/>
    <col min="3" max="3" width="9.5703125" style="35" customWidth="1"/>
    <col min="4" max="4" width="8.42578125" style="35" customWidth="1"/>
    <col min="5" max="5" width="10.140625" style="35" customWidth="1"/>
    <col min="6" max="6" width="10.7109375" style="35" customWidth="1"/>
    <col min="7" max="7" width="9.140625" style="35"/>
    <col min="8" max="8" width="9.7109375" style="35" customWidth="1"/>
    <col min="9" max="11" width="7.7109375" style="35" customWidth="1"/>
    <col min="12" max="12" width="7.85546875" style="35" customWidth="1"/>
    <col min="13" max="13" width="7.7109375" style="35" customWidth="1"/>
    <col min="14" max="14" width="7.28515625" style="35" customWidth="1"/>
    <col min="15" max="15" width="7.140625" style="35" customWidth="1"/>
    <col min="16" max="16" width="9.140625" style="35"/>
    <col min="17" max="17" width="8.28515625" style="35" customWidth="1"/>
    <col min="18" max="18" width="9.140625" style="35"/>
    <col min="19" max="19" width="6.140625" style="35" customWidth="1"/>
    <col min="20" max="20" width="6.42578125" style="35" customWidth="1"/>
    <col min="21" max="21" width="7.5703125" style="36" customWidth="1"/>
    <col min="22" max="22" width="7.140625" style="36" customWidth="1"/>
    <col min="23" max="23" width="7.140625" style="37" customWidth="1"/>
    <col min="24" max="24" width="9" style="37" customWidth="1"/>
    <col min="25" max="25" width="8" style="37" customWidth="1"/>
    <col min="26" max="26" width="9.140625" style="35"/>
    <col min="27" max="27" width="15.42578125" style="38" customWidth="1"/>
    <col min="28" max="28" width="24.7109375" style="38" customWidth="1"/>
    <col min="29" max="16384" width="9.140625" style="35"/>
  </cols>
  <sheetData>
    <row r="1" spans="1:30" ht="50.25" customHeight="1" thickBot="1" x14ac:dyDescent="0.3">
      <c r="A1" s="39"/>
      <c r="B1" s="40" t="s">
        <v>61</v>
      </c>
      <c r="C1" s="41" t="s">
        <v>62</v>
      </c>
      <c r="D1" s="41" t="s">
        <v>63</v>
      </c>
      <c r="E1" s="42" t="s">
        <v>64</v>
      </c>
      <c r="F1" s="43" t="s">
        <v>65</v>
      </c>
      <c r="G1" s="44" t="s">
        <v>66</v>
      </c>
      <c r="H1" s="41" t="s">
        <v>67</v>
      </c>
      <c r="I1" s="41" t="s">
        <v>68</v>
      </c>
      <c r="J1" s="41" t="s">
        <v>69</v>
      </c>
      <c r="K1" s="41" t="s">
        <v>70</v>
      </c>
      <c r="L1" s="41" t="s">
        <v>71</v>
      </c>
      <c r="M1" s="41" t="s">
        <v>72</v>
      </c>
      <c r="N1" s="41" t="s">
        <v>73</v>
      </c>
      <c r="O1" s="41" t="s">
        <v>74</v>
      </c>
      <c r="P1" s="41" t="s">
        <v>75</v>
      </c>
      <c r="Q1" s="41" t="s">
        <v>76</v>
      </c>
      <c r="R1" s="41" t="s">
        <v>77</v>
      </c>
      <c r="S1" s="42" t="s">
        <v>78</v>
      </c>
      <c r="T1" s="45" t="s">
        <v>79</v>
      </c>
      <c r="U1" s="46" t="s">
        <v>80</v>
      </c>
      <c r="V1" s="47" t="s">
        <v>81</v>
      </c>
      <c r="W1" s="48" t="s">
        <v>82</v>
      </c>
      <c r="X1" s="49" t="s">
        <v>83</v>
      </c>
      <c r="Y1" s="50" t="s">
        <v>84</v>
      </c>
      <c r="Z1" s="450" t="s">
        <v>87</v>
      </c>
      <c r="AA1" s="448" t="s">
        <v>85</v>
      </c>
      <c r="AB1" s="449" t="s">
        <v>86</v>
      </c>
      <c r="AC1" s="51" t="s">
        <v>84</v>
      </c>
      <c r="AD1" s="51" t="s">
        <v>87</v>
      </c>
    </row>
    <row r="2" spans="1:30" s="68" customFormat="1" ht="22.5" customHeight="1" x14ac:dyDescent="0.3">
      <c r="A2" s="52"/>
      <c r="B2" s="53" t="s">
        <v>88</v>
      </c>
      <c r="C2" s="54">
        <v>77</v>
      </c>
      <c r="D2" s="55">
        <v>225</v>
      </c>
      <c r="E2" s="56">
        <v>4.78</v>
      </c>
      <c r="F2" s="57">
        <f>ROUND((D2*200)/(E2^4)*(C2/75),2)</f>
        <v>88.5</v>
      </c>
      <c r="G2" s="58">
        <v>26.33</v>
      </c>
      <c r="H2" s="59">
        <v>0.33</v>
      </c>
      <c r="I2" s="54">
        <v>8.5299999999999994</v>
      </c>
      <c r="J2" s="54">
        <v>7.26</v>
      </c>
      <c r="K2" s="54">
        <v>0.45900000000000002</v>
      </c>
      <c r="L2" s="60">
        <v>7.38</v>
      </c>
      <c r="M2" s="59">
        <v>1.55</v>
      </c>
      <c r="N2" s="59">
        <v>4.2699999999999996</v>
      </c>
      <c r="O2" s="61">
        <v>3.0590000000000002</v>
      </c>
      <c r="P2" s="61">
        <v>77.215999999999994</v>
      </c>
      <c r="Q2" s="54">
        <v>83.042000000000002</v>
      </c>
      <c r="R2" s="54">
        <v>2.629</v>
      </c>
      <c r="S2" s="56">
        <v>7.2320000000000002</v>
      </c>
      <c r="T2" s="62">
        <v>1</v>
      </c>
      <c r="U2" s="63">
        <f>ROUND(MIN(20,MAX(0,K2/0.45*20))+MIN(15,MAX(0,(I2-5)/7*15))+MIN(15,MAX(0,N2/6*15))+MIN(15,MAX(0,G2/80*15))+MIN(15,MAX(0,F2/120*15))+MIN(10,MAX(0,(J2-6)/5*10))+MIN(10,MAX(0,Q2/90*10)),1)</f>
        <v>66</v>
      </c>
      <c r="V2" s="64">
        <f>ROUND(MIN(25,MAX(0,L2/10*25))+MIN(25,MAX(0,(1-M2/5)*25))+MIN(20,MAX(0,P2/78*20))+MIN(15,MAX(0,(J2-6)/5*15))+MIN(10,MAX(0,(MAX(0,2.5-O2)/2.5)*10))+IF(ISNUMBER(X2),MAX(0,5-((INT(X2)-1)*32+ROUND(MOD(X2,1)*100,0))*0.02),IF(LOWER(X2)="UDFA",0.5,3)),1)</f>
        <v>64.3</v>
      </c>
      <c r="W2" s="65">
        <v>22</v>
      </c>
      <c r="X2" s="66">
        <v>1.01</v>
      </c>
      <c r="Y2" s="443" t="s">
        <v>89</v>
      </c>
      <c r="Z2" s="451">
        <f>MAX(0,IFERROR(VLOOKUP(Y2,$AC$2:$AD$34,2,FALSE()),0))</f>
        <v>0.5</v>
      </c>
      <c r="AA2" s="453">
        <f>IF(AND(LOWER(X2)="udfa",OR(Y2="N/A",Y2="")),-999,INT(MIN(96.9,(IF((IF(ISNUMBER(X2),12*EXP(-0.0179*((INT(X2)-1)*32+ROUND(MOD(X2,1)*100,0)-1)),IF(LOWER(X2)="UDFA",0.3,0))+IF(C2&gt;=76,8,IF(C2&gt;=74,6,IF(C2&gt;=73,3,IF(C2&gt;=72,0,IF(C2&gt;=71,-4,-8)))))+(MIN(25.5,MAX(0,K2/0.45*25.5))+MIN(17,MAX(0,I2/9.5*17))+MIN(12,MAX(0,N2/6*12))+MIN(11.5,MIN(10,MAX(0,G2/70*10))+MIN(3.75,MAX(0,H2/0.8*3.75)))+MIN(10.25,MAX(0,J2/8*10.25))+MIN(7.5,MAX(0,L2/7*7.5))+MIN(7.5,MAX(0,Q2/90*7.5))+MIN(6.25,MAX(0,P2/78*6.25))-MIN(8,MAX(0,(MAX(0,O2-2)/2)*8))-MIN(8,MAX(0,IF(M2&lt;=1.5,0,IF(M2&lt;=2.5,(M2-1.5)*4,4+(M2-2.5)*8))))-MIN(5,MAX(0,(MAX(0,S2-5)/3)*5))-MIN(3,MAX(0,(MAX(0,R2-2.9)/0.5)*3)))*T2-MAX(0,(W2-22)*3.5))&gt;60,60+SQRT((IF(ISNUMBER(X2),12*EXP(-0.0179*((INT(X2)-1)*32+ROUND(MOD(X2,1)*100,0)-1)),IF(LOWER(X2)="UDFA",0.3,0))+IF(C2&gt;=76,8,IF(C2&gt;=74,6,IF(C2&gt;=73,3,IF(C2&gt;=72,0,IF(C2&gt;=71,-4,-8)))))+(MIN(25.5,MAX(0,K2/0.45*25.5))+MIN(17,MAX(0,I2/9.5*17))+MIN(12,MAX(0,N2/6*12))+MIN(11.5,MIN(10,MAX(0,G2/70*10))+MIN(3.75,MAX(0,H2/0.8*3.75)))+MIN(10.25,MAX(0,J2/8*10.25))+MIN(7.5,MAX(0,L2/7*7.5))+MIN(7.5,MAX(0,Q2/90*7.5))+MIN(6.25,MAX(0,P2/78*6.25))-MIN(8,MAX(0,(MAX(0,O2-2)/2)*8))-MIN(8,MAX(0,IF(M2&lt;=1.5,0,IF(M2&lt;=2.5,(M2-1.5)*4,4+(M2-2.5)*8))))-MIN(5,MAX(0,(MAX(0,S2-5)/3)*5))-MIN(3,MAX(0,(MAX(0,R2-2.9)/0.5)*3)))*T2-MAX(0,(W2-22)*3.5))-60)*5,(IF(ISNUMBER(X2),12*EXP(-0.0179*((INT(X2)-1)*32+ROUND(MOD(X2,1)*100,0)-1)),IF(LOWER(X2)="UDFA",0.3,0))+IF(C2&gt;=76,8,IF(C2&gt;=74,6,IF(C2&gt;=73,3,IF(C2&gt;=72,0,IF(C2&gt;=71,-4,-8)))))+(MIN(25.5,MAX(0,K2/0.45*25.5))+MIN(17,MAX(0,I2/9.5*17))+MIN(12,MAX(0,N2/6*12))+MIN(11.5,MIN(10,MAX(0,G2/70*10))+MIN(3.75,MAX(0,H2/0.8*3.75)))+MIN(10.25,MAX(0,J2/8*10.25))+MIN(7.5,MAX(0,L2/7*7.5))+MIN(7.5,MAX(0,Q2/90*7.5))+MIN(6.25,MAX(0,P2/78*6.25))-MIN(8,MAX(0,(MAX(0,O2-2)/2)*8))-MIN(8,MAX(0,IF(M2&lt;=1.5,0,IF(M2&lt;=2.5,(M2-1.5)*4,4+(M2-2.5)*8))))-MIN(5,MAX(0,(MAX(0,S2-5)/3)*5))-MIN(3,MAX(0,(MAX(0,R2-2.9)/0.5)*3)))*T2-MAX(0,(W2-22)*3.5))))*0.98)+Z2))</f>
        <v>88</v>
      </c>
      <c r="AB2" s="454" t="str">
        <f>IF(AA2=-999,"",IF(AA2&gt;=92,"Franchise QB",IF(AA2&gt;=88,"High-end Starter",IF(AA2&gt;=84,"Developmental Starter",IF(AA2&gt;=71,"Backup / Camp QB",IF(AA2&gt;=58,"Deep Stash","Cut"))))))</f>
        <v>High-end Starter</v>
      </c>
      <c r="AC2" s="67" t="s">
        <v>90</v>
      </c>
      <c r="AD2" s="67">
        <v>1.46</v>
      </c>
    </row>
    <row r="3" spans="1:30" s="68" customFormat="1" ht="18.75" customHeight="1" x14ac:dyDescent="0.3">
      <c r="A3" s="69"/>
      <c r="B3" s="70" t="s">
        <v>91</v>
      </c>
      <c r="C3" s="71">
        <v>73</v>
      </c>
      <c r="D3" s="72">
        <v>211</v>
      </c>
      <c r="E3" s="73">
        <v>4.68</v>
      </c>
      <c r="F3" s="74">
        <f>ROUND((D3*200)/(E3^4)*(C3/75),2)</f>
        <v>85.62</v>
      </c>
      <c r="G3" s="75">
        <v>16.329999999999998</v>
      </c>
      <c r="H3" s="76">
        <v>0.14000000000000001</v>
      </c>
      <c r="I3" s="71">
        <v>7.67</v>
      </c>
      <c r="J3" s="71">
        <v>6.56</v>
      </c>
      <c r="K3" s="71">
        <v>0.33</v>
      </c>
      <c r="L3" s="77">
        <v>5.61</v>
      </c>
      <c r="M3" s="76">
        <v>1</v>
      </c>
      <c r="N3" s="76">
        <v>5.891</v>
      </c>
      <c r="O3" s="78">
        <v>2.8570000000000002</v>
      </c>
      <c r="P3" s="78">
        <v>75.125</v>
      </c>
      <c r="Q3" s="79">
        <v>80.73</v>
      </c>
      <c r="R3" s="79">
        <v>2.9380000000000002</v>
      </c>
      <c r="S3" s="73">
        <v>5.4139999999999997</v>
      </c>
      <c r="T3" s="80">
        <v>1</v>
      </c>
      <c r="U3" s="81">
        <f>ROUND(MIN(20,MAX(0,K3/0.45*20))+MIN(15,MAX(0,(I3-5)/7*15))+MIN(15,MAX(0,N3/6*15))+MIN(15,MAX(0,G3/80*15))+MIN(15,MAX(0,F3/120*15))+MIN(10,MAX(0,(J3-6)/5*10))+MIN(10,MAX(0,Q3/90*10)),1)</f>
        <v>59</v>
      </c>
      <c r="V3" s="82">
        <f>ROUND(MIN(25,MAX(0,L3/10*25))+MIN(25,MAX(0,(1-M3/5)*25))+MIN(20,MAX(0,P3/78*20))+MIN(15,MAX(0,(J3-6)/5*15))+MIN(10,MAX(0,(MAX(0,2.5-O3)/2.5)*10))+IF(ISNUMBER(X3),MAX(0,5-((INT(X3)-1)*32+ROUND(MOD(X3,1)*100,0))*0.02),IF(LOWER(X3)="UDFA",0.5,3)),1)</f>
        <v>59.7</v>
      </c>
      <c r="W3" s="83">
        <v>22</v>
      </c>
      <c r="X3" s="84">
        <v>1.1299999999999999</v>
      </c>
      <c r="Y3" s="444" t="s">
        <v>92</v>
      </c>
      <c r="Z3" s="451">
        <f>MAX(0,IFERROR(VLOOKUP(Y3,$AC$2:$AD$34,2,FALSE()),0))</f>
        <v>2.5499999999999998</v>
      </c>
      <c r="AA3" s="455">
        <f>IF(AND(LOWER(X3)="udfa",OR(Y3="N/A",Y3="")),-999,INT(MIN(96.9,(IF((IF(ISNUMBER(X3),12*EXP(-0.0179*((INT(X3)-1)*32+ROUND(MOD(X3,1)*100,0)-1)),IF(LOWER(X3)="UDFA",0.3,0))+IF(C3&gt;=76,8,IF(C3&gt;=74,6,IF(C3&gt;=73,3,IF(C3&gt;=72,0,IF(C3&gt;=71,-4,-8)))))+(MIN(25.5,MAX(0,K3/0.45*25.5))+MIN(17,MAX(0,I3/9.5*17))+MIN(12,MAX(0,N3/6*12))+MIN(11.5,MIN(10,MAX(0,G3/70*10))+MIN(3.75,MAX(0,H3/0.8*3.75)))+MIN(10.25,MAX(0,J3/8*10.25))+MIN(7.5,MAX(0,L3/7*7.5))+MIN(7.5,MAX(0,Q3/90*7.5))+MIN(6.25,MAX(0,P3/78*6.25))-MIN(8,MAX(0,(MAX(0,O3-2)/2)*8))-MIN(8,MAX(0,IF(M3&lt;=1.5,0,IF(M3&lt;=2.5,(M3-1.5)*4,4+(M3-2.5)*8))))-MIN(5,MAX(0,(MAX(0,S3-5)/3)*5))-MIN(3,MAX(0,(MAX(0,R3-2.9)/0.5)*3)))*T3-MAX(0,(W3-22)*3.5))&gt;60,60+SQRT((IF(ISNUMBER(X3),12*EXP(-0.0179*((INT(X3)-1)*32+ROUND(MOD(X3,1)*100,0)-1)),IF(LOWER(X3)="UDFA",0.3,0))+IF(C3&gt;=76,8,IF(C3&gt;=74,6,IF(C3&gt;=73,3,IF(C3&gt;=72,0,IF(C3&gt;=71,-4,-8)))))+(MIN(25.5,MAX(0,K3/0.45*25.5))+MIN(17,MAX(0,I3/9.5*17))+MIN(12,MAX(0,N3/6*12))+MIN(11.5,MIN(10,MAX(0,G3/70*10))+MIN(3.75,MAX(0,H3/0.8*3.75)))+MIN(10.25,MAX(0,J3/8*10.25))+MIN(7.5,MAX(0,L3/7*7.5))+MIN(7.5,MAX(0,Q3/90*7.5))+MIN(6.25,MAX(0,P3/78*6.25))-MIN(8,MAX(0,(MAX(0,O3-2)/2)*8))-MIN(8,MAX(0,IF(M3&lt;=1.5,0,IF(M3&lt;=2.5,(M3-1.5)*4,4+(M3-2.5)*8))))-MIN(5,MAX(0,(MAX(0,S3-5)/3)*5))-MIN(3,MAX(0,(MAX(0,R3-2.9)/0.5)*3)))*T3-MAX(0,(W3-22)*3.5))-60)*5,(IF(ISNUMBER(X3),12*EXP(-0.0179*((INT(X3)-1)*32+ROUND(MOD(X3,1)*100,0)-1)),IF(LOWER(X3)="UDFA",0.3,0))+IF(C3&gt;=76,8,IF(C3&gt;=74,6,IF(C3&gt;=73,3,IF(C3&gt;=72,0,IF(C3&gt;=71,-4,-8)))))+(MIN(25.5,MAX(0,K3/0.45*25.5))+MIN(17,MAX(0,I3/9.5*17))+MIN(12,MAX(0,N3/6*12))+MIN(11.5,MIN(10,MAX(0,G3/70*10))+MIN(3.75,MAX(0,H3/0.8*3.75)))+MIN(10.25,MAX(0,J3/8*10.25))+MIN(7.5,MAX(0,L3/7*7.5))+MIN(7.5,MAX(0,Q3/90*7.5))+MIN(6.25,MAX(0,P3/78*6.25))-MIN(8,MAX(0,(MAX(0,O3-2)/2)*8))-MIN(8,MAX(0,IF(M3&lt;=1.5,0,IF(M3&lt;=2.5,(M3-1.5)*4,4+(M3-2.5)*8))))-MIN(5,MAX(0,(MAX(0,S3-5)/3)*5))-MIN(3,MAX(0,(MAX(0,R3-2.9)/0.5)*3)))*T3-MAX(0,(W3-22)*3.5))))*0.98)+Z3))</f>
        <v>84</v>
      </c>
      <c r="AB3" s="454" t="str">
        <f>IF(AA3=-999,"",IF(AA3&gt;=92,"Franchise QB",IF(AA3&gt;=88,"High-end Starter",IF(AA3&gt;=84,"Developmental Starter",IF(AA3&gt;=71,"Backup / Camp QB",IF(AA3&gt;=58,"Deep Stash","Cut"))))))</f>
        <v>Developmental Starter</v>
      </c>
      <c r="AC3" s="67" t="s">
        <v>93</v>
      </c>
      <c r="AD3" s="67">
        <v>1.02</v>
      </c>
    </row>
    <row r="4" spans="1:30" s="68" customFormat="1" ht="18.75" customHeight="1" x14ac:dyDescent="0.3">
      <c r="A4" s="69"/>
      <c r="B4" s="70" t="s">
        <v>94</v>
      </c>
      <c r="C4" s="71">
        <v>74</v>
      </c>
      <c r="D4" s="72">
        <v>212</v>
      </c>
      <c r="E4" s="73">
        <v>4.46</v>
      </c>
      <c r="F4" s="74">
        <f>ROUND((D4*200)/(E4^4)*(C4/75),2)</f>
        <v>105.73</v>
      </c>
      <c r="G4" s="75">
        <v>69.569999999999993</v>
      </c>
      <c r="H4" s="76">
        <v>1.1299999999999999</v>
      </c>
      <c r="I4" s="71">
        <v>8.01</v>
      </c>
      <c r="J4" s="71">
        <v>7.43</v>
      </c>
      <c r="K4" s="71">
        <v>0.35399999999999998</v>
      </c>
      <c r="L4" s="77">
        <v>4.4000000000000004</v>
      </c>
      <c r="M4" s="76">
        <v>1.26</v>
      </c>
      <c r="N4" s="76">
        <v>3.496</v>
      </c>
      <c r="O4" s="78">
        <v>1</v>
      </c>
      <c r="P4" s="78">
        <v>80.400000000000006</v>
      </c>
      <c r="Q4" s="71">
        <v>80.941999999999993</v>
      </c>
      <c r="R4" s="71">
        <v>2.57</v>
      </c>
      <c r="S4" s="73">
        <v>2.6259999999999999</v>
      </c>
      <c r="T4" s="80">
        <v>1</v>
      </c>
      <c r="U4" s="81">
        <f>ROUND(MIN(20,MAX(0,K4/0.45*20))+MIN(15,MAX(0,(I4-5)/7*15))+MIN(15,MAX(0,N4/6*15))+MIN(15,MAX(0,G4/80*15))+MIN(15,MAX(0,F4/120*15))+MIN(10,MAX(0,(J4-6)/5*10))+MIN(10,MAX(0,Q4/90*10)),1)</f>
        <v>69</v>
      </c>
      <c r="V4" s="86">
        <f>ROUND(MIN(25,MAX(0,L4/10*25))+MIN(25,MAX(0,(1-M4/5)*25))+MIN(20,MAX(0,P4/78*20))+MIN(15,MAX(0,(J4-6)/5*15))+MIN(10,MAX(0,(MAX(0,2.5-O4)/2.5)*10))+IF(ISNUMBER(X4),MAX(0,5-((INT(X4)-1)*32+ROUND(MOD(X4,1)*100,0))*0.02),IF(LOWER(X4)="UDFA",0.5,3)),1)</f>
        <v>60.5</v>
      </c>
      <c r="W4" s="87">
        <v>25</v>
      </c>
      <c r="X4" s="88" t="s">
        <v>95</v>
      </c>
      <c r="Y4" s="445" t="s">
        <v>96</v>
      </c>
      <c r="Z4" s="451">
        <f>MAX(0,IFERROR(VLOOKUP(Y4,$AC$2:$AD$34,2,FALSE()),0))</f>
        <v>1.1399999999999999</v>
      </c>
      <c r="AA4" s="453">
        <f>IF(AND(LOWER(X4)="udfa",OR(Y4="N/A",Y4="")),-999,INT(MIN(96.9,(IF((IF(ISNUMBER(X4),12*EXP(-0.0179*((INT(X4)-1)*32+ROUND(MOD(X4,1)*100,0)-1)),IF(LOWER(X4)="UDFA",0.3,0))+IF(C4&gt;=76,8,IF(C4&gt;=74,6,IF(C4&gt;=73,3,IF(C4&gt;=72,0,IF(C4&gt;=71,-4,-8)))))+(MIN(25.5,MAX(0,K4/0.45*25.5))+MIN(17,MAX(0,I4/9.5*17))+MIN(12,MAX(0,N4/6*12))+MIN(11.5,MIN(10,MAX(0,G4/70*10))+MIN(3.75,MAX(0,H4/0.8*3.75)))+MIN(10.25,MAX(0,J4/8*10.25))+MIN(7.5,MAX(0,L4/7*7.5))+MIN(7.5,MAX(0,Q4/90*7.5))+MIN(6.25,MAX(0,P4/78*6.25))-MIN(8,MAX(0,(MAX(0,O4-2)/2)*8))-MIN(8,MAX(0,IF(M4&lt;=1.5,0,IF(M4&lt;=2.5,(M4-1.5)*4,4+(M4-2.5)*8))))-MIN(5,MAX(0,(MAX(0,S4-5)/3)*5))-MIN(3,MAX(0,(MAX(0,R4-2.9)/0.5)*3)))*T4-MAX(0,(W4-22)*3.5))&gt;60,60+SQRT((IF(ISNUMBER(X4),12*EXP(-0.0179*((INT(X4)-1)*32+ROUND(MOD(X4,1)*100,0)-1)),IF(LOWER(X4)="UDFA",0.3,0))+IF(C4&gt;=76,8,IF(C4&gt;=74,6,IF(C4&gt;=73,3,IF(C4&gt;=72,0,IF(C4&gt;=71,-4,-8)))))+(MIN(25.5,MAX(0,K4/0.45*25.5))+MIN(17,MAX(0,I4/9.5*17))+MIN(12,MAX(0,N4/6*12))+MIN(11.5,MIN(10,MAX(0,G4/70*10))+MIN(3.75,MAX(0,H4/0.8*3.75)))+MIN(10.25,MAX(0,J4/8*10.25))+MIN(7.5,MAX(0,L4/7*7.5))+MIN(7.5,MAX(0,Q4/90*7.5))+MIN(6.25,MAX(0,P4/78*6.25))-MIN(8,MAX(0,(MAX(0,O4-2)/2)*8))-MIN(8,MAX(0,IF(M4&lt;=1.5,0,IF(M4&lt;=2.5,(M4-1.5)*4,4+(M4-2.5)*8))))-MIN(5,MAX(0,(MAX(0,S4-5)/3)*5))-MIN(3,MAX(0,(MAX(0,R4-2.9)/0.5)*3)))*T4-MAX(0,(W4-22)*3.5))-60)*5,(IF(ISNUMBER(X4),12*EXP(-0.0179*((INT(X4)-1)*32+ROUND(MOD(X4,1)*100,0)-1)),IF(LOWER(X4)="UDFA",0.3,0))+IF(C4&gt;=76,8,IF(C4&gt;=74,6,IF(C4&gt;=73,3,IF(C4&gt;=72,0,IF(C4&gt;=71,-4,-8)))))+(MIN(25.5,MAX(0,K4/0.45*25.5))+MIN(17,MAX(0,I4/9.5*17))+MIN(12,MAX(0,N4/6*12))+MIN(11.5,MIN(10,MAX(0,G4/70*10))+MIN(3.75,MAX(0,H4/0.8*3.75)))+MIN(10.25,MAX(0,J4/8*10.25))+MIN(7.5,MAX(0,L4/7*7.5))+MIN(7.5,MAX(0,Q4/90*7.5))+MIN(6.25,MAX(0,P4/78*6.25))-MIN(8,MAX(0,(MAX(0,O4-2)/2)*8))-MIN(8,MAX(0,IF(M4&lt;=1.5,0,IF(M4&lt;=2.5,(M4-1.5)*4,4+(M4-2.5)*8))))-MIN(5,MAX(0,(MAX(0,S4-5)/3)*5))-MIN(3,MAX(0,(MAX(0,R4-2.9)/0.5)*3)))*T4-MAX(0,(W4-22)*3.5))))*0.98)+Z4))</f>
        <v>79</v>
      </c>
      <c r="AB4" s="454" t="str">
        <f>IF(AA4=-999,"",IF(AA4&gt;=92,"Franchise QB",IF(AA4&gt;=88,"High-end Starter",IF(AA4&gt;=84,"Developmental Starter",IF(AA4&gt;=71,"Backup / Camp QB",IF(AA4&gt;=58,"Deep Stash","Cut"))))))</f>
        <v>Backup / Camp QB</v>
      </c>
      <c r="AC4" s="67" t="s">
        <v>97</v>
      </c>
      <c r="AD4" s="67">
        <v>0.97</v>
      </c>
    </row>
    <row r="5" spans="1:30" s="68" customFormat="1" ht="18.75" customHeight="1" x14ac:dyDescent="0.3">
      <c r="A5" s="90"/>
      <c r="B5" s="70" t="s">
        <v>98</v>
      </c>
      <c r="C5" s="71">
        <v>70</v>
      </c>
      <c r="D5" s="72">
        <v>207</v>
      </c>
      <c r="E5" s="73">
        <v>4.6399999999999997</v>
      </c>
      <c r="F5" s="74">
        <f>ROUND((D5*200)/(E5^4)*(C5/75),2)</f>
        <v>83.36</v>
      </c>
      <c r="G5" s="75">
        <v>72.349999999999994</v>
      </c>
      <c r="H5" s="76">
        <v>0.69</v>
      </c>
      <c r="I5" s="71">
        <v>8.76</v>
      </c>
      <c r="J5" s="71">
        <v>7.22</v>
      </c>
      <c r="K5" s="71">
        <v>0.51700000000000002</v>
      </c>
      <c r="L5" s="77">
        <v>7.23</v>
      </c>
      <c r="M5" s="76">
        <v>1.77</v>
      </c>
      <c r="N5" s="76">
        <v>6.7450000000000001</v>
      </c>
      <c r="O5" s="78">
        <v>1.976</v>
      </c>
      <c r="P5" s="78">
        <v>75.757999999999996</v>
      </c>
      <c r="Q5" s="79">
        <v>88.210999999999999</v>
      </c>
      <c r="R5" s="79">
        <v>2.9180000000000001</v>
      </c>
      <c r="S5" s="73">
        <v>4.4690000000000003</v>
      </c>
      <c r="T5" s="80">
        <v>1</v>
      </c>
      <c r="U5" s="81">
        <f>ROUND(MIN(20,MAX(0,K5/0.45*20))+MIN(15,MAX(0,(I5-5)/7*15))+MIN(15,MAX(0,N5/6*15))+MIN(15,MAX(0,G5/80*15))+MIN(15,MAX(0,F5/120*15))+MIN(10,MAX(0,(J5-6)/5*10))+MIN(10,MAX(0,Q5/90*10)),1)</f>
        <v>79.3</v>
      </c>
      <c r="V5" s="86">
        <f>ROUND(MIN(25,MAX(0,L5/10*25))+MIN(25,MAX(0,(1-M5/5)*25))+MIN(20,MAX(0,P5/78*20))+MIN(15,MAX(0,(J5-6)/5*15))+MIN(10,MAX(0,(MAX(0,2.5-O5)/2.5)*10))+IF(ISNUMBER(X5),MAX(0,5-((INT(X5)-1)*32+ROUND(MOD(X5,1)*100,0))*0.02),IF(LOWER(X5)="UDFA",0.5,3)),1)</f>
        <v>59.9</v>
      </c>
      <c r="W5" s="87">
        <v>25</v>
      </c>
      <c r="X5" s="88" t="s">
        <v>95</v>
      </c>
      <c r="Y5" s="446" t="s">
        <v>97</v>
      </c>
      <c r="Z5" s="451">
        <f>MAX(0,IFERROR(VLOOKUP(Y5,$AC$2:$AD$34,2,FALSE()),0))</f>
        <v>0.97</v>
      </c>
      <c r="AA5" s="453">
        <f>IF(AND(LOWER(X5)="udfa",OR(Y5="N/A",Y5="")),-999,INT(MIN(96.9,(IF((IF(ISNUMBER(X5),12*EXP(-0.0179*((INT(X5)-1)*32+ROUND(MOD(X5,1)*100,0)-1)),IF(LOWER(X5)="UDFA",0.3,0))+IF(C5&gt;=76,8,IF(C5&gt;=74,6,IF(C5&gt;=73,3,IF(C5&gt;=72,0,IF(C5&gt;=71,-4,-8)))))+(MIN(25.5,MAX(0,K5/0.45*25.5))+MIN(17,MAX(0,I5/9.5*17))+MIN(12,MAX(0,N5/6*12))+MIN(11.5,MIN(10,MAX(0,G5/70*10))+MIN(3.75,MAX(0,H5/0.8*3.75)))+MIN(10.25,MAX(0,J5/8*10.25))+MIN(7.5,MAX(0,L5/7*7.5))+MIN(7.5,MAX(0,Q5/90*7.5))+MIN(6.25,MAX(0,P5/78*6.25))-MIN(8,MAX(0,(MAX(0,O5-2)/2)*8))-MIN(8,MAX(0,IF(M5&lt;=1.5,0,IF(M5&lt;=2.5,(M5-1.5)*4,4+(M5-2.5)*8))))-MIN(5,MAX(0,(MAX(0,S5-5)/3)*5))-MIN(3,MAX(0,(MAX(0,R5-2.9)/0.5)*3)))*T5-MAX(0,(W5-22)*3.5))&gt;60,60+SQRT((IF(ISNUMBER(X5),12*EXP(-0.0179*((INT(X5)-1)*32+ROUND(MOD(X5,1)*100,0)-1)),IF(LOWER(X5)="UDFA",0.3,0))+IF(C5&gt;=76,8,IF(C5&gt;=74,6,IF(C5&gt;=73,3,IF(C5&gt;=72,0,IF(C5&gt;=71,-4,-8)))))+(MIN(25.5,MAX(0,K5/0.45*25.5))+MIN(17,MAX(0,I5/9.5*17))+MIN(12,MAX(0,N5/6*12))+MIN(11.5,MIN(10,MAX(0,G5/70*10))+MIN(3.75,MAX(0,H5/0.8*3.75)))+MIN(10.25,MAX(0,J5/8*10.25))+MIN(7.5,MAX(0,L5/7*7.5))+MIN(7.5,MAX(0,Q5/90*7.5))+MIN(6.25,MAX(0,P5/78*6.25))-MIN(8,MAX(0,(MAX(0,O5-2)/2)*8))-MIN(8,MAX(0,IF(M5&lt;=1.5,0,IF(M5&lt;=2.5,(M5-1.5)*4,4+(M5-2.5)*8))))-MIN(5,MAX(0,(MAX(0,S5-5)/3)*5))-MIN(3,MAX(0,(MAX(0,R5-2.9)/0.5)*3)))*T5-MAX(0,(W5-22)*3.5))-60)*5,(IF(ISNUMBER(X5),12*EXP(-0.0179*((INT(X5)-1)*32+ROUND(MOD(X5,1)*100,0)-1)),IF(LOWER(X5)="UDFA",0.3,0))+IF(C5&gt;=76,8,IF(C5&gt;=74,6,IF(C5&gt;=73,3,IF(C5&gt;=72,0,IF(C5&gt;=71,-4,-8)))))+(MIN(25.5,MAX(0,K5/0.45*25.5))+MIN(17,MAX(0,I5/9.5*17))+MIN(12,MAX(0,N5/6*12))+MIN(11.5,MIN(10,MAX(0,G5/70*10))+MIN(3.75,MAX(0,H5/0.8*3.75)))+MIN(10.25,MAX(0,J5/8*10.25))+MIN(7.5,MAX(0,L5/7*7.5))+MIN(7.5,MAX(0,Q5/90*7.5))+MIN(6.25,MAX(0,P5/78*6.25))-MIN(8,MAX(0,(MAX(0,O5-2)/2)*8))-MIN(8,MAX(0,IF(M5&lt;=1.5,0,IF(M5&lt;=2.5,(M5-1.5)*4,4+(M5-2.5)*8))))-MIN(5,MAX(0,(MAX(0,S5-5)/3)*5))-MIN(3,MAX(0,(MAX(0,R5-2.9)/0.5)*3)))*T5-MAX(0,(W5-22)*3.5))))*0.98)+Z5))</f>
        <v>79</v>
      </c>
      <c r="AB5" s="454" t="str">
        <f>IF(AA5=-999,"",IF(AA5&gt;=92,"Franchise QB",IF(AA5&gt;=88,"High-end Starter",IF(AA5&gt;=84,"Developmental Starter",IF(AA5&gt;=71,"Backup / Camp QB",IF(AA5&gt;=58,"Deep Stash","Cut"))))))</f>
        <v>Backup / Camp QB</v>
      </c>
      <c r="AC5" s="67" t="s">
        <v>99</v>
      </c>
      <c r="AD5" s="67">
        <v>1.53</v>
      </c>
    </row>
    <row r="6" spans="1:30" s="68" customFormat="1" ht="18.75" customHeight="1" x14ac:dyDescent="0.3">
      <c r="A6" s="91"/>
      <c r="B6" s="70" t="s">
        <v>100</v>
      </c>
      <c r="C6" s="71">
        <v>74</v>
      </c>
      <c r="D6" s="72">
        <v>207</v>
      </c>
      <c r="E6" s="73">
        <v>4.6900000000000004</v>
      </c>
      <c r="F6" s="74">
        <f>ROUND((D6*200)/(E6^4)*(C6/75),2)</f>
        <v>84.43</v>
      </c>
      <c r="G6" s="75">
        <v>31.19</v>
      </c>
      <c r="H6" s="76">
        <v>0.42</v>
      </c>
      <c r="I6" s="71">
        <v>7.64</v>
      </c>
      <c r="J6" s="71">
        <v>6.76</v>
      </c>
      <c r="K6" s="71">
        <v>0.23400000000000001</v>
      </c>
      <c r="L6" s="77">
        <v>5.87</v>
      </c>
      <c r="M6" s="76">
        <v>1.35</v>
      </c>
      <c r="N6" s="76">
        <v>4.6980000000000004</v>
      </c>
      <c r="O6" s="78">
        <v>2.2559999999999998</v>
      </c>
      <c r="P6" s="78">
        <v>75.424000000000007</v>
      </c>
      <c r="Q6" s="71">
        <v>83.179000000000002</v>
      </c>
      <c r="R6" s="71">
        <v>2.6709999999999998</v>
      </c>
      <c r="S6" s="73">
        <v>4.3369999999999997</v>
      </c>
      <c r="T6" s="80">
        <v>1</v>
      </c>
      <c r="U6" s="81">
        <f>ROUND(MIN(20,MAX(0,K6/0.45*20))+MIN(15,MAX(0,(I6-5)/7*15))+MIN(15,MAX(0,N6/6*15))+MIN(15,MAX(0,G6/80*15))+MIN(15,MAX(0,F6/120*15))+MIN(10,MAX(0,(J6-6)/5*10))+MIN(10,MAX(0,Q6/90*10)),1)</f>
        <v>55</v>
      </c>
      <c r="V6" s="82">
        <f>ROUND(MIN(25,MAX(0,L6/10*25))+MIN(25,MAX(0,(1-M6/5)*25))+MIN(20,MAX(0,P6/78*20))+MIN(15,MAX(0,(J6-6)/5*15))+MIN(10,MAX(0,(MAX(0,2.5-O6)/2.5)*10))+IF(ISNUMBER(X6),MAX(0,5-((INT(X6)-1)*32+ROUND(MOD(X6,1)*100,0))*0.02),IF(LOWER(X6)="UDFA",0.5,3)),1)</f>
        <v>58.3</v>
      </c>
      <c r="W6" s="83">
        <v>23</v>
      </c>
      <c r="X6" s="84">
        <v>4.1399999999999997</v>
      </c>
      <c r="Y6" s="444" t="s">
        <v>101</v>
      </c>
      <c r="Z6" s="451">
        <f>MAX(0,IFERROR(VLOOKUP(Y6,$AC$2:$AD$34,2,FALSE()),0))</f>
        <v>0.43</v>
      </c>
      <c r="AA6" s="455">
        <f>IF(AND(LOWER(X6)="udfa",OR(Y6="N/A",Y6="")),-999,INT(MIN(96.9,(IF((IF(ISNUMBER(X6),12*EXP(-0.0179*((INT(X6)-1)*32+ROUND(MOD(X6,1)*100,0)-1)),IF(LOWER(X6)="UDFA",0.3,0))+IF(C6&gt;=76,8,IF(C6&gt;=74,6,IF(C6&gt;=73,3,IF(C6&gt;=72,0,IF(C6&gt;=71,-4,-8)))))+(MIN(25.5,MAX(0,K6/0.45*25.5))+MIN(17,MAX(0,I6/9.5*17))+MIN(12,MAX(0,N6/6*12))+MIN(11.5,MIN(10,MAX(0,G6/70*10))+MIN(3.75,MAX(0,H6/0.8*3.75)))+MIN(10.25,MAX(0,J6/8*10.25))+MIN(7.5,MAX(0,L6/7*7.5))+MIN(7.5,MAX(0,Q6/90*7.5))+MIN(6.25,MAX(0,P6/78*6.25))-MIN(8,MAX(0,(MAX(0,O6-2)/2)*8))-MIN(8,MAX(0,IF(M6&lt;=1.5,0,IF(M6&lt;=2.5,(M6-1.5)*4,4+(M6-2.5)*8))))-MIN(5,MAX(0,(MAX(0,S6-5)/3)*5))-MIN(3,MAX(0,(MAX(0,R6-2.9)/0.5)*3)))*T6-MAX(0,(W6-22)*3.5))&gt;60,60+SQRT((IF(ISNUMBER(X6),12*EXP(-0.0179*((INT(X6)-1)*32+ROUND(MOD(X6,1)*100,0)-1)),IF(LOWER(X6)="UDFA",0.3,0))+IF(C6&gt;=76,8,IF(C6&gt;=74,6,IF(C6&gt;=73,3,IF(C6&gt;=72,0,IF(C6&gt;=71,-4,-8)))))+(MIN(25.5,MAX(0,K6/0.45*25.5))+MIN(17,MAX(0,I6/9.5*17))+MIN(12,MAX(0,N6/6*12))+MIN(11.5,MIN(10,MAX(0,G6/70*10))+MIN(3.75,MAX(0,H6/0.8*3.75)))+MIN(10.25,MAX(0,J6/8*10.25))+MIN(7.5,MAX(0,L6/7*7.5))+MIN(7.5,MAX(0,Q6/90*7.5))+MIN(6.25,MAX(0,P6/78*6.25))-MIN(8,MAX(0,(MAX(0,O6-2)/2)*8))-MIN(8,MAX(0,IF(M6&lt;=1.5,0,IF(M6&lt;=2.5,(M6-1.5)*4,4+(M6-2.5)*8))))-MIN(5,MAX(0,(MAX(0,S6-5)/3)*5))-MIN(3,MAX(0,(MAX(0,R6-2.9)/0.5)*3)))*T6-MAX(0,(W6-22)*3.5))-60)*5,(IF(ISNUMBER(X6),12*EXP(-0.0179*((INT(X6)-1)*32+ROUND(MOD(X6,1)*100,0)-1)),IF(LOWER(X6)="UDFA",0.3,0))+IF(C6&gt;=76,8,IF(C6&gt;=74,6,IF(C6&gt;=73,3,IF(C6&gt;=72,0,IF(C6&gt;=71,-4,-8)))))+(MIN(25.5,MAX(0,K6/0.45*25.5))+MIN(17,MAX(0,I6/9.5*17))+MIN(12,MAX(0,N6/6*12))+MIN(11.5,MIN(10,MAX(0,G6/70*10))+MIN(3.75,MAX(0,H6/0.8*3.75)))+MIN(10.25,MAX(0,J6/8*10.25))+MIN(7.5,MAX(0,L6/7*7.5))+MIN(7.5,MAX(0,Q6/90*7.5))+MIN(6.25,MAX(0,P6/78*6.25))-MIN(8,MAX(0,(MAX(0,O6-2)/2)*8))-MIN(8,MAX(0,IF(M6&lt;=1.5,0,IF(M6&lt;=2.5,(M6-1.5)*4,4+(M6-2.5)*8))))-MIN(5,MAX(0,(MAX(0,S6-5)/3)*5))-MIN(3,MAX(0,(MAX(0,R6-2.9)/0.5)*3)))*T6-MAX(0,(W6-22)*3.5))))*0.98)+Z6))</f>
        <v>77</v>
      </c>
      <c r="AB6" s="454" t="str">
        <f>IF(AA6=-999,"",IF(AA6&gt;=92,"Franchise QB",IF(AA6&gt;=88,"High-end Starter",IF(AA6&gt;=84,"Developmental Starter",IF(AA6&gt;=71,"Backup / Camp QB",IF(AA6&gt;=58,"Deep Stash","Cut"))))))</f>
        <v>Backup / Camp QB</v>
      </c>
      <c r="AC6" s="67" t="s">
        <v>96</v>
      </c>
      <c r="AD6" s="67">
        <v>1.1399999999999999</v>
      </c>
    </row>
    <row r="7" spans="1:30" s="68" customFormat="1" ht="18.75" customHeight="1" x14ac:dyDescent="0.3">
      <c r="A7" s="90"/>
      <c r="B7" s="70" t="s">
        <v>105</v>
      </c>
      <c r="C7" s="71">
        <v>75</v>
      </c>
      <c r="D7" s="72">
        <v>229</v>
      </c>
      <c r="E7" s="73">
        <v>4.8499999999999996</v>
      </c>
      <c r="F7" s="92">
        <f>ROUND((D7*200)/(E7^4)*(C7/75),2)</f>
        <v>82.77</v>
      </c>
      <c r="G7" s="75">
        <v>7.21</v>
      </c>
      <c r="H7" s="76">
        <v>0.31</v>
      </c>
      <c r="I7" s="71">
        <v>8.2100000000000009</v>
      </c>
      <c r="J7" s="71">
        <v>8.14</v>
      </c>
      <c r="K7" s="71">
        <v>0.38</v>
      </c>
      <c r="L7" s="77">
        <v>5.9</v>
      </c>
      <c r="M7" s="76">
        <v>2.5</v>
      </c>
      <c r="N7" s="76">
        <v>5</v>
      </c>
      <c r="O7" s="78">
        <v>1.9</v>
      </c>
      <c r="P7" s="78">
        <v>73.5</v>
      </c>
      <c r="Q7" s="79">
        <v>90.7</v>
      </c>
      <c r="R7" s="79">
        <v>2.7</v>
      </c>
      <c r="S7" s="73">
        <v>4.7</v>
      </c>
      <c r="T7" s="80">
        <v>1</v>
      </c>
      <c r="U7" s="81">
        <f>ROUND(MIN(20,MAX(0,K7/0.45*20))+MIN(15,MAX(0,(I7-5)/7*15))+MIN(15,MAX(0,N7/6*15))+MIN(15,MAX(0,G7/80*15))+MIN(15,MAX(0,F7/120*15))+MIN(10,MAX(0,(J7-6)/5*10))+MIN(10,MAX(0,Q7/90*10)),1)</f>
        <v>62.2</v>
      </c>
      <c r="V7" s="86">
        <f>ROUND(MIN(25,MAX(0,L7/10*25))+MIN(25,MAX(0,(1-M7/5)*25))+MIN(20,MAX(0,P7/78*20))+MIN(15,MAX(0,(J7-6)/5*15))+MIN(10,MAX(0,(MAX(0,2.5-O7)/2.5)*10))+IF(ISNUMBER(X7),MAX(0,5-((INT(X7)-1)*32+ROUND(MOD(X7,1)*100,0))*0.02),IF(LOWER(X7)="UDFA",0.5,3)),1)</f>
        <v>55.4</v>
      </c>
      <c r="W7" s="93">
        <v>24</v>
      </c>
      <c r="X7" s="88" t="s">
        <v>95</v>
      </c>
      <c r="Y7" s="445" t="s">
        <v>106</v>
      </c>
      <c r="Z7" s="452">
        <f>MAX(0,IFERROR(VLOOKUP(Y7,$AC$2:$AD$34,2,FALSE()),0))</f>
        <v>0.43</v>
      </c>
      <c r="AA7" s="453">
        <f>IF(AND(LOWER(X7)="udfa",OR(Y7="N/A",Y7="")),-999,INT(MIN(96.9,(IF((IF(ISNUMBER(X7),12*EXP(-0.0179*((INT(X7)-1)*32+ROUND(MOD(X7,1)*100,0)-1)),IF(LOWER(X7)="UDFA",0.3,0))+IF(C7&gt;=76,8,IF(C7&gt;=74,6,IF(C7&gt;=73,3,IF(C7&gt;=72,0,IF(C7&gt;=71,-4,-8)))))+(MIN(25.5,MAX(0,K7/0.45*25.5))+MIN(17,MAX(0,I7/9.5*17))+MIN(12,MAX(0,N7/6*12))+MIN(11.5,MIN(10,MAX(0,G7/70*10))+MIN(3.75,MAX(0,H7/0.8*3.75)))+MIN(10.25,MAX(0,J7/8*10.25))+MIN(7.5,MAX(0,L7/7*7.5))+MIN(7.5,MAX(0,Q7/90*7.5))+MIN(6.25,MAX(0,P7/78*6.25))-MIN(8,MAX(0,(MAX(0,O7-2)/2)*8))-MIN(8,MAX(0,IF(M7&lt;=1.5,0,IF(M7&lt;=2.5,(M7-1.5)*4,4+(M7-2.5)*8))))-MIN(5,MAX(0,(MAX(0,S7-5)/3)*5))-MIN(3,MAX(0,(MAX(0,R7-2.9)/0.5)*3)))*T7-MAX(0,(W7-22)*3.5))&gt;60,60+SQRT((IF(ISNUMBER(X7),12*EXP(-0.0179*((INT(X7)-1)*32+ROUND(MOD(X7,1)*100,0)-1)),IF(LOWER(X7)="UDFA",0.3,0))+IF(C7&gt;=76,8,IF(C7&gt;=74,6,IF(C7&gt;=73,3,IF(C7&gt;=72,0,IF(C7&gt;=71,-4,-8)))))+(MIN(25.5,MAX(0,K7/0.45*25.5))+MIN(17,MAX(0,I7/9.5*17))+MIN(12,MAX(0,N7/6*12))+MIN(11.5,MIN(10,MAX(0,G7/70*10))+MIN(3.75,MAX(0,H7/0.8*3.75)))+MIN(10.25,MAX(0,J7/8*10.25))+MIN(7.5,MAX(0,L7/7*7.5))+MIN(7.5,MAX(0,Q7/90*7.5))+MIN(6.25,MAX(0,P7/78*6.25))-MIN(8,MAX(0,(MAX(0,O7-2)/2)*8))-MIN(8,MAX(0,IF(M7&lt;=1.5,0,IF(M7&lt;=2.5,(M7-1.5)*4,4+(M7-2.5)*8))))-MIN(5,MAX(0,(MAX(0,S7-5)/3)*5))-MIN(3,MAX(0,(MAX(0,R7-2.9)/0.5)*3)))*T7-MAX(0,(W7-22)*3.5))-60)*5,(IF(ISNUMBER(X7),12*EXP(-0.0179*((INT(X7)-1)*32+ROUND(MOD(X7,1)*100,0)-1)),IF(LOWER(X7)="UDFA",0.3,0))+IF(C7&gt;=76,8,IF(C7&gt;=74,6,IF(C7&gt;=73,3,IF(C7&gt;=72,0,IF(C7&gt;=71,-4,-8)))))+(MIN(25.5,MAX(0,K7/0.45*25.5))+MIN(17,MAX(0,I7/9.5*17))+MIN(12,MAX(0,N7/6*12))+MIN(11.5,MIN(10,MAX(0,G7/70*10))+MIN(3.75,MAX(0,H7/0.8*3.75)))+MIN(10.25,MAX(0,J7/8*10.25))+MIN(7.5,MAX(0,L7/7*7.5))+MIN(7.5,MAX(0,Q7/90*7.5))+MIN(6.25,MAX(0,P7/78*6.25))-MIN(8,MAX(0,(MAX(0,O7-2)/2)*8))-MIN(8,MAX(0,IF(M7&lt;=1.5,0,IF(M7&lt;=2.5,(M7-1.5)*4,4+(M7-2.5)*8))))-MIN(5,MAX(0,(MAX(0,S7-5)/3)*5))-MIN(3,MAX(0,(MAX(0,R7-2.9)/0.5)*3)))*T7-MAX(0,(W7-22)*3.5))))*0.98)+Z7))</f>
        <v>77</v>
      </c>
      <c r="AB7" s="454" t="str">
        <f>IF(AA7=-999,"",IF(AA7&gt;=92,"Franchise QB",IF(AA7&gt;=88,"High-end Starter",IF(AA7&gt;=84,"Developmental Starter",IF(AA7&gt;=71,"Backup / Camp QB",IF(AA7&gt;=58,"Deep Stash","Cut"))))))</f>
        <v>Backup / Camp QB</v>
      </c>
      <c r="AC7" s="67" t="s">
        <v>104</v>
      </c>
      <c r="AD7" s="67">
        <v>1.52</v>
      </c>
    </row>
    <row r="8" spans="1:30" s="68" customFormat="1" ht="18.75" customHeight="1" x14ac:dyDescent="0.3">
      <c r="A8" s="52"/>
      <c r="B8" s="70" t="s">
        <v>102</v>
      </c>
      <c r="C8" s="71">
        <v>77</v>
      </c>
      <c r="D8" s="72">
        <v>228</v>
      </c>
      <c r="E8" s="73">
        <v>4.75</v>
      </c>
      <c r="F8" s="74">
        <f>ROUND((D8*200)/(E8^4)*(C8/75),2)</f>
        <v>91.96</v>
      </c>
      <c r="G8" s="75">
        <v>28.55</v>
      </c>
      <c r="H8" s="76">
        <v>0.32</v>
      </c>
      <c r="I8" s="71">
        <v>7.88</v>
      </c>
      <c r="J8" s="71">
        <v>6.86</v>
      </c>
      <c r="K8" s="71">
        <v>0.189</v>
      </c>
      <c r="L8" s="77">
        <v>5.79</v>
      </c>
      <c r="M8" s="76">
        <v>1.99</v>
      </c>
      <c r="N8" s="76">
        <v>4.3499999999999996</v>
      </c>
      <c r="O8" s="78">
        <v>2.2440000000000002</v>
      </c>
      <c r="P8" s="78">
        <v>72.915000000000006</v>
      </c>
      <c r="Q8" s="71">
        <v>75.350999999999999</v>
      </c>
      <c r="R8" s="71">
        <v>2.8780000000000001</v>
      </c>
      <c r="S8" s="73">
        <v>4.1959999999999997</v>
      </c>
      <c r="T8" s="80">
        <v>1</v>
      </c>
      <c r="U8" s="81">
        <f>ROUND(MIN(20,MAX(0,K8/0.45*20))+MIN(15,MAX(0,(I8-5)/7*15))+MIN(15,MAX(0,N8/6*15))+MIN(15,MAX(0,G8/80*15))+MIN(15,MAX(0,F8/120*15))+MIN(10,MAX(0,(J8-6)/5*10))+MIN(10,MAX(0,Q8/90*10)),1)</f>
        <v>52.4</v>
      </c>
      <c r="V8" s="82">
        <f>ROUND(MIN(25,MAX(0,L8/10*25))+MIN(25,MAX(0,(1-M8/5)*25))+MIN(20,MAX(0,P8/78*20))+MIN(15,MAX(0,(J8-6)/5*15))+MIN(10,MAX(0,(MAX(0,2.5-O8)/2.5)*10))+IF(ISNUMBER(X8),MAX(0,5-((INT(X8)-1)*32+ROUND(MOD(X8,1)*100,0))*0.02),IF(LOWER(X8)="UDFA",0.5,3)),1)</f>
        <v>55.3</v>
      </c>
      <c r="W8" s="83">
        <v>23</v>
      </c>
      <c r="X8" s="84">
        <v>3.12</v>
      </c>
      <c r="Y8" s="444" t="s">
        <v>103</v>
      </c>
      <c r="Z8" s="451">
        <f>MAX(0,IFERROR(VLOOKUP(Y8,$AC$2:$AD$34,2,FALSE()),0))</f>
        <v>1.21</v>
      </c>
      <c r="AA8" s="455">
        <f>IF(AND(LOWER(X8)="udfa",OR(Y8="N/A",Y8="")),-999,INT(MIN(96.9,(IF((IF(ISNUMBER(X8),12*EXP(-0.0179*((INT(X8)-1)*32+ROUND(MOD(X8,1)*100,0)-1)),IF(LOWER(X8)="UDFA",0.3,0))+IF(C8&gt;=76,8,IF(C8&gt;=74,6,IF(C8&gt;=73,3,IF(C8&gt;=72,0,IF(C8&gt;=71,-4,-8)))))+(MIN(25.5,MAX(0,K8/0.45*25.5))+MIN(17,MAX(0,I8/9.5*17))+MIN(12,MAX(0,N8/6*12))+MIN(11.5,MIN(10,MAX(0,G8/70*10))+MIN(3.75,MAX(0,H8/0.8*3.75)))+MIN(10.25,MAX(0,J8/8*10.25))+MIN(7.5,MAX(0,L8/7*7.5))+MIN(7.5,MAX(0,Q8/90*7.5))+MIN(6.25,MAX(0,P8/78*6.25))-MIN(8,MAX(0,(MAX(0,O8-2)/2)*8))-MIN(8,MAX(0,IF(M8&lt;=1.5,0,IF(M8&lt;=2.5,(M8-1.5)*4,4+(M8-2.5)*8))))-MIN(5,MAX(0,(MAX(0,S8-5)/3)*5))-MIN(3,MAX(0,(MAX(0,R8-2.9)/0.5)*3)))*T8-MAX(0,(W8-22)*3.5))&gt;60,60+SQRT((IF(ISNUMBER(X8),12*EXP(-0.0179*((INT(X8)-1)*32+ROUND(MOD(X8,1)*100,0)-1)),IF(LOWER(X8)="UDFA",0.3,0))+IF(C8&gt;=76,8,IF(C8&gt;=74,6,IF(C8&gt;=73,3,IF(C8&gt;=72,0,IF(C8&gt;=71,-4,-8)))))+(MIN(25.5,MAX(0,K8/0.45*25.5))+MIN(17,MAX(0,I8/9.5*17))+MIN(12,MAX(0,N8/6*12))+MIN(11.5,MIN(10,MAX(0,G8/70*10))+MIN(3.75,MAX(0,H8/0.8*3.75)))+MIN(10.25,MAX(0,J8/8*10.25))+MIN(7.5,MAX(0,L8/7*7.5))+MIN(7.5,MAX(0,Q8/90*7.5))+MIN(6.25,MAX(0,P8/78*6.25))-MIN(8,MAX(0,(MAX(0,O8-2)/2)*8))-MIN(8,MAX(0,IF(M8&lt;=1.5,0,IF(M8&lt;=2.5,(M8-1.5)*4,4+(M8-2.5)*8))))-MIN(5,MAX(0,(MAX(0,S8-5)/3)*5))-MIN(3,MAX(0,(MAX(0,R8-2.9)/0.5)*3)))*T8-MAX(0,(W8-22)*3.5))-60)*5,(IF(ISNUMBER(X8),12*EXP(-0.0179*((INT(X8)-1)*32+ROUND(MOD(X8,1)*100,0)-1)),IF(LOWER(X8)="UDFA",0.3,0))+IF(C8&gt;=76,8,IF(C8&gt;=74,6,IF(C8&gt;=73,3,IF(C8&gt;=72,0,IF(C8&gt;=71,-4,-8)))))+(MIN(25.5,MAX(0,K8/0.45*25.5))+MIN(17,MAX(0,I8/9.5*17))+MIN(12,MAX(0,N8/6*12))+MIN(11.5,MIN(10,MAX(0,G8/70*10))+MIN(3.75,MAX(0,H8/0.8*3.75)))+MIN(10.25,MAX(0,J8/8*10.25))+MIN(7.5,MAX(0,L8/7*7.5))+MIN(7.5,MAX(0,Q8/90*7.5))+MIN(6.25,MAX(0,P8/78*6.25))-MIN(8,MAX(0,(MAX(0,O8-2)/2)*8))-MIN(8,MAX(0,IF(M8&lt;=1.5,0,IF(M8&lt;=2.5,(M8-1.5)*4,4+(M8-2.5)*8))))-MIN(5,MAX(0,(MAX(0,S8-5)/3)*5))-MIN(3,MAX(0,(MAX(0,R8-2.9)/0.5)*3)))*T8-MAX(0,(W8-22)*3.5))))*0.98)+Z8))</f>
        <v>76</v>
      </c>
      <c r="AB8" s="454" t="str">
        <f>IF(AA8=-999,"",IF(AA8&gt;=92,"Franchise QB",IF(AA8&gt;=88,"High-end Starter",IF(AA8&gt;=84,"Developmental Starter",IF(AA8&gt;=71,"Backup / Camp QB",IF(AA8&gt;=58,"Deep Stash","Cut"))))))</f>
        <v>Backup / Camp QB</v>
      </c>
      <c r="AC8" s="67" t="s">
        <v>107</v>
      </c>
      <c r="AD8" s="67">
        <v>1.36</v>
      </c>
    </row>
    <row r="9" spans="1:30" s="68" customFormat="1" ht="19.5" customHeight="1" x14ac:dyDescent="0.3">
      <c r="A9" s="91"/>
      <c r="B9" s="70" t="s">
        <v>108</v>
      </c>
      <c r="C9" s="71">
        <v>77</v>
      </c>
      <c r="D9" s="72">
        <v>233</v>
      </c>
      <c r="E9" s="73">
        <v>4.8499999999999996</v>
      </c>
      <c r="F9" s="74">
        <f>ROUND((D9*200)/(E9^4)*(C9/75),2)</f>
        <v>86.47</v>
      </c>
      <c r="G9" s="75">
        <v>12.24</v>
      </c>
      <c r="H9" s="76">
        <v>0.1</v>
      </c>
      <c r="I9" s="71">
        <v>7.73</v>
      </c>
      <c r="J9" s="71">
        <v>7.14</v>
      </c>
      <c r="K9" s="71">
        <v>0.374</v>
      </c>
      <c r="L9" s="77">
        <v>6.32</v>
      </c>
      <c r="M9" s="76">
        <v>2.61</v>
      </c>
      <c r="N9" s="76">
        <v>4.0270000000000001</v>
      </c>
      <c r="O9" s="78">
        <v>2.976</v>
      </c>
      <c r="P9" s="78">
        <v>77.11</v>
      </c>
      <c r="Q9" s="71">
        <v>77.83</v>
      </c>
      <c r="R9" s="71">
        <v>2.4580000000000002</v>
      </c>
      <c r="S9" s="73">
        <v>3.2909999999999999</v>
      </c>
      <c r="T9" s="80">
        <v>1</v>
      </c>
      <c r="U9" s="81">
        <f>ROUND(MIN(20,MAX(0,K9/0.45*20))+MIN(15,MAX(0,(I9-5)/7*15))+MIN(15,MAX(0,N9/6*15))+MIN(15,MAX(0,G9/80*15))+MIN(15,MAX(0,F9/120*15))+MIN(10,MAX(0,(J9-6)/5*10))+MIN(10,MAX(0,Q9/90*10)),1)</f>
        <v>56.6</v>
      </c>
      <c r="V9" s="82">
        <f>ROUND(MIN(25,MAX(0,L9/10*25))+MIN(25,MAX(0,(1-M9/5)*25))+MIN(20,MAX(0,P9/78*20))+MIN(15,MAX(0,(J9-6)/5*15))+MIN(10,MAX(0,(MAX(0,2.5-O9)/2.5)*10))+IF(ISNUMBER(X9),MAX(0,5-((INT(X9)-1)*32+ROUND(MOD(X9,1)*100,0))*0.02),IF(LOWER(X9)="UDFA",0.5,3)),1)</f>
        <v>54.6</v>
      </c>
      <c r="W9" s="83">
        <v>24</v>
      </c>
      <c r="X9" s="84">
        <v>3.01</v>
      </c>
      <c r="Y9" s="444" t="s">
        <v>90</v>
      </c>
      <c r="Z9" s="452">
        <f>MAX(0,IFERROR(VLOOKUP(Y9,$AC$2:$AD$34,2,FALSE()),0))</f>
        <v>1.46</v>
      </c>
      <c r="AA9" s="455">
        <f>IF(AND(LOWER(X9)="udfa",OR(Y9="N/A",Y9="")),-999,INT(MIN(96.9,(IF((IF(ISNUMBER(X9),12*EXP(-0.0179*((INT(X9)-1)*32+ROUND(MOD(X9,1)*100,0)-1)),IF(LOWER(X9)="UDFA",0.3,0))+IF(C9&gt;=76,8,IF(C9&gt;=74,6,IF(C9&gt;=73,3,IF(C9&gt;=72,0,IF(C9&gt;=71,-4,-8)))))+(MIN(25.5,MAX(0,K9/0.45*25.5))+MIN(17,MAX(0,I9/9.5*17))+MIN(12,MAX(0,N9/6*12))+MIN(11.5,MIN(10,MAX(0,G9/70*10))+MIN(3.75,MAX(0,H9/0.8*3.75)))+MIN(10.25,MAX(0,J9/8*10.25))+MIN(7.5,MAX(0,L9/7*7.5))+MIN(7.5,MAX(0,Q9/90*7.5))+MIN(6.25,MAX(0,P9/78*6.25))-MIN(8,MAX(0,(MAX(0,O9-2)/2)*8))-MIN(8,MAX(0,IF(M9&lt;=1.5,0,IF(M9&lt;=2.5,(M9-1.5)*4,4+(M9-2.5)*8))))-MIN(5,MAX(0,(MAX(0,S9-5)/3)*5))-MIN(3,MAX(0,(MAX(0,R9-2.9)/0.5)*3)))*T9-MAX(0,(W9-22)*3.5))&gt;60,60+SQRT((IF(ISNUMBER(X9),12*EXP(-0.0179*((INT(X9)-1)*32+ROUND(MOD(X9,1)*100,0)-1)),IF(LOWER(X9)="UDFA",0.3,0))+IF(C9&gt;=76,8,IF(C9&gt;=74,6,IF(C9&gt;=73,3,IF(C9&gt;=72,0,IF(C9&gt;=71,-4,-8)))))+(MIN(25.5,MAX(0,K9/0.45*25.5))+MIN(17,MAX(0,I9/9.5*17))+MIN(12,MAX(0,N9/6*12))+MIN(11.5,MIN(10,MAX(0,G9/70*10))+MIN(3.75,MAX(0,H9/0.8*3.75)))+MIN(10.25,MAX(0,J9/8*10.25))+MIN(7.5,MAX(0,L9/7*7.5))+MIN(7.5,MAX(0,Q9/90*7.5))+MIN(6.25,MAX(0,P9/78*6.25))-MIN(8,MAX(0,(MAX(0,O9-2)/2)*8))-MIN(8,MAX(0,IF(M9&lt;=1.5,0,IF(M9&lt;=2.5,(M9-1.5)*4,4+(M9-2.5)*8))))-MIN(5,MAX(0,(MAX(0,S9-5)/3)*5))-MIN(3,MAX(0,(MAX(0,R9-2.9)/0.5)*3)))*T9-MAX(0,(W9-22)*3.5))-60)*5,(IF(ISNUMBER(X9),12*EXP(-0.0179*((INT(X9)-1)*32+ROUND(MOD(X9,1)*100,0)-1)),IF(LOWER(X9)="UDFA",0.3,0))+IF(C9&gt;=76,8,IF(C9&gt;=74,6,IF(C9&gt;=73,3,IF(C9&gt;=72,0,IF(C9&gt;=71,-4,-8)))))+(MIN(25.5,MAX(0,K9/0.45*25.5))+MIN(17,MAX(0,I9/9.5*17))+MIN(12,MAX(0,N9/6*12))+MIN(11.5,MIN(10,MAX(0,G9/70*10))+MIN(3.75,MAX(0,H9/0.8*3.75)))+MIN(10.25,MAX(0,J9/8*10.25))+MIN(7.5,MAX(0,L9/7*7.5))+MIN(7.5,MAX(0,Q9/90*7.5))+MIN(6.25,MAX(0,P9/78*6.25))-MIN(8,MAX(0,(MAX(0,O9-2)/2)*8))-MIN(8,MAX(0,IF(M9&lt;=1.5,0,IF(M9&lt;=2.5,(M9-1.5)*4,4+(M9-2.5)*8))))-MIN(5,MAX(0,(MAX(0,S9-5)/3)*5))-MIN(3,MAX(0,(MAX(0,R9-2.9)/0.5)*3)))*T9-MAX(0,(W9-22)*3.5))))*0.98)+Z9))</f>
        <v>75</v>
      </c>
      <c r="AB9" s="454" t="str">
        <f>IF(AA9=-999,"",IF(AA9&gt;=92,"Franchise QB",IF(AA9&gt;=88,"High-end Starter",IF(AA9&gt;=84,"Developmental Starter",IF(AA9&gt;=71,"Backup / Camp QB",IF(AA9&gt;=58,"Deep Stash","Cut"))))))</f>
        <v>Backup / Camp QB</v>
      </c>
      <c r="AC9" s="67" t="s">
        <v>109</v>
      </c>
      <c r="AD9" s="67">
        <v>0.26</v>
      </c>
    </row>
    <row r="10" spans="1:30" s="68" customFormat="1" ht="27" customHeight="1" x14ac:dyDescent="0.3">
      <c r="A10" s="91"/>
      <c r="B10" s="70" t="s">
        <v>110</v>
      </c>
      <c r="C10" s="71">
        <v>74</v>
      </c>
      <c r="D10" s="72">
        <v>210</v>
      </c>
      <c r="E10" s="73">
        <v>4.72</v>
      </c>
      <c r="F10" s="74">
        <f>ROUND((D10*200)/(E10^4)*(C10/75),2)</f>
        <v>83.49</v>
      </c>
      <c r="G10" s="75">
        <v>34.69</v>
      </c>
      <c r="H10" s="76">
        <v>0.35</v>
      </c>
      <c r="I10" s="71">
        <v>7.87</v>
      </c>
      <c r="J10" s="71">
        <v>6.87</v>
      </c>
      <c r="K10" s="71">
        <v>0.38700000000000001</v>
      </c>
      <c r="L10" s="77">
        <v>6.15</v>
      </c>
      <c r="M10" s="76">
        <v>1.54</v>
      </c>
      <c r="N10" s="76">
        <v>4.1870000000000003</v>
      </c>
      <c r="O10" s="78">
        <v>3.149</v>
      </c>
      <c r="P10" s="78">
        <v>73.260999999999996</v>
      </c>
      <c r="Q10" s="71">
        <v>74.447000000000003</v>
      </c>
      <c r="R10" s="71">
        <v>2.8839999999999999</v>
      </c>
      <c r="S10" s="73">
        <v>7.351</v>
      </c>
      <c r="T10" s="80">
        <v>1</v>
      </c>
      <c r="U10" s="81">
        <f>ROUND(MIN(20,MAX(0,K10/0.45*20))+MIN(15,MAX(0,(I10-5)/7*15))+MIN(15,MAX(0,N10/6*15))+MIN(15,MAX(0,G10/80*15))+MIN(15,MAX(0,F10/120*15))+MIN(10,MAX(0,(J10-6)/5*10))+MIN(10,MAX(0,Q10/90*10)),1)</f>
        <v>60.8</v>
      </c>
      <c r="V10" s="86">
        <f>ROUND(MIN(25,MAX(0,L10/10*25))+MIN(25,MAX(0,(1-M10/5)*25))+MIN(20,MAX(0,P10/78*20))+MIN(15,MAX(0,(J10-6)/5*15))+MIN(10,MAX(0,(MAX(0,2.5-O10)/2.5)*10))+IF(ISNUMBER(X10),MAX(0,5-((INT(X10)-1)*32+ROUND(MOD(X10,1)*100,0))*0.02),IF(LOWER(X10)="UDFA",0.5,3)),1)</f>
        <v>54.6</v>
      </c>
      <c r="W10" s="87">
        <v>24</v>
      </c>
      <c r="X10" s="88" t="s">
        <v>95</v>
      </c>
      <c r="Y10" s="446" t="s">
        <v>111</v>
      </c>
      <c r="Z10" s="452">
        <f>MAX(0,IFERROR(VLOOKUP(Y10,$AC$2:$AD$34,2,FALSE()),0))</f>
        <v>1.59</v>
      </c>
      <c r="AA10" s="453">
        <f>IF(AND(LOWER(X10)="udfa",OR(Y10="N/A",Y10="")),-999,INT(MIN(96.9,(IF((IF(ISNUMBER(X10),12*EXP(-0.0179*((INT(X10)-1)*32+ROUND(MOD(X10,1)*100,0)-1)),IF(LOWER(X10)="UDFA",0.3,0))+IF(C10&gt;=76,8,IF(C10&gt;=74,6,IF(C10&gt;=73,3,IF(C10&gt;=72,0,IF(C10&gt;=71,-4,-8)))))+(MIN(25.5,MAX(0,K10/0.45*25.5))+MIN(17,MAX(0,I10/9.5*17))+MIN(12,MAX(0,N10/6*12))+MIN(11.5,MIN(10,MAX(0,G10/70*10))+MIN(3.75,MAX(0,H10/0.8*3.75)))+MIN(10.25,MAX(0,J10/8*10.25))+MIN(7.5,MAX(0,L10/7*7.5))+MIN(7.5,MAX(0,Q10/90*7.5))+MIN(6.25,MAX(0,P10/78*6.25))-MIN(8,MAX(0,(MAX(0,O10-2)/2)*8))-MIN(8,MAX(0,IF(M10&lt;=1.5,0,IF(M10&lt;=2.5,(M10-1.5)*4,4+(M10-2.5)*8))))-MIN(5,MAX(0,(MAX(0,S10-5)/3)*5))-MIN(3,MAX(0,(MAX(0,R10-2.9)/0.5)*3)))*T10-MAX(0,(W10-22)*3.5))&gt;60,60+SQRT((IF(ISNUMBER(X10),12*EXP(-0.0179*((INT(X10)-1)*32+ROUND(MOD(X10,1)*100,0)-1)),IF(LOWER(X10)="UDFA",0.3,0))+IF(C10&gt;=76,8,IF(C10&gt;=74,6,IF(C10&gt;=73,3,IF(C10&gt;=72,0,IF(C10&gt;=71,-4,-8)))))+(MIN(25.5,MAX(0,K10/0.45*25.5))+MIN(17,MAX(0,I10/9.5*17))+MIN(12,MAX(0,N10/6*12))+MIN(11.5,MIN(10,MAX(0,G10/70*10))+MIN(3.75,MAX(0,H10/0.8*3.75)))+MIN(10.25,MAX(0,J10/8*10.25))+MIN(7.5,MAX(0,L10/7*7.5))+MIN(7.5,MAX(0,Q10/90*7.5))+MIN(6.25,MAX(0,P10/78*6.25))-MIN(8,MAX(0,(MAX(0,O10-2)/2)*8))-MIN(8,MAX(0,IF(M10&lt;=1.5,0,IF(M10&lt;=2.5,(M10-1.5)*4,4+(M10-2.5)*8))))-MIN(5,MAX(0,(MAX(0,S10-5)/3)*5))-MIN(3,MAX(0,(MAX(0,R10-2.9)/0.5)*3)))*T10-MAX(0,(W10-22)*3.5))-60)*5,(IF(ISNUMBER(X10),12*EXP(-0.0179*((INT(X10)-1)*32+ROUND(MOD(X10,1)*100,0)-1)),IF(LOWER(X10)="UDFA",0.3,0))+IF(C10&gt;=76,8,IF(C10&gt;=74,6,IF(C10&gt;=73,3,IF(C10&gt;=72,0,IF(C10&gt;=71,-4,-8)))))+(MIN(25.5,MAX(0,K10/0.45*25.5))+MIN(17,MAX(0,I10/9.5*17))+MIN(12,MAX(0,N10/6*12))+MIN(11.5,MIN(10,MAX(0,G10/70*10))+MIN(3.75,MAX(0,H10/0.8*3.75)))+MIN(10.25,MAX(0,J10/8*10.25))+MIN(7.5,MAX(0,L10/7*7.5))+MIN(7.5,MAX(0,Q10/90*7.5))+MIN(6.25,MAX(0,P10/78*6.25))-MIN(8,MAX(0,(MAX(0,O10-2)/2)*8))-MIN(8,MAX(0,IF(M10&lt;=1.5,0,IF(M10&lt;=2.5,(M10-1.5)*4,4+(M10-2.5)*8))))-MIN(5,MAX(0,(MAX(0,S10-5)/3)*5))-MIN(3,MAX(0,(MAX(0,R10-2.9)/0.5)*3)))*T10-MAX(0,(W10-22)*3.5))))*0.98)+Z10))</f>
        <v>75</v>
      </c>
      <c r="AB10" s="454" t="str">
        <f>IF(AA10=-999,"",IF(AA10&gt;=92,"Franchise QB",IF(AA10&gt;=88,"High-end Starter",IF(AA10&gt;=84,"Developmental Starter",IF(AA10&gt;=71,"Backup / Camp QB",IF(AA10&gt;=58,"Deep Stash","Cut"))))))</f>
        <v>Backup / Camp QB</v>
      </c>
      <c r="AC10" s="67" t="s">
        <v>112</v>
      </c>
      <c r="AD10" s="67">
        <v>2.2200000000000002</v>
      </c>
    </row>
    <row r="11" spans="1:30" s="68" customFormat="1" ht="18.75" customHeight="1" x14ac:dyDescent="0.3">
      <c r="A11" s="91"/>
      <c r="B11" s="70" t="s">
        <v>113</v>
      </c>
      <c r="C11" s="71">
        <v>74</v>
      </c>
      <c r="D11" s="72">
        <v>221</v>
      </c>
      <c r="E11" s="73">
        <v>4.88</v>
      </c>
      <c r="F11" s="74">
        <f>ROUND((D11*200)/(E11^4)*(C11/75),2)</f>
        <v>76.900000000000006</v>
      </c>
      <c r="G11" s="75">
        <v>9.6199999999999992</v>
      </c>
      <c r="H11" s="76">
        <v>0.04</v>
      </c>
      <c r="I11" s="71">
        <v>7.65</v>
      </c>
      <c r="J11" s="71">
        <v>6.97</v>
      </c>
      <c r="K11" s="71">
        <v>0.33800000000000002</v>
      </c>
      <c r="L11" s="77">
        <v>6.11</v>
      </c>
      <c r="M11" s="76">
        <v>1.75</v>
      </c>
      <c r="N11" s="76">
        <v>5.0229999999999997</v>
      </c>
      <c r="O11" s="78">
        <v>3.5129999999999999</v>
      </c>
      <c r="P11" s="78">
        <v>74.620999999999995</v>
      </c>
      <c r="Q11" s="71">
        <v>76.123999999999995</v>
      </c>
      <c r="R11" s="71">
        <v>2.665</v>
      </c>
      <c r="S11" s="73">
        <v>4.8869999999999996</v>
      </c>
      <c r="T11" s="80">
        <v>1</v>
      </c>
      <c r="U11" s="81">
        <f>ROUND(MIN(20,MAX(0,K11/0.45*20))+MIN(15,MAX(0,(I11-5)/7*15))+MIN(15,MAX(0,N11/6*15))+MIN(15,MAX(0,G11/80*15))+MIN(15,MAX(0,F11/120*15))+MIN(10,MAX(0,(J11-6)/5*10))+MIN(10,MAX(0,Q11/90*10)),1)</f>
        <v>55.1</v>
      </c>
      <c r="V11" s="82">
        <f>ROUND(MIN(25,MAX(0,L11/10*25))+MIN(25,MAX(0,(1-M11/5)*25))+MIN(20,MAX(0,P11/78*20))+MIN(15,MAX(0,(J11-6)/5*15))+MIN(10,MAX(0,(MAX(0,2.5-O11)/2.5)*10))+IF(ISNUMBER(X11),MAX(0,5-((INT(X11)-1)*32+ROUND(MOD(X11,1)*100,0))*0.02),IF(LOWER(X11)="UDFA",0.5,3)),1)</f>
        <v>54.1</v>
      </c>
      <c r="W11" s="83">
        <v>23</v>
      </c>
      <c r="X11" s="84" t="s">
        <v>95</v>
      </c>
      <c r="Y11" s="444" t="s">
        <v>114</v>
      </c>
      <c r="Z11" s="452">
        <f>MAX(0,IFERROR(VLOOKUP(Y11,$AC$2:$AD$34,2,FALSE()),0))</f>
        <v>0.71</v>
      </c>
      <c r="AA11" s="455">
        <f>IF(AND(LOWER(X11)="udfa",OR(Y11="N/A",Y11="")),-999,INT(MIN(96.9,(IF((IF(ISNUMBER(X11),12*EXP(-0.0179*((INT(X11)-1)*32+ROUND(MOD(X11,1)*100,0)-1)),IF(LOWER(X11)="UDFA",0.3,0))+IF(C11&gt;=76,8,IF(C11&gt;=74,6,IF(C11&gt;=73,3,IF(C11&gt;=72,0,IF(C11&gt;=71,-4,-8)))))+(MIN(25.5,MAX(0,K11/0.45*25.5))+MIN(17,MAX(0,I11/9.5*17))+MIN(12,MAX(0,N11/6*12))+MIN(11.5,MIN(10,MAX(0,G11/70*10))+MIN(3.75,MAX(0,H11/0.8*3.75)))+MIN(10.25,MAX(0,J11/8*10.25))+MIN(7.5,MAX(0,L11/7*7.5))+MIN(7.5,MAX(0,Q11/90*7.5))+MIN(6.25,MAX(0,P11/78*6.25))-MIN(8,MAX(0,(MAX(0,O11-2)/2)*8))-MIN(8,MAX(0,IF(M11&lt;=1.5,0,IF(M11&lt;=2.5,(M11-1.5)*4,4+(M11-2.5)*8))))-MIN(5,MAX(0,(MAX(0,S11-5)/3)*5))-MIN(3,MAX(0,(MAX(0,R11-2.9)/0.5)*3)))*T11-MAX(0,(W11-22)*3.5))&gt;60,60+SQRT((IF(ISNUMBER(X11),12*EXP(-0.0179*((INT(X11)-1)*32+ROUND(MOD(X11,1)*100,0)-1)),IF(LOWER(X11)="UDFA",0.3,0))+IF(C11&gt;=76,8,IF(C11&gt;=74,6,IF(C11&gt;=73,3,IF(C11&gt;=72,0,IF(C11&gt;=71,-4,-8)))))+(MIN(25.5,MAX(0,K11/0.45*25.5))+MIN(17,MAX(0,I11/9.5*17))+MIN(12,MAX(0,N11/6*12))+MIN(11.5,MIN(10,MAX(0,G11/70*10))+MIN(3.75,MAX(0,H11/0.8*3.75)))+MIN(10.25,MAX(0,J11/8*10.25))+MIN(7.5,MAX(0,L11/7*7.5))+MIN(7.5,MAX(0,Q11/90*7.5))+MIN(6.25,MAX(0,P11/78*6.25))-MIN(8,MAX(0,(MAX(0,O11-2)/2)*8))-MIN(8,MAX(0,IF(M11&lt;=1.5,0,IF(M11&lt;=2.5,(M11-1.5)*4,4+(M11-2.5)*8))))-MIN(5,MAX(0,(MAX(0,S11-5)/3)*5))-MIN(3,MAX(0,(MAX(0,R11-2.9)/0.5)*3)))*T11-MAX(0,(W11-22)*3.5))-60)*5,(IF(ISNUMBER(X11),12*EXP(-0.0179*((INT(X11)-1)*32+ROUND(MOD(X11,1)*100,0)-1)),IF(LOWER(X11)="UDFA",0.3,0))+IF(C11&gt;=76,8,IF(C11&gt;=74,6,IF(C11&gt;=73,3,IF(C11&gt;=72,0,IF(C11&gt;=71,-4,-8)))))+(MIN(25.5,MAX(0,K11/0.45*25.5))+MIN(17,MAX(0,I11/9.5*17))+MIN(12,MAX(0,N11/6*12))+MIN(11.5,MIN(10,MAX(0,G11/70*10))+MIN(3.75,MAX(0,H11/0.8*3.75)))+MIN(10.25,MAX(0,J11/8*10.25))+MIN(7.5,MAX(0,L11/7*7.5))+MIN(7.5,MAX(0,Q11/90*7.5))+MIN(6.25,MAX(0,P11/78*6.25))-MIN(8,MAX(0,(MAX(0,O11-2)/2)*8))-MIN(8,MAX(0,IF(M11&lt;=1.5,0,IF(M11&lt;=2.5,(M11-1.5)*4,4+(M11-2.5)*8))))-MIN(5,MAX(0,(MAX(0,S11-5)/3)*5))-MIN(3,MAX(0,(MAX(0,R11-2.9)/0.5)*3)))*T11-MAX(0,(W11-22)*3.5))))*0.98)+Z11))</f>
        <v>73</v>
      </c>
      <c r="AB11" s="454" t="str">
        <f>IF(AA11=-999,"",IF(AA11&gt;=92,"Franchise QB",IF(AA11&gt;=88,"High-end Starter",IF(AA11&gt;=84,"Developmental Starter",IF(AA11&gt;=71,"Backup / Camp QB",IF(AA11&gt;=58,"Deep Stash","Cut"))))))</f>
        <v>Backup / Camp QB</v>
      </c>
      <c r="AC11" s="67" t="s">
        <v>115</v>
      </c>
      <c r="AD11" s="67">
        <v>2.39</v>
      </c>
    </row>
    <row r="12" spans="1:30" s="68" customFormat="1" ht="18.75" customHeight="1" x14ac:dyDescent="0.3">
      <c r="A12" s="69"/>
      <c r="B12" s="70" t="s">
        <v>117</v>
      </c>
      <c r="C12" s="71">
        <v>75</v>
      </c>
      <c r="D12" s="72">
        <v>226</v>
      </c>
      <c r="E12" s="73">
        <v>4.83</v>
      </c>
      <c r="F12" s="74">
        <f>ROUND((D12*200)/(E12^4)*(C12/75),2)</f>
        <v>83.05</v>
      </c>
      <c r="G12" s="75">
        <v>14</v>
      </c>
      <c r="H12" s="76">
        <v>0.18</v>
      </c>
      <c r="I12" s="71">
        <v>9.06</v>
      </c>
      <c r="J12" s="71">
        <v>7.54</v>
      </c>
      <c r="K12" s="71">
        <v>0.46400000000000002</v>
      </c>
      <c r="L12" s="77">
        <v>7.73</v>
      </c>
      <c r="M12" s="76">
        <v>0.81</v>
      </c>
      <c r="N12" s="76">
        <v>3.2</v>
      </c>
      <c r="O12" s="78">
        <v>1.7</v>
      </c>
      <c r="P12" s="78">
        <v>75.89</v>
      </c>
      <c r="Q12" s="79">
        <v>77.623999999999995</v>
      </c>
      <c r="R12" s="79">
        <v>2.5</v>
      </c>
      <c r="S12" s="73">
        <v>3.2370000000000001</v>
      </c>
      <c r="T12" s="80">
        <v>0.85</v>
      </c>
      <c r="U12" s="81">
        <f>ROUND(MIN(20,MAX(0,K12/0.45*20))+MIN(15,MAX(0,(I12-5)/7*15))+MIN(15,MAX(0,N12/6*15))+MIN(15,MAX(0,G12/80*15))+MIN(15,MAX(0,F12/120*15))+MIN(10,MAX(0,(J12-6)/5*10))+MIN(10,MAX(0,Q12/90*10)),1)</f>
        <v>61.4</v>
      </c>
      <c r="V12" s="86">
        <f>ROUND(MIN(25,MAX(0,L12/10*25))+MIN(25,MAX(0,(1-M12/5)*25))+MIN(20,MAX(0,P12/78*20))+MIN(15,MAX(0,(J12-6)/5*15))+MIN(10,MAX(0,(MAX(0,2.5-O12)/2.5)*10))+IF(ISNUMBER(X12),MAX(0,5-((INT(X12)-1)*32+ROUND(MOD(X12,1)*100,0))*0.02),IF(LOWER(X12)="UDFA",0.5,3)),1)</f>
        <v>68.099999999999994</v>
      </c>
      <c r="W12" s="87">
        <v>25</v>
      </c>
      <c r="X12" s="88" t="s">
        <v>95</v>
      </c>
      <c r="Y12" s="446" t="s">
        <v>97</v>
      </c>
      <c r="Z12" s="452">
        <f>MAX(0,IFERROR(VLOOKUP(Y12,$AC$2:$AD$34,2,FALSE()),0))</f>
        <v>0.97</v>
      </c>
      <c r="AA12" s="453">
        <f>IF(AND(LOWER(X12)="udfa",OR(Y12="N/A",Y12="")),-999,INT(MIN(96.9,(IF((IF(ISNUMBER(X12),12*EXP(-0.0179*((INT(X12)-1)*32+ROUND(MOD(X12,1)*100,0)-1)),IF(LOWER(X12)="UDFA",0.3,0))+IF(C12&gt;=76,8,IF(C12&gt;=74,6,IF(C12&gt;=73,3,IF(C12&gt;=72,0,IF(C12&gt;=71,-4,-8)))))+(MIN(25.5,MAX(0,K12/0.45*25.5))+MIN(17,MAX(0,I12/9.5*17))+MIN(12,MAX(0,N12/6*12))+MIN(11.5,MIN(10,MAX(0,G12/70*10))+MIN(3.75,MAX(0,H12/0.8*3.75)))+MIN(10.25,MAX(0,J12/8*10.25))+MIN(7.5,MAX(0,L12/7*7.5))+MIN(7.5,MAX(0,Q12/90*7.5))+MIN(6.25,MAX(0,P12/78*6.25))-MIN(8,MAX(0,(MAX(0,O12-2)/2)*8))-MIN(8,MAX(0,IF(M12&lt;=1.5,0,IF(M12&lt;=2.5,(M12-1.5)*4,4+(M12-2.5)*8))))-MIN(5,MAX(0,(MAX(0,S12-5)/3)*5))-MIN(3,MAX(0,(MAX(0,R12-2.9)/0.5)*3)))*T12-MAX(0,(W12-22)*3.5))&gt;60,60+SQRT((IF(ISNUMBER(X12),12*EXP(-0.0179*((INT(X12)-1)*32+ROUND(MOD(X12,1)*100,0)-1)),IF(LOWER(X12)="UDFA",0.3,0))+IF(C12&gt;=76,8,IF(C12&gt;=74,6,IF(C12&gt;=73,3,IF(C12&gt;=72,0,IF(C12&gt;=71,-4,-8)))))+(MIN(25.5,MAX(0,K12/0.45*25.5))+MIN(17,MAX(0,I12/9.5*17))+MIN(12,MAX(0,N12/6*12))+MIN(11.5,MIN(10,MAX(0,G12/70*10))+MIN(3.75,MAX(0,H12/0.8*3.75)))+MIN(10.25,MAX(0,J12/8*10.25))+MIN(7.5,MAX(0,L12/7*7.5))+MIN(7.5,MAX(0,Q12/90*7.5))+MIN(6.25,MAX(0,P12/78*6.25))-MIN(8,MAX(0,(MAX(0,O12-2)/2)*8))-MIN(8,MAX(0,IF(M12&lt;=1.5,0,IF(M12&lt;=2.5,(M12-1.5)*4,4+(M12-2.5)*8))))-MIN(5,MAX(0,(MAX(0,S12-5)/3)*5))-MIN(3,MAX(0,(MAX(0,R12-2.9)/0.5)*3)))*T12-MAX(0,(W12-22)*3.5))-60)*5,(IF(ISNUMBER(X12),12*EXP(-0.0179*((INT(X12)-1)*32+ROUND(MOD(X12,1)*100,0)-1)),IF(LOWER(X12)="UDFA",0.3,0))+IF(C12&gt;=76,8,IF(C12&gt;=74,6,IF(C12&gt;=73,3,IF(C12&gt;=72,0,IF(C12&gt;=71,-4,-8)))))+(MIN(25.5,MAX(0,K12/0.45*25.5))+MIN(17,MAX(0,I12/9.5*17))+MIN(12,MAX(0,N12/6*12))+MIN(11.5,MIN(10,MAX(0,G12/70*10))+MIN(3.75,MAX(0,H12/0.8*3.75)))+MIN(10.25,MAX(0,J12/8*10.25))+MIN(7.5,MAX(0,L12/7*7.5))+MIN(7.5,MAX(0,Q12/90*7.5))+MIN(6.25,MAX(0,P12/78*6.25))-MIN(8,MAX(0,(MAX(0,O12-2)/2)*8))-MIN(8,MAX(0,IF(M12&lt;=1.5,0,IF(M12&lt;=2.5,(M12-1.5)*4,4+(M12-2.5)*8))))-MIN(5,MAX(0,(MAX(0,S12-5)/3)*5))-MIN(3,MAX(0,(MAX(0,R12-2.9)/0.5)*3)))*T12-MAX(0,(W12-22)*3.5))))*0.98)+Z12))</f>
        <v>70</v>
      </c>
      <c r="AB12" s="454" t="str">
        <f>IF(AA12=-999,"",IF(AA12&gt;=92,"Franchise QB",IF(AA12&gt;=88,"High-end Starter",IF(AA12&gt;=84,"Developmental Starter",IF(AA12&gt;=71,"Backup / Camp QB",IF(AA12&gt;=58,"Deep Stash","Cut"))))))</f>
        <v>Deep Stash</v>
      </c>
      <c r="AC12" s="67" t="s">
        <v>111</v>
      </c>
      <c r="AD12" s="67">
        <v>1.59</v>
      </c>
    </row>
    <row r="13" spans="1:30" s="68" customFormat="1" ht="18.75" customHeight="1" x14ac:dyDescent="0.3">
      <c r="A13" s="52"/>
      <c r="B13" s="70" t="s">
        <v>116</v>
      </c>
      <c r="C13" s="71">
        <v>77.875</v>
      </c>
      <c r="D13" s="72">
        <v>227</v>
      </c>
      <c r="E13" s="73">
        <v>4.3600000000000003</v>
      </c>
      <c r="F13" s="74">
        <f>ROUND((D13*200)/(E13^4)*(C13/75),2)</f>
        <v>130.44999999999999</v>
      </c>
      <c r="G13" s="75">
        <v>72.680000000000007</v>
      </c>
      <c r="H13" s="76">
        <v>0.64</v>
      </c>
      <c r="I13" s="71">
        <v>7.29</v>
      </c>
      <c r="J13" s="71">
        <v>6.88</v>
      </c>
      <c r="K13" s="71">
        <v>0.33200000000000002</v>
      </c>
      <c r="L13" s="77">
        <v>4.76</v>
      </c>
      <c r="M13" s="76">
        <v>2.8</v>
      </c>
      <c r="N13" s="76">
        <v>4.4379999999999997</v>
      </c>
      <c r="O13" s="78">
        <v>4.3849999999999998</v>
      </c>
      <c r="P13" s="78">
        <v>70.649000000000001</v>
      </c>
      <c r="Q13" s="79">
        <v>72.918999999999997</v>
      </c>
      <c r="R13" s="79">
        <v>3.1949999999999998</v>
      </c>
      <c r="S13" s="73">
        <v>6.9539999999999997</v>
      </c>
      <c r="T13" s="80">
        <v>1</v>
      </c>
      <c r="U13" s="81">
        <f>ROUND(MIN(20,MAX(0,K13/0.45*20))+MIN(15,MAX(0,(I13-5)/7*15))+MIN(15,MAX(0,N13/6*15))+MIN(15,MAX(0,G13/80*15))+MIN(15,MAX(0,F13/120*15))+MIN(10,MAX(0,(J13-6)/5*10))+MIN(10,MAX(0,Q13/90*10)),1)</f>
        <v>69.2</v>
      </c>
      <c r="V13" s="82">
        <f>ROUND(MIN(25,MAX(0,L13/10*25))+MIN(25,MAX(0,(1-M13/5)*25))+MIN(20,MAX(0,P13/78*20))+MIN(15,MAX(0,(J13-6)/5*15))+MIN(10,MAX(0,(MAX(0,2.5-O13)/2.5)*10))+IF(ISNUMBER(X13),MAX(0,5-((INT(X13)-1)*32+ROUND(MOD(X13,1)*100,0))*0.02),IF(LOWER(X13)="UDFA",0.5,3)),1)</f>
        <v>45</v>
      </c>
      <c r="W13" s="83">
        <v>23</v>
      </c>
      <c r="X13" s="84">
        <v>6.22</v>
      </c>
      <c r="Y13" s="444" t="s">
        <v>109</v>
      </c>
      <c r="Z13" s="452">
        <f>MAX(0,IFERROR(VLOOKUP(Y13,$AC$2:$AD$34,2,FALSE()),0))</f>
        <v>0.26</v>
      </c>
      <c r="AA13" s="455">
        <f>IF(AND(LOWER(X13)="udfa",OR(Y13="N/A",Y13="")),-999,INT(MIN(96.9,(IF((IF(ISNUMBER(X13),12*EXP(-0.0179*((INT(X13)-1)*32+ROUND(MOD(X13,1)*100,0)-1)),IF(LOWER(X13)="UDFA",0.3,0))+IF(C13&gt;=76,8,IF(C13&gt;=74,6,IF(C13&gt;=73,3,IF(C13&gt;=72,0,IF(C13&gt;=71,-4,-8)))))+(MIN(25.5,MAX(0,K13/0.45*25.5))+MIN(17,MAX(0,I13/9.5*17))+MIN(12,MAX(0,N13/6*12))+MIN(11.5,MIN(10,MAX(0,G13/70*10))+MIN(3.75,MAX(0,H13/0.8*3.75)))+MIN(10.25,MAX(0,J13/8*10.25))+MIN(7.5,MAX(0,L13/7*7.5))+MIN(7.5,MAX(0,Q13/90*7.5))+MIN(6.25,MAX(0,P13/78*6.25))-MIN(8,MAX(0,(MAX(0,O13-2)/2)*8))-MIN(8,MAX(0,IF(M13&lt;=1.5,0,IF(M13&lt;=2.5,(M13-1.5)*4,4+(M13-2.5)*8))))-MIN(5,MAX(0,(MAX(0,S13-5)/3)*5))-MIN(3,MAX(0,(MAX(0,R13-2.9)/0.5)*3)))*T13-MAX(0,(W13-22)*3.5))&gt;60,60+SQRT((IF(ISNUMBER(X13),12*EXP(-0.0179*((INT(X13)-1)*32+ROUND(MOD(X13,1)*100,0)-1)),IF(LOWER(X13)="UDFA",0.3,0))+IF(C13&gt;=76,8,IF(C13&gt;=74,6,IF(C13&gt;=73,3,IF(C13&gt;=72,0,IF(C13&gt;=71,-4,-8)))))+(MIN(25.5,MAX(0,K13/0.45*25.5))+MIN(17,MAX(0,I13/9.5*17))+MIN(12,MAX(0,N13/6*12))+MIN(11.5,MIN(10,MAX(0,G13/70*10))+MIN(3.75,MAX(0,H13/0.8*3.75)))+MIN(10.25,MAX(0,J13/8*10.25))+MIN(7.5,MAX(0,L13/7*7.5))+MIN(7.5,MAX(0,Q13/90*7.5))+MIN(6.25,MAX(0,P13/78*6.25))-MIN(8,MAX(0,(MAX(0,O13-2)/2)*8))-MIN(8,MAX(0,IF(M13&lt;=1.5,0,IF(M13&lt;=2.5,(M13-1.5)*4,4+(M13-2.5)*8))))-MIN(5,MAX(0,(MAX(0,S13-5)/3)*5))-MIN(3,MAX(0,(MAX(0,R13-2.9)/0.5)*3)))*T13-MAX(0,(W13-22)*3.5))-60)*5,(IF(ISNUMBER(X13),12*EXP(-0.0179*((INT(X13)-1)*32+ROUND(MOD(X13,1)*100,0)-1)),IF(LOWER(X13)="UDFA",0.3,0))+IF(C13&gt;=76,8,IF(C13&gt;=74,6,IF(C13&gt;=73,3,IF(C13&gt;=72,0,IF(C13&gt;=71,-4,-8)))))+(MIN(25.5,MAX(0,K13/0.45*25.5))+MIN(17,MAX(0,I13/9.5*17))+MIN(12,MAX(0,N13/6*12))+MIN(11.5,MIN(10,MAX(0,G13/70*10))+MIN(3.75,MAX(0,H13/0.8*3.75)))+MIN(10.25,MAX(0,J13/8*10.25))+MIN(7.5,MAX(0,L13/7*7.5))+MIN(7.5,MAX(0,Q13/90*7.5))+MIN(6.25,MAX(0,P13/78*6.25))-MIN(8,MAX(0,(MAX(0,O13-2)/2)*8))-MIN(8,MAX(0,IF(M13&lt;=1.5,0,IF(M13&lt;=2.5,(M13-1.5)*4,4+(M13-2.5)*8))))-MIN(5,MAX(0,(MAX(0,S13-5)/3)*5))-MIN(3,MAX(0,(MAX(0,R13-2.9)/0.5)*3)))*T13-MAX(0,(W13-22)*3.5))))*0.98)+Z13))</f>
        <v>68</v>
      </c>
      <c r="AB13" s="454" t="str">
        <f>IF(AA13=-999,"",IF(AA13&gt;=92,"Franchise QB",IF(AA13&gt;=88,"High-end Starter",IF(AA13&gt;=84,"Developmental Starter",IF(AA13&gt;=71,"Backup / Camp QB",IF(AA13&gt;=58,"Deep Stash","Cut"))))))</f>
        <v>Deep Stash</v>
      </c>
      <c r="AC13" s="67" t="s">
        <v>118</v>
      </c>
      <c r="AD13" s="67">
        <v>1.1599999999999999</v>
      </c>
    </row>
    <row r="14" spans="1:30" s="68" customFormat="1" ht="18.75" customHeight="1" x14ac:dyDescent="0.3">
      <c r="A14" s="91"/>
      <c r="B14" s="70" t="s">
        <v>119</v>
      </c>
      <c r="C14" s="71">
        <v>75</v>
      </c>
      <c r="D14" s="72">
        <v>232</v>
      </c>
      <c r="E14" s="73">
        <v>4.5599999999999996</v>
      </c>
      <c r="F14" s="74">
        <f>ROUND((D14*200)/(E14^4)*(C14/75),2)</f>
        <v>107.31</v>
      </c>
      <c r="G14" s="75">
        <v>59.8</v>
      </c>
      <c r="H14" s="76">
        <v>1</v>
      </c>
      <c r="I14" s="71">
        <v>11.39</v>
      </c>
      <c r="J14" s="71">
        <v>10.83</v>
      </c>
      <c r="K14" s="71">
        <v>0.56899999999999995</v>
      </c>
      <c r="L14" s="77">
        <v>6.93</v>
      </c>
      <c r="M14" s="76">
        <v>1.73</v>
      </c>
      <c r="N14" s="94">
        <v>11.3</v>
      </c>
      <c r="O14" s="95">
        <v>1.5</v>
      </c>
      <c r="P14" s="95">
        <v>72</v>
      </c>
      <c r="Q14" s="79">
        <v>94.6</v>
      </c>
      <c r="R14" s="96">
        <v>3.33</v>
      </c>
      <c r="S14" s="97">
        <v>7.97</v>
      </c>
      <c r="T14" s="80">
        <v>0.7</v>
      </c>
      <c r="U14" s="81">
        <f>ROUND(MIN(20,MAX(0,K14/0.45*20))+MIN(15,MAX(0,(I14-5)/7*15))+MIN(15,MAX(0,N14/6*15))+MIN(15,MAX(0,G14/80*15))+MIN(15,MAX(0,F14/120*15))+MIN(10,MAX(0,(J14-6)/5*10))+MIN(10,MAX(0,Q14/90*10)),1)</f>
        <v>93</v>
      </c>
      <c r="V14" s="86">
        <f>ROUND(MIN(25,MAX(0,L14/10*25))+MIN(25,MAX(0,(1-M14/5)*25))+MIN(20,MAX(0,P14/78*20))+MIN(15,MAX(0,(J14-6)/5*15))+MIN(10,MAX(0,(MAX(0,2.5-O14)/2.5)*10))+IF(ISNUMBER(X14),MAX(0,5-((INT(X14)-1)*32+ROUND(MOD(X14,1)*100,0))*0.02),IF(LOWER(X14)="UDFA",0.5,3)),1)</f>
        <v>72.099999999999994</v>
      </c>
      <c r="W14" s="87">
        <v>24</v>
      </c>
      <c r="X14" s="88">
        <v>6.18</v>
      </c>
      <c r="Y14" s="445" t="s">
        <v>120</v>
      </c>
      <c r="Z14" s="452">
        <f>MAX(0,IFERROR(VLOOKUP(Y14,$AC$2:$AD$34,2,FALSE()),0))</f>
        <v>1.64</v>
      </c>
      <c r="AA14" s="453">
        <f>IF(AND(LOWER(X14)="udfa",OR(Y14="N/A",Y14="")),-999,INT(MIN(96.9,(IF((IF(ISNUMBER(X14),12*EXP(-0.0179*((INT(X14)-1)*32+ROUND(MOD(X14,1)*100,0)-1)),IF(LOWER(X14)="UDFA",0.3,0))+IF(C14&gt;=76,8,IF(C14&gt;=74,6,IF(C14&gt;=73,3,IF(C14&gt;=72,0,IF(C14&gt;=71,-4,-8)))))+(MIN(25.5,MAX(0,K14/0.45*25.5))+MIN(17,MAX(0,I14/9.5*17))+MIN(12,MAX(0,N14/6*12))+MIN(11.5,MIN(10,MAX(0,G14/70*10))+MIN(3.75,MAX(0,H14/0.8*3.75)))+MIN(10.25,MAX(0,J14/8*10.25))+MIN(7.5,MAX(0,L14/7*7.5))+MIN(7.5,MAX(0,Q14/90*7.5))+MIN(6.25,MAX(0,P14/78*6.25))-MIN(8,MAX(0,(MAX(0,O14-2)/2)*8))-MIN(8,MAX(0,IF(M14&lt;=1.5,0,IF(M14&lt;=2.5,(M14-1.5)*4,4+(M14-2.5)*8))))-MIN(5,MAX(0,(MAX(0,S14-5)/3)*5))-MIN(3,MAX(0,(MAX(0,R14-2.9)/0.5)*3)))*T14-MAX(0,(W14-22)*3.5))&gt;60,60+SQRT((IF(ISNUMBER(X14),12*EXP(-0.0179*((INT(X14)-1)*32+ROUND(MOD(X14,1)*100,0)-1)),IF(LOWER(X14)="UDFA",0.3,0))+IF(C14&gt;=76,8,IF(C14&gt;=74,6,IF(C14&gt;=73,3,IF(C14&gt;=72,0,IF(C14&gt;=71,-4,-8)))))+(MIN(25.5,MAX(0,K14/0.45*25.5))+MIN(17,MAX(0,I14/9.5*17))+MIN(12,MAX(0,N14/6*12))+MIN(11.5,MIN(10,MAX(0,G14/70*10))+MIN(3.75,MAX(0,H14/0.8*3.75)))+MIN(10.25,MAX(0,J14/8*10.25))+MIN(7.5,MAX(0,L14/7*7.5))+MIN(7.5,MAX(0,Q14/90*7.5))+MIN(6.25,MAX(0,P14/78*6.25))-MIN(8,MAX(0,(MAX(0,O14-2)/2)*8))-MIN(8,MAX(0,IF(M14&lt;=1.5,0,IF(M14&lt;=2.5,(M14-1.5)*4,4+(M14-2.5)*8))))-MIN(5,MAX(0,(MAX(0,S14-5)/3)*5))-MIN(3,MAX(0,(MAX(0,R14-2.9)/0.5)*3)))*T14-MAX(0,(W14-22)*3.5))-60)*5,(IF(ISNUMBER(X14),12*EXP(-0.0179*((INT(X14)-1)*32+ROUND(MOD(X14,1)*100,0)-1)),IF(LOWER(X14)="UDFA",0.3,0))+IF(C14&gt;=76,8,IF(C14&gt;=74,6,IF(C14&gt;=73,3,IF(C14&gt;=72,0,IF(C14&gt;=71,-4,-8)))))+(MIN(25.5,MAX(0,K14/0.45*25.5))+MIN(17,MAX(0,I14/9.5*17))+MIN(12,MAX(0,N14/6*12))+MIN(11.5,MIN(10,MAX(0,G14/70*10))+MIN(3.75,MAX(0,H14/0.8*3.75)))+MIN(10.25,MAX(0,J14/8*10.25))+MIN(7.5,MAX(0,L14/7*7.5))+MIN(7.5,MAX(0,Q14/90*7.5))+MIN(6.25,MAX(0,P14/78*6.25))-MIN(8,MAX(0,(MAX(0,O14-2)/2)*8))-MIN(8,MAX(0,IF(M14&lt;=1.5,0,IF(M14&lt;=2.5,(M14-1.5)*4,4+(M14-2.5)*8))))-MIN(5,MAX(0,(MAX(0,S14-5)/3)*5))-MIN(3,MAX(0,(MAX(0,R14-2.9)/0.5)*3)))*T14-MAX(0,(W14-22)*3.5))))*0.98)+Z14))</f>
        <v>66</v>
      </c>
      <c r="AB14" s="454" t="str">
        <f>IF(AA14=-999,"",IF(AA14&gt;=92,"Franchise QB",IF(AA14&gt;=88,"High-end Starter",IF(AA14&gt;=84,"Developmental Starter",IF(AA14&gt;=71,"Backup / Camp QB",IF(AA14&gt;=58,"Deep Stash","Cut"))))))</f>
        <v>Deep Stash</v>
      </c>
      <c r="AC14" s="67" t="s">
        <v>121</v>
      </c>
      <c r="AD14" s="67">
        <v>0.02</v>
      </c>
    </row>
    <row r="15" spans="1:30" s="68" customFormat="1" ht="18.75" customHeight="1" x14ac:dyDescent="0.3">
      <c r="A15" s="69"/>
      <c r="B15" s="70" t="s">
        <v>122</v>
      </c>
      <c r="C15" s="71">
        <v>74</v>
      </c>
      <c r="D15" s="72">
        <v>203</v>
      </c>
      <c r="E15" s="73">
        <v>4.82</v>
      </c>
      <c r="F15" s="74">
        <f>ROUND((D15*200)/(E15^4)*(C15/75),2)</f>
        <v>74.22</v>
      </c>
      <c r="G15" s="75">
        <v>7.14</v>
      </c>
      <c r="H15" s="76">
        <v>0.18</v>
      </c>
      <c r="I15" s="71">
        <v>7.14</v>
      </c>
      <c r="J15" s="71">
        <v>6.91</v>
      </c>
      <c r="K15" s="71">
        <v>0.2</v>
      </c>
      <c r="L15" s="77">
        <v>5.04</v>
      </c>
      <c r="M15" s="76">
        <v>2.09</v>
      </c>
      <c r="N15" s="76">
        <v>4.6280000000000001</v>
      </c>
      <c r="O15" s="78">
        <v>3.0640000000000001</v>
      </c>
      <c r="P15" s="78">
        <v>73.516000000000005</v>
      </c>
      <c r="Q15" s="71">
        <v>79.540000000000006</v>
      </c>
      <c r="R15" s="71">
        <v>2.6019999999999999</v>
      </c>
      <c r="S15" s="73">
        <v>3.4540000000000002</v>
      </c>
      <c r="T15" s="80">
        <v>1</v>
      </c>
      <c r="U15" s="81">
        <f>ROUND(MIN(20,MAX(0,K15/0.45*20))+MIN(15,MAX(0,(I15-5)/7*15))+MIN(15,MAX(0,N15/6*15))+MIN(15,MAX(0,G15/80*15))+MIN(15,MAX(0,F15/120*15))+MIN(10,MAX(0,(J15-6)/5*10))+MIN(10,MAX(0,Q15/90*10)),1)</f>
        <v>46.3</v>
      </c>
      <c r="V15" s="82">
        <f>ROUND(MIN(25,MAX(0,L15/10*25))+MIN(25,MAX(0,(1-M15/5)*25))+MIN(20,MAX(0,P15/78*20))+MIN(15,MAX(0,(J15-6)/5*15))+MIN(10,MAX(0,(MAX(0,2.5-O15)/2.5)*10))+IF(ISNUMBER(X15),MAX(0,5-((INT(X15)-1)*32+ROUND(MOD(X15,1)*100,0))*0.02),IF(LOWER(X15)="UDFA",0.5,3)),1)</f>
        <v>48.8</v>
      </c>
      <c r="W15" s="83">
        <v>22</v>
      </c>
      <c r="X15" s="98">
        <v>7.57</v>
      </c>
      <c r="Y15" s="444" t="s">
        <v>123</v>
      </c>
      <c r="Z15" s="452">
        <f>MAX(0,IFERROR(VLOOKUP(Y15,$AC$2:$AD$34,2,FALSE()),0))</f>
        <v>1.21</v>
      </c>
      <c r="AA15" s="455">
        <f>IF(AND(LOWER(X15)="udfa",OR(Y15="N/A",Y15="")),-999,INT(MIN(96.9,(IF((IF(ISNUMBER(X15),12*EXP(-0.0179*((INT(X15)-1)*32+ROUND(MOD(X15,1)*100,0)-1)),IF(LOWER(X15)="UDFA",0.3,0))+IF(C15&gt;=76,8,IF(C15&gt;=74,6,IF(C15&gt;=73,3,IF(C15&gt;=72,0,IF(C15&gt;=71,-4,-8)))))+(MIN(25.5,MAX(0,K15/0.45*25.5))+MIN(17,MAX(0,I15/9.5*17))+MIN(12,MAX(0,N15/6*12))+MIN(11.5,MIN(10,MAX(0,G15/70*10))+MIN(3.75,MAX(0,H15/0.8*3.75)))+MIN(10.25,MAX(0,J15/8*10.25))+MIN(7.5,MAX(0,L15/7*7.5))+MIN(7.5,MAX(0,Q15/90*7.5))+MIN(6.25,MAX(0,P15/78*6.25))-MIN(8,MAX(0,(MAX(0,O15-2)/2)*8))-MIN(8,MAX(0,IF(M15&lt;=1.5,0,IF(M15&lt;=2.5,(M15-1.5)*4,4+(M15-2.5)*8))))-MIN(5,MAX(0,(MAX(0,S15-5)/3)*5))-MIN(3,MAX(0,(MAX(0,R15-2.9)/0.5)*3)))*T15-MAX(0,(W15-22)*3.5))&gt;60,60+SQRT((IF(ISNUMBER(X15),12*EXP(-0.0179*((INT(X15)-1)*32+ROUND(MOD(X15,1)*100,0)-1)),IF(LOWER(X15)="UDFA",0.3,0))+IF(C15&gt;=76,8,IF(C15&gt;=74,6,IF(C15&gt;=73,3,IF(C15&gt;=72,0,IF(C15&gt;=71,-4,-8)))))+(MIN(25.5,MAX(0,K15/0.45*25.5))+MIN(17,MAX(0,I15/9.5*17))+MIN(12,MAX(0,N15/6*12))+MIN(11.5,MIN(10,MAX(0,G15/70*10))+MIN(3.75,MAX(0,H15/0.8*3.75)))+MIN(10.25,MAX(0,J15/8*10.25))+MIN(7.5,MAX(0,L15/7*7.5))+MIN(7.5,MAX(0,Q15/90*7.5))+MIN(6.25,MAX(0,P15/78*6.25))-MIN(8,MAX(0,(MAX(0,O15-2)/2)*8))-MIN(8,MAX(0,IF(M15&lt;=1.5,0,IF(M15&lt;=2.5,(M15-1.5)*4,4+(M15-2.5)*8))))-MIN(5,MAX(0,(MAX(0,S15-5)/3)*5))-MIN(3,MAX(0,(MAX(0,R15-2.9)/0.5)*3)))*T15-MAX(0,(W15-22)*3.5))-60)*5,(IF(ISNUMBER(X15),12*EXP(-0.0179*((INT(X15)-1)*32+ROUND(MOD(X15,1)*100,0)-1)),IF(LOWER(X15)="UDFA",0.3,0))+IF(C15&gt;=76,8,IF(C15&gt;=74,6,IF(C15&gt;=73,3,IF(C15&gt;=72,0,IF(C15&gt;=71,-4,-8)))))+(MIN(25.5,MAX(0,K15/0.45*25.5))+MIN(17,MAX(0,I15/9.5*17))+MIN(12,MAX(0,N15/6*12))+MIN(11.5,MIN(10,MAX(0,G15/70*10))+MIN(3.75,MAX(0,H15/0.8*3.75)))+MIN(10.25,MAX(0,J15/8*10.25))+MIN(7.5,MAX(0,L15/7*7.5))+MIN(7.5,MAX(0,Q15/90*7.5))+MIN(6.25,MAX(0,P15/78*6.25))-MIN(8,MAX(0,(MAX(0,O15-2)/2)*8))-MIN(8,MAX(0,IF(M15&lt;=1.5,0,IF(M15&lt;=2.5,(M15-1.5)*4,4+(M15-2.5)*8))))-MIN(5,MAX(0,(MAX(0,S15-5)/3)*5))-MIN(3,MAX(0,(MAX(0,R15-2.9)/0.5)*3)))*T15-MAX(0,(W15-22)*3.5))))*0.98)+Z15))</f>
        <v>66</v>
      </c>
      <c r="AB15" s="454" t="str">
        <f>IF(AA15=-999,"",IF(AA15&gt;=92,"Franchise QB",IF(AA15&gt;=88,"High-end Starter",IF(AA15&gt;=84,"Developmental Starter",IF(AA15&gt;=71,"Backup / Camp QB",IF(AA15&gt;=58,"Deep Stash","Cut"))))))</f>
        <v>Deep Stash</v>
      </c>
      <c r="AC15" s="67" t="s">
        <v>124</v>
      </c>
      <c r="AD15" s="67">
        <v>1.5</v>
      </c>
    </row>
    <row r="16" spans="1:30" s="68" customFormat="1" ht="18.75" customHeight="1" x14ac:dyDescent="0.3">
      <c r="A16" s="91"/>
      <c r="B16" s="70" t="s">
        <v>125</v>
      </c>
      <c r="C16" s="71">
        <v>73</v>
      </c>
      <c r="D16" s="72">
        <v>219</v>
      </c>
      <c r="E16" s="73">
        <v>4.6500000000000004</v>
      </c>
      <c r="F16" s="74">
        <f>ROUND((D16*200)/(E16^4)*(C16/75),2)</f>
        <v>91.19</v>
      </c>
      <c r="G16" s="75">
        <v>43.33</v>
      </c>
      <c r="H16" s="76">
        <v>0.42</v>
      </c>
      <c r="I16" s="71">
        <v>7.46</v>
      </c>
      <c r="J16" s="71">
        <v>7.08</v>
      </c>
      <c r="K16" s="71">
        <v>0.376</v>
      </c>
      <c r="L16" s="77">
        <v>5.79</v>
      </c>
      <c r="M16" s="76">
        <v>3.05</v>
      </c>
      <c r="N16" s="76">
        <v>6.2069999999999999</v>
      </c>
      <c r="O16" s="78">
        <v>4.09</v>
      </c>
      <c r="P16" s="78">
        <v>69.231999999999999</v>
      </c>
      <c r="Q16" s="79">
        <v>72.284999999999997</v>
      </c>
      <c r="R16" s="79">
        <v>2.9750000000000001</v>
      </c>
      <c r="S16" s="73">
        <v>3.9609999999999999</v>
      </c>
      <c r="T16" s="80">
        <v>1</v>
      </c>
      <c r="U16" s="81">
        <f>ROUND(MIN(20,MAX(0,K16/0.45*20))+MIN(15,MAX(0,(I16-5)/7*15))+MIN(15,MAX(0,N16/6*15))+MIN(15,MAX(0,G16/80*15))+MIN(15,MAX(0,F16/120*15))+MIN(10,MAX(0,(J16-6)/5*10))+MIN(10,MAX(0,Q16/90*10)),1)</f>
        <v>66.7</v>
      </c>
      <c r="V16" s="82">
        <f>ROUND(MIN(25,MAX(0,L16/10*25))+MIN(25,MAX(0,(1-M16/5)*25))+MIN(20,MAX(0,P16/78*20))+MIN(15,MAX(0,(J16-6)/5*15))+MIN(10,MAX(0,(MAX(0,2.5-O16)/2.5)*10))+IF(ISNUMBER(X16),MAX(0,5-((INT(X16)-1)*32+ROUND(MOD(X16,1)*100,0))*0.02),IF(LOWER(X16)="UDFA",0.5,3)),1)</f>
        <v>45.7</v>
      </c>
      <c r="W16" s="83">
        <v>24</v>
      </c>
      <c r="X16" s="84" t="s">
        <v>95</v>
      </c>
      <c r="Y16" s="444" t="s">
        <v>126</v>
      </c>
      <c r="Z16" s="452">
        <f>MAX(0,IFERROR(VLOOKUP(Y16,$AC$2:$AD$34,2,FALSE()),0))</f>
        <v>1.45</v>
      </c>
      <c r="AA16" s="455">
        <f>IF(AND(LOWER(X16)="udfa",OR(Y16="N/A",Y16="")),-999,INT(MIN(96.9,(IF((IF(ISNUMBER(X16),12*EXP(-0.0179*((INT(X16)-1)*32+ROUND(MOD(X16,1)*100,0)-1)),IF(LOWER(X16)="UDFA",0.3,0))+IF(C16&gt;=76,8,IF(C16&gt;=74,6,IF(C16&gt;=73,3,IF(C16&gt;=72,0,IF(C16&gt;=71,-4,-8)))))+(MIN(25.5,MAX(0,K16/0.45*25.5))+MIN(17,MAX(0,I16/9.5*17))+MIN(12,MAX(0,N16/6*12))+MIN(11.5,MIN(10,MAX(0,G16/70*10))+MIN(3.75,MAX(0,H16/0.8*3.75)))+MIN(10.25,MAX(0,J16/8*10.25))+MIN(7.5,MAX(0,L16/7*7.5))+MIN(7.5,MAX(0,Q16/90*7.5))+MIN(6.25,MAX(0,P16/78*6.25))-MIN(8,MAX(0,(MAX(0,O16-2)/2)*8))-MIN(8,MAX(0,IF(M16&lt;=1.5,0,IF(M16&lt;=2.5,(M16-1.5)*4,4+(M16-2.5)*8))))-MIN(5,MAX(0,(MAX(0,S16-5)/3)*5))-MIN(3,MAX(0,(MAX(0,R16-2.9)/0.5)*3)))*T16-MAX(0,(W16-22)*3.5))&gt;60,60+SQRT((IF(ISNUMBER(X16),12*EXP(-0.0179*((INT(X16)-1)*32+ROUND(MOD(X16,1)*100,0)-1)),IF(LOWER(X16)="UDFA",0.3,0))+IF(C16&gt;=76,8,IF(C16&gt;=74,6,IF(C16&gt;=73,3,IF(C16&gt;=72,0,IF(C16&gt;=71,-4,-8)))))+(MIN(25.5,MAX(0,K16/0.45*25.5))+MIN(17,MAX(0,I16/9.5*17))+MIN(12,MAX(0,N16/6*12))+MIN(11.5,MIN(10,MAX(0,G16/70*10))+MIN(3.75,MAX(0,H16/0.8*3.75)))+MIN(10.25,MAX(0,J16/8*10.25))+MIN(7.5,MAX(0,L16/7*7.5))+MIN(7.5,MAX(0,Q16/90*7.5))+MIN(6.25,MAX(0,P16/78*6.25))-MIN(8,MAX(0,(MAX(0,O16-2)/2)*8))-MIN(8,MAX(0,IF(M16&lt;=1.5,0,IF(M16&lt;=2.5,(M16-1.5)*4,4+(M16-2.5)*8))))-MIN(5,MAX(0,(MAX(0,S16-5)/3)*5))-MIN(3,MAX(0,(MAX(0,R16-2.9)/0.5)*3)))*T16-MAX(0,(W16-22)*3.5))-60)*5,(IF(ISNUMBER(X16),12*EXP(-0.0179*((INT(X16)-1)*32+ROUND(MOD(X16,1)*100,0)-1)),IF(LOWER(X16)="UDFA",0.3,0))+IF(C16&gt;=76,8,IF(C16&gt;=74,6,IF(C16&gt;=73,3,IF(C16&gt;=72,0,IF(C16&gt;=71,-4,-8)))))+(MIN(25.5,MAX(0,K16/0.45*25.5))+MIN(17,MAX(0,I16/9.5*17))+MIN(12,MAX(0,N16/6*12))+MIN(11.5,MIN(10,MAX(0,G16/70*10))+MIN(3.75,MAX(0,H16/0.8*3.75)))+MIN(10.25,MAX(0,J16/8*10.25))+MIN(7.5,MAX(0,L16/7*7.5))+MIN(7.5,MAX(0,Q16/90*7.5))+MIN(6.25,MAX(0,P16/78*6.25))-MIN(8,MAX(0,(MAX(0,O16-2)/2)*8))-MIN(8,MAX(0,IF(M16&lt;=1.5,0,IF(M16&lt;=2.5,(M16-1.5)*4,4+(M16-2.5)*8))))-MIN(5,MAX(0,(MAX(0,S16-5)/3)*5))-MIN(3,MAX(0,(MAX(0,R16-2.9)/0.5)*3)))*T16-MAX(0,(W16-22)*3.5))))*0.98)+Z16))</f>
        <v>66</v>
      </c>
      <c r="AB16" s="454" t="str">
        <f>IF(AA16=-999,"",IF(AA16&gt;=92,"Franchise QB",IF(AA16&gt;=88,"High-end Starter",IF(AA16&gt;=84,"Developmental Starter",IF(AA16&gt;=71,"Backup / Camp QB",IF(AA16&gt;=58,"Deep Stash","Cut"))))))</f>
        <v>Deep Stash</v>
      </c>
      <c r="AC16" s="67" t="s">
        <v>127</v>
      </c>
      <c r="AD16" s="67">
        <v>0.43</v>
      </c>
    </row>
    <row r="17" spans="1:30" s="68" customFormat="1" ht="33" customHeight="1" x14ac:dyDescent="0.3">
      <c r="A17" s="90"/>
      <c r="B17" s="70" t="s">
        <v>128</v>
      </c>
      <c r="C17" s="71">
        <v>76</v>
      </c>
      <c r="D17" s="72">
        <v>216</v>
      </c>
      <c r="E17" s="73">
        <v>4.6399999999999997</v>
      </c>
      <c r="F17" s="74">
        <f>ROUND((D17*200)/(E17^4)*(C17/75),2)</f>
        <v>94.44</v>
      </c>
      <c r="G17" s="75">
        <v>20.46</v>
      </c>
      <c r="H17" s="76">
        <v>0.28999999999999998</v>
      </c>
      <c r="I17" s="71">
        <v>7.73</v>
      </c>
      <c r="J17" s="71">
        <v>7.07</v>
      </c>
      <c r="K17" s="71">
        <v>0.252</v>
      </c>
      <c r="L17" s="77">
        <v>6.77</v>
      </c>
      <c r="M17" s="76">
        <v>2.2999999999999998</v>
      </c>
      <c r="N17" s="76">
        <v>4.2569999999999997</v>
      </c>
      <c r="O17" s="78">
        <v>3.6</v>
      </c>
      <c r="P17" s="78">
        <v>67.873000000000005</v>
      </c>
      <c r="Q17" s="79">
        <v>70.462000000000003</v>
      </c>
      <c r="R17" s="79">
        <v>2.5470000000000002</v>
      </c>
      <c r="S17" s="73">
        <v>3.9</v>
      </c>
      <c r="T17" s="80">
        <v>1</v>
      </c>
      <c r="U17" s="81">
        <f>ROUND(MIN(20,MAX(0,K17/0.45*20))+MIN(15,MAX(0,(I17-5)/7*15))+MIN(15,MAX(0,N17/6*15))+MIN(15,MAX(0,G17/80*15))+MIN(15,MAX(0,F17/120*15))+MIN(10,MAX(0,(J17-6)/5*10))+MIN(10,MAX(0,Q17/90*10)),1)</f>
        <v>53.3</v>
      </c>
      <c r="V17" s="82">
        <f>ROUND(MIN(25,MAX(0,L17/10*25))+MIN(25,MAX(0,(1-M17/5)*25))+MIN(20,MAX(0,P17/78*20))+MIN(15,MAX(0,(J17-6)/5*15))+MIN(10,MAX(0,(MAX(0,2.5-O17)/2.5)*10))+IF(ISNUMBER(X17),MAX(0,5-((INT(X17)-1)*32+ROUND(MOD(X17,1)*100,0))*0.02),IF(LOWER(X17)="UDFA",0.5,3)),1)</f>
        <v>51.5</v>
      </c>
      <c r="W17" s="83">
        <v>25</v>
      </c>
      <c r="X17" s="84" t="s">
        <v>95</v>
      </c>
      <c r="Y17" s="444" t="s">
        <v>89</v>
      </c>
      <c r="Z17" s="452">
        <f>MAX(0,IFERROR(VLOOKUP(Y17,$AC$2:$AD$34,2,FALSE()),0))</f>
        <v>0.5</v>
      </c>
      <c r="AA17" s="455">
        <f>IF(AND(LOWER(X17)="udfa",OR(Y17="N/A",Y17="")),-999,INT(MIN(96.9,(IF((IF(ISNUMBER(X17),12*EXP(-0.0179*((INT(X17)-1)*32+ROUND(MOD(X17,1)*100,0)-1)),IF(LOWER(X17)="UDFA",0.3,0))+IF(C17&gt;=76,8,IF(C17&gt;=74,6,IF(C17&gt;=73,3,IF(C17&gt;=72,0,IF(C17&gt;=71,-4,-8)))))+(MIN(25.5,MAX(0,K17/0.45*25.5))+MIN(17,MAX(0,I17/9.5*17))+MIN(12,MAX(0,N17/6*12))+MIN(11.5,MIN(10,MAX(0,G17/70*10))+MIN(3.75,MAX(0,H17/0.8*3.75)))+MIN(10.25,MAX(0,J17/8*10.25))+MIN(7.5,MAX(0,L17/7*7.5))+MIN(7.5,MAX(0,Q17/90*7.5))+MIN(6.25,MAX(0,P17/78*6.25))-MIN(8,MAX(0,(MAX(0,O17-2)/2)*8))-MIN(8,MAX(0,IF(M17&lt;=1.5,0,IF(M17&lt;=2.5,(M17-1.5)*4,4+(M17-2.5)*8))))-MIN(5,MAX(0,(MAX(0,S17-5)/3)*5))-MIN(3,MAX(0,(MAX(0,R17-2.9)/0.5)*3)))*T17-MAX(0,(W17-22)*3.5))&gt;60,60+SQRT((IF(ISNUMBER(X17),12*EXP(-0.0179*((INT(X17)-1)*32+ROUND(MOD(X17,1)*100,0)-1)),IF(LOWER(X17)="UDFA",0.3,0))+IF(C17&gt;=76,8,IF(C17&gt;=74,6,IF(C17&gt;=73,3,IF(C17&gt;=72,0,IF(C17&gt;=71,-4,-8)))))+(MIN(25.5,MAX(0,K17/0.45*25.5))+MIN(17,MAX(0,I17/9.5*17))+MIN(12,MAX(0,N17/6*12))+MIN(11.5,MIN(10,MAX(0,G17/70*10))+MIN(3.75,MAX(0,H17/0.8*3.75)))+MIN(10.25,MAX(0,J17/8*10.25))+MIN(7.5,MAX(0,L17/7*7.5))+MIN(7.5,MAX(0,Q17/90*7.5))+MIN(6.25,MAX(0,P17/78*6.25))-MIN(8,MAX(0,(MAX(0,O17-2)/2)*8))-MIN(8,MAX(0,IF(M17&lt;=1.5,0,IF(M17&lt;=2.5,(M17-1.5)*4,4+(M17-2.5)*8))))-MIN(5,MAX(0,(MAX(0,S17-5)/3)*5))-MIN(3,MAX(0,(MAX(0,R17-2.9)/0.5)*3)))*T17-MAX(0,(W17-22)*3.5))-60)*5,(IF(ISNUMBER(X17),12*EXP(-0.0179*((INT(X17)-1)*32+ROUND(MOD(X17,1)*100,0)-1)),IF(LOWER(X17)="UDFA",0.3,0))+IF(C17&gt;=76,8,IF(C17&gt;=74,6,IF(C17&gt;=73,3,IF(C17&gt;=72,0,IF(C17&gt;=71,-4,-8)))))+(MIN(25.5,MAX(0,K17/0.45*25.5))+MIN(17,MAX(0,I17/9.5*17))+MIN(12,MAX(0,N17/6*12))+MIN(11.5,MIN(10,MAX(0,G17/70*10))+MIN(3.75,MAX(0,H17/0.8*3.75)))+MIN(10.25,MAX(0,J17/8*10.25))+MIN(7.5,MAX(0,L17/7*7.5))+MIN(7.5,MAX(0,Q17/90*7.5))+MIN(6.25,MAX(0,P17/78*6.25))-MIN(8,MAX(0,(MAX(0,O17-2)/2)*8))-MIN(8,MAX(0,IF(M17&lt;=1.5,0,IF(M17&lt;=2.5,(M17-1.5)*4,4+(M17-2.5)*8))))-MIN(5,MAX(0,(MAX(0,S17-5)/3)*5))-MIN(3,MAX(0,(MAX(0,R17-2.9)/0.5)*3)))*T17-MAX(0,(W17-22)*3.5))))*0.98)+Z17))</f>
        <v>56</v>
      </c>
      <c r="AB17" s="454" t="str">
        <f>IF(AA17=-999,"",IF(AA17&gt;=92,"Franchise QB",IF(AA17&gt;=88,"High-end Starter",IF(AA17&gt;=84,"Developmental Starter",IF(AA17&gt;=71,"Backup / Camp QB",IF(AA17&gt;=58,"Deep Stash","Cut"))))))</f>
        <v>Cut</v>
      </c>
      <c r="AC17" s="67" t="s">
        <v>106</v>
      </c>
      <c r="AD17" s="67">
        <v>0.43</v>
      </c>
    </row>
    <row r="18" spans="1:30" s="68" customFormat="1" ht="36.75" customHeight="1" x14ac:dyDescent="0.3">
      <c r="A18" s="91"/>
      <c r="B18" s="70" t="s">
        <v>129</v>
      </c>
      <c r="C18" s="71">
        <v>74</v>
      </c>
      <c r="D18" s="72">
        <v>210</v>
      </c>
      <c r="E18" s="73">
        <v>4.9000000000000004</v>
      </c>
      <c r="F18" s="74">
        <f>ROUND((D18*200)/(E18^4)*(C18/75),2)</f>
        <v>71.88</v>
      </c>
      <c r="G18" s="75">
        <v>6.05</v>
      </c>
      <c r="H18" s="76">
        <v>0.52</v>
      </c>
      <c r="I18" s="71">
        <v>6.67</v>
      </c>
      <c r="J18" s="71">
        <v>6.61</v>
      </c>
      <c r="K18" s="71">
        <v>0.126</v>
      </c>
      <c r="L18" s="77">
        <v>4.55</v>
      </c>
      <c r="M18" s="76">
        <v>2.14</v>
      </c>
      <c r="N18" s="76">
        <v>3.5579999999999998</v>
      </c>
      <c r="O18" s="78">
        <v>3.7330000000000001</v>
      </c>
      <c r="P18" s="78">
        <v>72.293000000000006</v>
      </c>
      <c r="Q18" s="79">
        <v>69.058000000000007</v>
      </c>
      <c r="R18" s="79">
        <v>2.6059999999999999</v>
      </c>
      <c r="S18" s="73">
        <v>3.9289999999999998</v>
      </c>
      <c r="T18" s="80">
        <v>1</v>
      </c>
      <c r="U18" s="81">
        <f>ROUND(MIN(20,MAX(0,K18/0.45*20))+MIN(15,MAX(0,(I18-5)/7*15))+MIN(15,MAX(0,N18/6*15))+MIN(15,MAX(0,G18/80*15))+MIN(15,MAX(0,F18/120*15))+MIN(10,MAX(0,(J18-6)/5*10))+MIN(10,MAX(0,Q18/90*10)),1)</f>
        <v>37.1</v>
      </c>
      <c r="V18" s="82">
        <f>ROUND(MIN(25,MAX(0,L18/10*25))+MIN(25,MAX(0,(1-M18/5)*25))+MIN(20,MAX(0,P18/78*20))+MIN(15,MAX(0,(J18-6)/5*15))+MIN(10,MAX(0,(MAX(0,2.5-O18)/2.5)*10))+IF(ISNUMBER(X18),MAX(0,5-((INT(X18)-1)*32+ROUND(MOD(X18,1)*100,0))*0.02),IF(LOWER(X18)="UDFA",0.5,3)),1)</f>
        <v>46.5</v>
      </c>
      <c r="W18" s="83">
        <v>24</v>
      </c>
      <c r="X18" s="84" t="s">
        <v>95</v>
      </c>
      <c r="Y18" s="444" t="s">
        <v>104</v>
      </c>
      <c r="Z18" s="452">
        <f>MAX(0,IFERROR(VLOOKUP(Y18,$AC$2:$AD$34,2,FALSE()),0))</f>
        <v>1.52</v>
      </c>
      <c r="AA18" s="455">
        <f>IF(AND(LOWER(X18)="udfa",OR(Y18="N/A",Y18="")),-999,INT(MIN(96.9,(IF((IF(ISNUMBER(X18),12*EXP(-0.0179*((INT(X18)-1)*32+ROUND(MOD(X18,1)*100,0)-1)),IF(LOWER(X18)="UDFA",0.3,0))+IF(C18&gt;=76,8,IF(C18&gt;=74,6,IF(C18&gt;=73,3,IF(C18&gt;=72,0,IF(C18&gt;=71,-4,-8)))))+(MIN(25.5,MAX(0,K18/0.45*25.5))+MIN(17,MAX(0,I18/9.5*17))+MIN(12,MAX(0,N18/6*12))+MIN(11.5,MIN(10,MAX(0,G18/70*10))+MIN(3.75,MAX(0,H18/0.8*3.75)))+MIN(10.25,MAX(0,J18/8*10.25))+MIN(7.5,MAX(0,L18/7*7.5))+MIN(7.5,MAX(0,Q18/90*7.5))+MIN(6.25,MAX(0,P18/78*6.25))-MIN(8,MAX(0,(MAX(0,O18-2)/2)*8))-MIN(8,MAX(0,IF(M18&lt;=1.5,0,IF(M18&lt;=2.5,(M18-1.5)*4,4+(M18-2.5)*8))))-MIN(5,MAX(0,(MAX(0,S18-5)/3)*5))-MIN(3,MAX(0,(MAX(0,R18-2.9)/0.5)*3)))*T18-MAX(0,(W18-22)*3.5))&gt;60,60+SQRT((IF(ISNUMBER(X18),12*EXP(-0.0179*((INT(X18)-1)*32+ROUND(MOD(X18,1)*100,0)-1)),IF(LOWER(X18)="UDFA",0.3,0))+IF(C18&gt;=76,8,IF(C18&gt;=74,6,IF(C18&gt;=73,3,IF(C18&gt;=72,0,IF(C18&gt;=71,-4,-8)))))+(MIN(25.5,MAX(0,K18/0.45*25.5))+MIN(17,MAX(0,I18/9.5*17))+MIN(12,MAX(0,N18/6*12))+MIN(11.5,MIN(10,MAX(0,G18/70*10))+MIN(3.75,MAX(0,H18/0.8*3.75)))+MIN(10.25,MAX(0,J18/8*10.25))+MIN(7.5,MAX(0,L18/7*7.5))+MIN(7.5,MAX(0,Q18/90*7.5))+MIN(6.25,MAX(0,P18/78*6.25))-MIN(8,MAX(0,(MAX(0,O18-2)/2)*8))-MIN(8,MAX(0,IF(M18&lt;=1.5,0,IF(M18&lt;=2.5,(M18-1.5)*4,4+(M18-2.5)*8))))-MIN(5,MAX(0,(MAX(0,S18-5)/3)*5))-MIN(3,MAX(0,(MAX(0,R18-2.9)/0.5)*3)))*T18-MAX(0,(W18-22)*3.5))-60)*5,(IF(ISNUMBER(X18),12*EXP(-0.0179*((INT(X18)-1)*32+ROUND(MOD(X18,1)*100,0)-1)),IF(LOWER(X18)="UDFA",0.3,0))+IF(C18&gt;=76,8,IF(C18&gt;=74,6,IF(C18&gt;=73,3,IF(C18&gt;=72,0,IF(C18&gt;=71,-4,-8)))))+(MIN(25.5,MAX(0,K18/0.45*25.5))+MIN(17,MAX(0,I18/9.5*17))+MIN(12,MAX(0,N18/6*12))+MIN(11.5,MIN(10,MAX(0,G18/70*10))+MIN(3.75,MAX(0,H18/0.8*3.75)))+MIN(10.25,MAX(0,J18/8*10.25))+MIN(7.5,MAX(0,L18/7*7.5))+MIN(7.5,MAX(0,Q18/90*7.5))+MIN(6.25,MAX(0,P18/78*6.25))-MIN(8,MAX(0,(MAX(0,O18-2)/2)*8))-MIN(8,MAX(0,IF(M18&lt;=1.5,0,IF(M18&lt;=2.5,(M18-1.5)*4,4+(M18-2.5)*8))))-MIN(5,MAX(0,(MAX(0,S18-5)/3)*5))-MIN(3,MAX(0,(MAX(0,R18-2.9)/0.5)*3)))*T18-MAX(0,(W18-22)*3.5))))*0.98)+Z18))</f>
        <v>44</v>
      </c>
      <c r="AB18" s="454" t="str">
        <f>IF(AA18=-999,"",IF(AA18&gt;=92,"Franchise QB",IF(AA18&gt;=88,"High-end Starter",IF(AA18&gt;=84,"Developmental Starter",IF(AA18&gt;=71,"Backup / Camp QB",IF(AA18&gt;=58,"Deep Stash","Cut"))))))</f>
        <v>Cut</v>
      </c>
      <c r="AC18" s="67" t="s">
        <v>123</v>
      </c>
      <c r="AD18" s="67">
        <v>1.21</v>
      </c>
    </row>
    <row r="19" spans="1:30" s="68" customFormat="1" ht="42" customHeight="1" x14ac:dyDescent="0.3">
      <c r="A19" s="91"/>
      <c r="B19" s="70" t="s">
        <v>130</v>
      </c>
      <c r="C19" s="71">
        <v>73</v>
      </c>
      <c r="D19" s="72">
        <v>233</v>
      </c>
      <c r="E19" s="73">
        <v>4.6500000000000004</v>
      </c>
      <c r="F19" s="74">
        <f>ROUND((D19*200)/(E19^4)*(C19/75),2)</f>
        <v>97.01</v>
      </c>
      <c r="G19" s="75">
        <v>58.81</v>
      </c>
      <c r="H19" s="76">
        <v>0.71</v>
      </c>
      <c r="I19" s="71">
        <v>5.8</v>
      </c>
      <c r="J19" s="71">
        <v>5.44</v>
      </c>
      <c r="K19" s="71">
        <v>0.13100000000000001</v>
      </c>
      <c r="L19" s="77">
        <v>4.9800000000000004</v>
      </c>
      <c r="M19" s="76">
        <v>2.77</v>
      </c>
      <c r="N19" s="76">
        <v>4.2210000000000001</v>
      </c>
      <c r="O19" s="78">
        <v>4.1820000000000004</v>
      </c>
      <c r="P19" s="78">
        <v>69.590999999999994</v>
      </c>
      <c r="Q19" s="79">
        <v>65.977999999999994</v>
      </c>
      <c r="R19" s="79">
        <v>3.0819999999999999</v>
      </c>
      <c r="S19" s="73">
        <v>5.9429999999999996</v>
      </c>
      <c r="T19" s="80">
        <v>1</v>
      </c>
      <c r="U19" s="81">
        <f>ROUND(MIN(20,MAX(0,K19/0.45*20))+MIN(15,MAX(0,(I19-5)/7*15))+MIN(15,MAX(0,N19/6*15))+MIN(15,MAX(0,G19/80*15))+MIN(15,MAX(0,F19/120*15))+MIN(10,MAX(0,(J19-6)/5*10))+MIN(10,MAX(0,Q19/90*10)),1)</f>
        <v>48.6</v>
      </c>
      <c r="V19" s="82">
        <f>ROUND(MIN(25,MAX(0,L19/10*25))+MIN(25,MAX(0,(1-M19/5)*25))+MIN(20,MAX(0,P19/78*20))+MIN(15,MAX(0,(J19-6)/5*15))+MIN(10,MAX(0,(MAX(0,2.5-O19)/2.5)*10))+IF(ISNUMBER(X19),MAX(0,5-((INT(X19)-1)*32+ROUND(MOD(X19,1)*100,0))*0.02),IF(LOWER(X19)="UDFA",0.5,3)),1)</f>
        <v>41.9</v>
      </c>
      <c r="W19" s="83">
        <v>24</v>
      </c>
      <c r="X19" s="84" t="s">
        <v>95</v>
      </c>
      <c r="Y19" s="444" t="s">
        <v>118</v>
      </c>
      <c r="Z19" s="452">
        <f>MAX(0,IFERROR(VLOOKUP(Y19,$AC$2:$AD$34,2,FALSE()),0))</f>
        <v>1.1599999999999999</v>
      </c>
      <c r="AA19" s="455">
        <f>IF(AND(LOWER(X19)="udfa",OR(Y19="N/A",Y19="")),-999,INT(MIN(96.9,(IF((IF(ISNUMBER(X19),12*EXP(-0.0179*((INT(X19)-1)*32+ROUND(MOD(X19,1)*100,0)-1)),IF(LOWER(X19)="UDFA",0.3,0))+IF(C19&gt;=76,8,IF(C19&gt;=74,6,IF(C19&gt;=73,3,IF(C19&gt;=72,0,IF(C19&gt;=71,-4,-8)))))+(MIN(25.5,MAX(0,K19/0.45*25.5))+MIN(17,MAX(0,I19/9.5*17))+MIN(12,MAX(0,N19/6*12))+MIN(11.5,MIN(10,MAX(0,G19/70*10))+MIN(3.75,MAX(0,H19/0.8*3.75)))+MIN(10.25,MAX(0,J19/8*10.25))+MIN(7.5,MAX(0,L19/7*7.5))+MIN(7.5,MAX(0,Q19/90*7.5))+MIN(6.25,MAX(0,P19/78*6.25))-MIN(8,MAX(0,(MAX(0,O19-2)/2)*8))-MIN(8,MAX(0,IF(M19&lt;=1.5,0,IF(M19&lt;=2.5,(M19-1.5)*4,4+(M19-2.5)*8))))-MIN(5,MAX(0,(MAX(0,S19-5)/3)*5))-MIN(3,MAX(0,(MAX(0,R19-2.9)/0.5)*3)))*T19-MAX(0,(W19-22)*3.5))&gt;60,60+SQRT((IF(ISNUMBER(X19),12*EXP(-0.0179*((INT(X19)-1)*32+ROUND(MOD(X19,1)*100,0)-1)),IF(LOWER(X19)="UDFA",0.3,0))+IF(C19&gt;=76,8,IF(C19&gt;=74,6,IF(C19&gt;=73,3,IF(C19&gt;=72,0,IF(C19&gt;=71,-4,-8)))))+(MIN(25.5,MAX(0,K19/0.45*25.5))+MIN(17,MAX(0,I19/9.5*17))+MIN(12,MAX(0,N19/6*12))+MIN(11.5,MIN(10,MAX(0,G19/70*10))+MIN(3.75,MAX(0,H19/0.8*3.75)))+MIN(10.25,MAX(0,J19/8*10.25))+MIN(7.5,MAX(0,L19/7*7.5))+MIN(7.5,MAX(0,Q19/90*7.5))+MIN(6.25,MAX(0,P19/78*6.25))-MIN(8,MAX(0,(MAX(0,O19-2)/2)*8))-MIN(8,MAX(0,IF(M19&lt;=1.5,0,IF(M19&lt;=2.5,(M19-1.5)*4,4+(M19-2.5)*8))))-MIN(5,MAX(0,(MAX(0,S19-5)/3)*5))-MIN(3,MAX(0,(MAX(0,R19-2.9)/0.5)*3)))*T19-MAX(0,(W19-22)*3.5))-60)*5,(IF(ISNUMBER(X19),12*EXP(-0.0179*((INT(X19)-1)*32+ROUND(MOD(X19,1)*100,0)-1)),IF(LOWER(X19)="UDFA",0.3,0))+IF(C19&gt;=76,8,IF(C19&gt;=74,6,IF(C19&gt;=73,3,IF(C19&gt;=72,0,IF(C19&gt;=71,-4,-8)))))+(MIN(25.5,MAX(0,K19/0.45*25.5))+MIN(17,MAX(0,I19/9.5*17))+MIN(12,MAX(0,N19/6*12))+MIN(11.5,MIN(10,MAX(0,G19/70*10))+MIN(3.75,MAX(0,H19/0.8*3.75)))+MIN(10.25,MAX(0,J19/8*10.25))+MIN(7.5,MAX(0,L19/7*7.5))+MIN(7.5,MAX(0,Q19/90*7.5))+MIN(6.25,MAX(0,P19/78*6.25))-MIN(8,MAX(0,(MAX(0,O19-2)/2)*8))-MIN(8,MAX(0,IF(M19&lt;=1.5,0,IF(M19&lt;=2.5,(M19-1.5)*4,4+(M19-2.5)*8))))-MIN(5,MAX(0,(MAX(0,S19-5)/3)*5))-MIN(3,MAX(0,(MAX(0,R19-2.9)/0.5)*3)))*T19-MAX(0,(W19-22)*3.5))))*0.98)+Z19))</f>
        <v>40</v>
      </c>
      <c r="AB19" s="454" t="str">
        <f>IF(AA19=-999,"",IF(AA19&gt;=92,"Franchise QB",IF(AA19&gt;=88,"High-end Starter",IF(AA19&gt;=84,"Developmental Starter",IF(AA19&gt;=71,"Backup / Camp QB",IF(AA19&gt;=58,"Deep Stash","Cut"))))))</f>
        <v>Cut</v>
      </c>
      <c r="AC19" s="67" t="s">
        <v>131</v>
      </c>
      <c r="AD19" s="67">
        <v>1.34</v>
      </c>
    </row>
    <row r="20" spans="1:30" s="68" customFormat="1" ht="31.5" customHeight="1" x14ac:dyDescent="0.3">
      <c r="A20" s="91"/>
      <c r="B20" s="70" t="s">
        <v>132</v>
      </c>
      <c r="C20" s="71">
        <v>74</v>
      </c>
      <c r="D20" s="72">
        <v>234</v>
      </c>
      <c r="E20" s="73">
        <v>4.6500000000000004</v>
      </c>
      <c r="F20" s="74">
        <f>ROUND((D20*200)/(E20^4)*(C20/75),2)</f>
        <v>98.77</v>
      </c>
      <c r="G20" s="75">
        <v>41.9</v>
      </c>
      <c r="H20" s="76">
        <v>1.23</v>
      </c>
      <c r="I20" s="99">
        <v>4.6500000000000004</v>
      </c>
      <c r="J20" s="71">
        <v>5.15</v>
      </c>
      <c r="K20" s="71">
        <v>0.13</v>
      </c>
      <c r="L20" s="77">
        <v>3.82</v>
      </c>
      <c r="M20" s="76">
        <v>2.67</v>
      </c>
      <c r="N20" s="76">
        <v>2.5</v>
      </c>
      <c r="O20" s="78">
        <v>2.7</v>
      </c>
      <c r="P20" s="95">
        <v>63.4</v>
      </c>
      <c r="Q20" s="96">
        <v>70.7</v>
      </c>
      <c r="R20" s="79">
        <v>3.15</v>
      </c>
      <c r="S20" s="73">
        <v>7.1</v>
      </c>
      <c r="T20" s="100">
        <v>0.88</v>
      </c>
      <c r="U20" s="81">
        <f>ROUND(MIN(20,MAX(0,K20/0.45*20))+MIN(15,MAX(0,(I20-5)/7*15))+MIN(15,MAX(0,N20/6*15))+MIN(15,MAX(0,G20/80*15))+MIN(15,MAX(0,F20/120*15))+MIN(10,MAX(0,(J20-6)/5*10))+MIN(10,MAX(0,Q20/90*10)),1)</f>
        <v>40.1</v>
      </c>
      <c r="V20" s="82">
        <f>ROUND(MIN(25,MAX(0,L20/10*25))+MIN(25,MAX(0,(1-M20/5)*25))+MIN(20,MAX(0,P20/78*20))+MIN(15,MAX(0,(J20-6)/5*15))+MIN(10,MAX(0,(MAX(0,2.5-O20)/2.5)*10))+IF(ISNUMBER(X20),MAX(0,5-((INT(X20)-1)*32+ROUND(MOD(X20,1)*100,0))*0.02),IF(LOWER(X20)="UDFA",0.5,3)),1)</f>
        <v>38</v>
      </c>
      <c r="W20" s="83">
        <v>24</v>
      </c>
      <c r="X20" s="84" t="s">
        <v>95</v>
      </c>
      <c r="Y20" s="444" t="s">
        <v>133</v>
      </c>
      <c r="Z20" s="452">
        <f>MAX(0,IFERROR(VLOOKUP(Y20,$AC$2:$AD$34,2,FALSE()),0))</f>
        <v>1.22</v>
      </c>
      <c r="AA20" s="455">
        <f>IF(AND(LOWER(X20)="udfa",OR(Y20="N/A",Y20="")),-999,INT(MIN(96.9,(IF((IF(ISNUMBER(X20),12*EXP(-0.0179*((INT(X20)-1)*32+ROUND(MOD(X20,1)*100,0)-1)),IF(LOWER(X20)="UDFA",0.3,0))+IF(C20&gt;=76,8,IF(C20&gt;=74,6,IF(C20&gt;=73,3,IF(C20&gt;=72,0,IF(C20&gt;=71,-4,-8)))))+(MIN(25.5,MAX(0,K20/0.45*25.5))+MIN(17,MAX(0,I20/9.5*17))+MIN(12,MAX(0,N20/6*12))+MIN(11.5,MIN(10,MAX(0,G20/70*10))+MIN(3.75,MAX(0,H20/0.8*3.75)))+MIN(10.25,MAX(0,J20/8*10.25))+MIN(7.5,MAX(0,L20/7*7.5))+MIN(7.5,MAX(0,Q20/90*7.5))+MIN(6.25,MAX(0,P20/78*6.25))-MIN(8,MAX(0,(MAX(0,O20-2)/2)*8))-MIN(8,MAX(0,IF(M20&lt;=1.5,0,IF(M20&lt;=2.5,(M20-1.5)*4,4+(M20-2.5)*8))))-MIN(5,MAX(0,(MAX(0,S20-5)/3)*5))-MIN(3,MAX(0,(MAX(0,R20-2.9)/0.5)*3)))*T20-MAX(0,(W20-22)*3.5))&gt;60,60+SQRT((IF(ISNUMBER(X20),12*EXP(-0.0179*((INT(X20)-1)*32+ROUND(MOD(X20,1)*100,0)-1)),IF(LOWER(X20)="UDFA",0.3,0))+IF(C20&gt;=76,8,IF(C20&gt;=74,6,IF(C20&gt;=73,3,IF(C20&gt;=72,0,IF(C20&gt;=71,-4,-8)))))+(MIN(25.5,MAX(0,K20/0.45*25.5))+MIN(17,MAX(0,I20/9.5*17))+MIN(12,MAX(0,N20/6*12))+MIN(11.5,MIN(10,MAX(0,G20/70*10))+MIN(3.75,MAX(0,H20/0.8*3.75)))+MIN(10.25,MAX(0,J20/8*10.25))+MIN(7.5,MAX(0,L20/7*7.5))+MIN(7.5,MAX(0,Q20/90*7.5))+MIN(6.25,MAX(0,P20/78*6.25))-MIN(8,MAX(0,(MAX(0,O20-2)/2)*8))-MIN(8,MAX(0,IF(M20&lt;=1.5,0,IF(M20&lt;=2.5,(M20-1.5)*4,4+(M20-2.5)*8))))-MIN(5,MAX(0,(MAX(0,S20-5)/3)*5))-MIN(3,MAX(0,(MAX(0,R20-2.9)/0.5)*3)))*T20-MAX(0,(W20-22)*3.5))-60)*5,(IF(ISNUMBER(X20),12*EXP(-0.0179*((INT(X20)-1)*32+ROUND(MOD(X20,1)*100,0)-1)),IF(LOWER(X20)="UDFA",0.3,0))+IF(C20&gt;=76,8,IF(C20&gt;=74,6,IF(C20&gt;=73,3,IF(C20&gt;=72,0,IF(C20&gt;=71,-4,-8)))))+(MIN(25.5,MAX(0,K20/0.45*25.5))+MIN(17,MAX(0,I20/9.5*17))+MIN(12,MAX(0,N20/6*12))+MIN(11.5,MIN(10,MAX(0,G20/70*10))+MIN(3.75,MAX(0,H20/0.8*3.75)))+MIN(10.25,MAX(0,J20/8*10.25))+MIN(7.5,MAX(0,L20/7*7.5))+MIN(7.5,MAX(0,Q20/90*7.5))+MIN(6.25,MAX(0,P20/78*6.25))-MIN(8,MAX(0,(MAX(0,O20-2)/2)*8))-MIN(8,MAX(0,IF(M20&lt;=1.5,0,IF(M20&lt;=2.5,(M20-1.5)*4,4+(M20-2.5)*8))))-MIN(5,MAX(0,(MAX(0,S20-5)/3)*5))-MIN(3,MAX(0,(MAX(0,R20-2.9)/0.5)*3)))*T20-MAX(0,(W20-22)*3.5))))*0.98)+Z20))</f>
        <v>34</v>
      </c>
      <c r="AB20" s="454" t="str">
        <f>IF(AA20=-999,"",IF(AA20&gt;=92,"Franchise QB",IF(AA20&gt;=88,"High-end Starter",IF(AA20&gt;=84,"Developmental Starter",IF(AA20&gt;=71,"Backup / Camp QB",IF(AA20&gt;=58,"Deep Stash","Cut"))))))</f>
        <v>Cut</v>
      </c>
      <c r="AC20" s="67" t="s">
        <v>92</v>
      </c>
      <c r="AD20" s="67">
        <v>2.5499999999999998</v>
      </c>
    </row>
    <row r="21" spans="1:30" s="68" customFormat="1" ht="18.75" customHeight="1" x14ac:dyDescent="0.3">
      <c r="A21" s="52"/>
      <c r="B21" s="70" t="s">
        <v>134</v>
      </c>
      <c r="C21" s="71">
        <v>76</v>
      </c>
      <c r="D21" s="72">
        <v>245</v>
      </c>
      <c r="E21" s="73">
        <v>5.15</v>
      </c>
      <c r="F21" s="74">
        <f>ROUND((D21*200)/(E21^4)*(C21/75),2)</f>
        <v>70.59</v>
      </c>
      <c r="G21" s="75">
        <v>24</v>
      </c>
      <c r="H21" s="76">
        <v>0.42</v>
      </c>
      <c r="I21" s="71">
        <v>8.25</v>
      </c>
      <c r="J21" s="71">
        <v>7.81</v>
      </c>
      <c r="K21" s="71">
        <v>0.25</v>
      </c>
      <c r="L21" s="77">
        <v>9.3000000000000007</v>
      </c>
      <c r="M21" s="76">
        <v>3.1</v>
      </c>
      <c r="N21" s="76">
        <v>4</v>
      </c>
      <c r="O21" s="78">
        <v>3</v>
      </c>
      <c r="P21" s="95">
        <v>62</v>
      </c>
      <c r="Q21" s="71">
        <v>70.5</v>
      </c>
      <c r="R21" s="71">
        <v>2.9</v>
      </c>
      <c r="S21" s="73">
        <v>5</v>
      </c>
      <c r="T21" s="80">
        <v>0.55000000000000004</v>
      </c>
      <c r="U21" s="81">
        <f>ROUND(MIN(20,MAX(0,K21/0.45*20))+MIN(15,MAX(0,(I21-5)/7*15))+MIN(15,MAX(0,N21/6*15))+MIN(15,MAX(0,G21/80*15))+MIN(15,MAX(0,F21/120*15))+MIN(10,MAX(0,(J21-6)/5*10))+MIN(10,MAX(0,Q21/90*10)),1)</f>
        <v>52.9</v>
      </c>
      <c r="V21" s="82">
        <f>ROUND(MIN(25,MAX(0,L21/10*25))+MIN(25,MAX(0,(1-M21/5)*25))+MIN(20,MAX(0,P21/78*20))+MIN(15,MAX(0,(J21-6)/5*15))+MIN(10,MAX(0,(MAX(0,2.5-O21)/2.5)*10))+IF(ISNUMBER(X21),MAX(0,5-((INT(X21)-1)*32+ROUND(MOD(X21,1)*100,0))*0.02),IF(LOWER(X21)="UDFA",0.5,3)),1)</f>
        <v>54.6</v>
      </c>
      <c r="W21" s="83">
        <v>26</v>
      </c>
      <c r="X21" s="84" t="s">
        <v>95</v>
      </c>
      <c r="Y21" s="444" t="s">
        <v>93</v>
      </c>
      <c r="Z21" s="452">
        <f>MAX(0,IFERROR(VLOOKUP(Y21,$AC$2:$AD$34,2,FALSE()),0))</f>
        <v>1.02</v>
      </c>
      <c r="AA21" s="455">
        <f>IF(AND(LOWER(X21)="udfa",OR(Y21="N/A",Y21="")),-999,INT(MIN(96.9,(IF((IF(ISNUMBER(X21),12*EXP(-0.0179*((INT(X21)-1)*32+ROUND(MOD(X21,1)*100,0)-1)),IF(LOWER(X21)="UDFA",0.3,0))+IF(C21&gt;=76,8,IF(C21&gt;=74,6,IF(C21&gt;=73,3,IF(C21&gt;=72,0,IF(C21&gt;=71,-4,-8)))))+(MIN(25.5,MAX(0,K21/0.45*25.5))+MIN(17,MAX(0,I21/9.5*17))+MIN(12,MAX(0,N21/6*12))+MIN(11.5,MIN(10,MAX(0,G21/70*10))+MIN(3.75,MAX(0,H21/0.8*3.75)))+MIN(10.25,MAX(0,J21/8*10.25))+MIN(7.5,MAX(0,L21/7*7.5))+MIN(7.5,MAX(0,Q21/90*7.5))+MIN(6.25,MAX(0,P21/78*6.25))-MIN(8,MAX(0,(MAX(0,O21-2)/2)*8))-MIN(8,MAX(0,IF(M21&lt;=1.5,0,IF(M21&lt;=2.5,(M21-1.5)*4,4+(M21-2.5)*8))))-MIN(5,MAX(0,(MAX(0,S21-5)/3)*5))-MIN(3,MAX(0,(MAX(0,R21-2.9)/0.5)*3)))*T21-MAX(0,(W21-22)*3.5))&gt;60,60+SQRT((IF(ISNUMBER(X21),12*EXP(-0.0179*((INT(X21)-1)*32+ROUND(MOD(X21,1)*100,0)-1)),IF(LOWER(X21)="UDFA",0.3,0))+IF(C21&gt;=76,8,IF(C21&gt;=74,6,IF(C21&gt;=73,3,IF(C21&gt;=72,0,IF(C21&gt;=71,-4,-8)))))+(MIN(25.5,MAX(0,K21/0.45*25.5))+MIN(17,MAX(0,I21/9.5*17))+MIN(12,MAX(0,N21/6*12))+MIN(11.5,MIN(10,MAX(0,G21/70*10))+MIN(3.75,MAX(0,H21/0.8*3.75)))+MIN(10.25,MAX(0,J21/8*10.25))+MIN(7.5,MAX(0,L21/7*7.5))+MIN(7.5,MAX(0,Q21/90*7.5))+MIN(6.25,MAX(0,P21/78*6.25))-MIN(8,MAX(0,(MAX(0,O21-2)/2)*8))-MIN(8,MAX(0,IF(M21&lt;=1.5,0,IF(M21&lt;=2.5,(M21-1.5)*4,4+(M21-2.5)*8))))-MIN(5,MAX(0,(MAX(0,S21-5)/3)*5))-MIN(3,MAX(0,(MAX(0,R21-2.9)/0.5)*3)))*T21-MAX(0,(W21-22)*3.5))-60)*5,(IF(ISNUMBER(X21),12*EXP(-0.0179*((INT(X21)-1)*32+ROUND(MOD(X21,1)*100,0)-1)),IF(LOWER(X21)="UDFA",0.3,0))+IF(C21&gt;=76,8,IF(C21&gt;=74,6,IF(C21&gt;=73,3,IF(C21&gt;=72,0,IF(C21&gt;=71,-4,-8)))))+(MIN(25.5,MAX(0,K21/0.45*25.5))+MIN(17,MAX(0,I21/9.5*17))+MIN(12,MAX(0,N21/6*12))+MIN(11.5,MIN(10,MAX(0,G21/70*10))+MIN(3.75,MAX(0,H21/0.8*3.75)))+MIN(10.25,MAX(0,J21/8*10.25))+MIN(7.5,MAX(0,L21/7*7.5))+MIN(7.5,MAX(0,Q21/90*7.5))+MIN(6.25,MAX(0,P21/78*6.25))-MIN(8,MAX(0,(MAX(0,O21-2)/2)*8))-MIN(8,MAX(0,IF(M21&lt;=1.5,0,IF(M21&lt;=2.5,(M21-1.5)*4,4+(M21-2.5)*8))))-MIN(5,MAX(0,(MAX(0,S21-5)/3)*5))-MIN(3,MAX(0,(MAX(0,R21-2.9)/0.5)*3)))*T21-MAX(0,(W21-22)*3.5))))*0.98)+Z21))</f>
        <v>27</v>
      </c>
      <c r="AB21" s="454" t="str">
        <f>IF(AA21=-999,"",IF(AA21&gt;=92,"Franchise QB",IF(AA21&gt;=88,"High-end Starter",IF(AA21&gt;=84,"Developmental Starter",IF(AA21&gt;=71,"Backup / Camp QB",IF(AA21&gt;=58,"Deep Stash","Cut"))))))</f>
        <v>Cut</v>
      </c>
      <c r="AC21" s="67" t="s">
        <v>89</v>
      </c>
      <c r="AD21" s="67">
        <v>0.5</v>
      </c>
    </row>
    <row r="22" spans="1:30" s="68" customFormat="1" ht="18.75" customHeight="1" thickBot="1" x14ac:dyDescent="0.35">
      <c r="A22" s="91"/>
      <c r="B22" s="70" t="s">
        <v>135</v>
      </c>
      <c r="C22" s="71">
        <v>73</v>
      </c>
      <c r="D22" s="72">
        <v>190</v>
      </c>
      <c r="E22" s="73">
        <v>4.51</v>
      </c>
      <c r="F22" s="101">
        <f>ROUND((D22*200)/(E22^4)*(C22/75),2)</f>
        <v>89.4</v>
      </c>
      <c r="G22" s="75">
        <v>55.11</v>
      </c>
      <c r="H22" s="76">
        <v>0.56000000000000005</v>
      </c>
      <c r="I22" s="71">
        <v>5.83</v>
      </c>
      <c r="J22" s="71">
        <v>5.34</v>
      </c>
      <c r="K22" s="71">
        <v>0.29399999999999998</v>
      </c>
      <c r="L22" s="77">
        <v>4.8499999999999996</v>
      </c>
      <c r="M22" s="76">
        <v>3.4</v>
      </c>
      <c r="N22" s="76">
        <v>5.0979999999999999</v>
      </c>
      <c r="O22" s="78">
        <v>4.2460000000000004</v>
      </c>
      <c r="P22" s="78">
        <v>69.747</v>
      </c>
      <c r="Q22" s="71">
        <v>65.768000000000001</v>
      </c>
      <c r="R22" s="71">
        <v>3.101</v>
      </c>
      <c r="S22" s="73">
        <v>6.4</v>
      </c>
      <c r="T22" s="102">
        <v>1</v>
      </c>
      <c r="U22" s="103">
        <f>ROUND(MIN(20,MAX(0,K22/0.45*20))+MIN(15,MAX(0,(I22-5)/7*15))+MIN(15,MAX(0,N22/6*15))+MIN(15,MAX(0,G22/80*15))+MIN(15,MAX(0,F22/120*15))+MIN(10,MAX(0,(J22-6)/5*10))+MIN(10,MAX(0,Q22/90*10)),1)</f>
        <v>56.4</v>
      </c>
      <c r="V22" s="104">
        <f>ROUND(MIN(25,MAX(0,L22/10*25))+MIN(25,MAX(0,(1-M22/5)*25))+MIN(20,MAX(0,P22/78*20))+MIN(15,MAX(0,(J22-6)/5*15))+MIN(10,MAX(0,(MAX(0,2.5-O22)/2.5)*10))+IF(ISNUMBER(X22),MAX(0,5-((INT(X22)-1)*32+ROUND(MOD(X22,1)*100,0))*0.02),IF(LOWER(X22)="UDFA",0.5,3)),1)</f>
        <v>38.5</v>
      </c>
      <c r="W22" s="83">
        <v>23</v>
      </c>
      <c r="X22" s="105" t="s">
        <v>95</v>
      </c>
      <c r="Y22" s="447" t="s">
        <v>136</v>
      </c>
      <c r="Z22" s="452">
        <f>MAX(0,IFERROR(VLOOKUP(Y22,$AC$2:$AD$34,2,FALSE()),0))</f>
        <v>0</v>
      </c>
      <c r="AA22" s="455">
        <f>IF(AND(LOWER(X22)="udfa",OR(Y22="N/A",Y22="")),-999,INT(MIN(96.9,(IF((IF(ISNUMBER(X22),12*EXP(-0.0179*((INT(X22)-1)*32+ROUND(MOD(X22,1)*100,0)-1)),IF(LOWER(X22)="UDFA",0.3,0))+IF(C22&gt;=76,8,IF(C22&gt;=74,6,IF(C22&gt;=73,3,IF(C22&gt;=72,0,IF(C22&gt;=71,-4,-8)))))+(MIN(25.5,MAX(0,K22/0.45*25.5))+MIN(17,MAX(0,I22/9.5*17))+MIN(12,MAX(0,N22/6*12))+MIN(11.5,MIN(10,MAX(0,G22/70*10))+MIN(3.75,MAX(0,H22/0.8*3.75)))+MIN(10.25,MAX(0,J22/8*10.25))+MIN(7.5,MAX(0,L22/7*7.5))+MIN(7.5,MAX(0,Q22/90*7.5))+MIN(6.25,MAX(0,P22/78*6.25))-MIN(8,MAX(0,(MAX(0,O22-2)/2)*8))-MIN(8,MAX(0,IF(M22&lt;=1.5,0,IF(M22&lt;=2.5,(M22-1.5)*4,4+(M22-2.5)*8))))-MIN(5,MAX(0,(MAX(0,S22-5)/3)*5))-MIN(3,MAX(0,(MAX(0,R22-2.9)/0.5)*3)))*T22-MAX(0,(W22-22)*3.5))&gt;60,60+SQRT((IF(ISNUMBER(X22),12*EXP(-0.0179*((INT(X22)-1)*32+ROUND(MOD(X22,1)*100,0)-1)),IF(LOWER(X22)="UDFA",0.3,0))+IF(C22&gt;=76,8,IF(C22&gt;=74,6,IF(C22&gt;=73,3,IF(C22&gt;=72,0,IF(C22&gt;=71,-4,-8)))))+(MIN(25.5,MAX(0,K22/0.45*25.5))+MIN(17,MAX(0,I22/9.5*17))+MIN(12,MAX(0,N22/6*12))+MIN(11.5,MIN(10,MAX(0,G22/70*10))+MIN(3.75,MAX(0,H22/0.8*3.75)))+MIN(10.25,MAX(0,J22/8*10.25))+MIN(7.5,MAX(0,L22/7*7.5))+MIN(7.5,MAX(0,Q22/90*7.5))+MIN(6.25,MAX(0,P22/78*6.25))-MIN(8,MAX(0,(MAX(0,O22-2)/2)*8))-MIN(8,MAX(0,IF(M22&lt;=1.5,0,IF(M22&lt;=2.5,(M22-1.5)*4,4+(M22-2.5)*8))))-MIN(5,MAX(0,(MAX(0,S22-5)/3)*5))-MIN(3,MAX(0,(MAX(0,R22-2.9)/0.5)*3)))*T22-MAX(0,(W22-22)*3.5))-60)*5,(IF(ISNUMBER(X22),12*EXP(-0.0179*((INT(X22)-1)*32+ROUND(MOD(X22,1)*100,0)-1)),IF(LOWER(X22)="UDFA",0.3,0))+IF(C22&gt;=76,8,IF(C22&gt;=74,6,IF(C22&gt;=73,3,IF(C22&gt;=72,0,IF(C22&gt;=71,-4,-8)))))+(MIN(25.5,MAX(0,K22/0.45*25.5))+MIN(17,MAX(0,I22/9.5*17))+MIN(12,MAX(0,N22/6*12))+MIN(11.5,MIN(10,MAX(0,G22/70*10))+MIN(3.75,MAX(0,H22/0.8*3.75)))+MIN(10.25,MAX(0,J22/8*10.25))+MIN(7.5,MAX(0,L22/7*7.5))+MIN(7.5,MAX(0,Q22/90*7.5))+MIN(6.25,MAX(0,P22/78*6.25))-MIN(8,MAX(0,(MAX(0,O22-2)/2)*8))-MIN(8,MAX(0,IF(M22&lt;=1.5,0,IF(M22&lt;=2.5,(M22-1.5)*4,4+(M22-2.5)*8))))-MIN(5,MAX(0,(MAX(0,S22-5)/3)*5))-MIN(3,MAX(0,(MAX(0,R22-2.9)/0.5)*3)))*T22-MAX(0,(W22-22)*3.5))))*0.98)+Z22))</f>
        <v>-999</v>
      </c>
      <c r="AB22" s="454" t="str">
        <f>IF(AA22=-999,"",IF(AA22&gt;=92,"Franchise QB",IF(AA22&gt;=88,"High-end Starter",IF(AA22&gt;=84,"Developmental Starter",IF(AA22&gt;=71,"Backup / Camp QB",IF(AA22&gt;=58,"Deep Stash","Cut"))))))</f>
        <v/>
      </c>
      <c r="AC22" s="67" t="s">
        <v>133</v>
      </c>
      <c r="AD22" s="67">
        <v>1.22</v>
      </c>
    </row>
    <row r="23" spans="1:30" ht="30.75" customHeight="1" thickBot="1" x14ac:dyDescent="0.3">
      <c r="A23" s="106"/>
      <c r="B23" s="107"/>
      <c r="C23" s="108"/>
      <c r="D23" s="108"/>
      <c r="E23" s="109"/>
      <c r="F23" s="110"/>
      <c r="G23" s="111"/>
      <c r="H23" s="112"/>
      <c r="I23" s="112"/>
      <c r="J23" s="113"/>
      <c r="K23" s="113"/>
      <c r="L23" s="113"/>
      <c r="M23" s="113"/>
      <c r="N23" s="114"/>
      <c r="O23" s="115"/>
      <c r="P23" s="115"/>
      <c r="Q23" s="116"/>
      <c r="R23" s="117"/>
      <c r="S23" s="117"/>
      <c r="T23" s="118"/>
      <c r="U23" s="119"/>
      <c r="V23" s="119"/>
      <c r="W23" s="119"/>
      <c r="X23" s="119"/>
      <c r="Y23" s="119"/>
      <c r="Z23" s="119"/>
      <c r="AA23" s="120"/>
      <c r="AB23" s="120"/>
      <c r="AC23" s="121" t="s">
        <v>137</v>
      </c>
      <c r="AD23" s="121">
        <v>1.3</v>
      </c>
    </row>
    <row r="24" spans="1:30" ht="15.75" customHeight="1" x14ac:dyDescent="0.25">
      <c r="A24" s="115"/>
      <c r="B24" s="115"/>
      <c r="C24" s="115"/>
      <c r="D24" s="122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9"/>
      <c r="V24" s="119"/>
      <c r="W24" s="123"/>
      <c r="X24" s="123"/>
      <c r="Y24" s="123"/>
      <c r="Z24" s="115"/>
      <c r="AA24" s="120"/>
      <c r="AB24" s="120"/>
      <c r="AC24" s="121" t="s">
        <v>114</v>
      </c>
      <c r="AD24" s="121">
        <v>0.71</v>
      </c>
    </row>
    <row r="25" spans="1:30" ht="15.75" customHeight="1" x14ac:dyDescent="0.25">
      <c r="A25" s="115"/>
      <c r="B25" s="115"/>
      <c r="C25" s="115"/>
      <c r="D25" s="122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9"/>
      <c r="V25" s="119"/>
      <c r="W25" s="123"/>
      <c r="X25" s="123"/>
      <c r="Y25" s="123"/>
      <c r="Z25" s="115"/>
      <c r="AA25" s="120"/>
      <c r="AB25" s="120"/>
      <c r="AC25" s="121" t="s">
        <v>138</v>
      </c>
      <c r="AD25" s="121">
        <v>1.02</v>
      </c>
    </row>
    <row r="26" spans="1:30" ht="12.75" customHeight="1" x14ac:dyDescent="0.25">
      <c r="A26" s="115"/>
      <c r="B26" s="115"/>
      <c r="C26" s="115"/>
      <c r="D26" s="122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9"/>
      <c r="V26" s="119"/>
      <c r="W26" s="123"/>
      <c r="X26" s="123"/>
      <c r="Y26" s="123"/>
      <c r="Z26" s="115"/>
      <c r="AA26" s="120"/>
      <c r="AB26" s="120"/>
      <c r="AC26" s="121" t="s">
        <v>139</v>
      </c>
      <c r="AD26" s="121">
        <v>0.28999999999999998</v>
      </c>
    </row>
    <row r="27" spans="1:30" ht="12.75" customHeight="1" x14ac:dyDescent="0.25">
      <c r="A27" s="115"/>
      <c r="B27" s="115"/>
      <c r="C27" s="115"/>
      <c r="D27" s="122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9"/>
      <c r="V27" s="119"/>
      <c r="W27" s="123"/>
      <c r="X27" s="123"/>
      <c r="Y27" s="123"/>
      <c r="Z27" s="115"/>
      <c r="AA27" s="120"/>
      <c r="AB27" s="120"/>
      <c r="AC27" s="121" t="s">
        <v>101</v>
      </c>
      <c r="AD27" s="121">
        <v>0.43</v>
      </c>
    </row>
    <row r="28" spans="1:30" ht="12.75" customHeight="1" x14ac:dyDescent="0.25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22"/>
      <c r="M28" s="115"/>
      <c r="N28" s="115"/>
      <c r="O28" s="115"/>
      <c r="P28" s="115"/>
      <c r="Q28" s="115"/>
      <c r="R28" s="115"/>
      <c r="S28" s="115"/>
      <c r="T28" s="115"/>
      <c r="U28" s="119"/>
      <c r="V28" s="119"/>
      <c r="W28" s="123"/>
      <c r="X28" s="123"/>
      <c r="Y28" s="123"/>
      <c r="Z28" s="115"/>
      <c r="AA28" s="120"/>
      <c r="AB28" s="120"/>
      <c r="AC28" s="121" t="s">
        <v>120</v>
      </c>
      <c r="AD28" s="121">
        <v>1.64</v>
      </c>
    </row>
    <row r="29" spans="1:30" ht="12.75" customHeight="1" x14ac:dyDescent="0.2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22"/>
      <c r="M29" s="115"/>
      <c r="N29" s="115"/>
      <c r="O29" s="115"/>
      <c r="P29" s="115"/>
      <c r="Q29" s="115"/>
      <c r="R29" s="115"/>
      <c r="S29" s="115"/>
      <c r="T29" s="115"/>
      <c r="U29" s="119"/>
      <c r="V29" s="119"/>
      <c r="W29" s="123"/>
      <c r="X29" s="123"/>
      <c r="Y29" s="123"/>
      <c r="Z29" s="115"/>
      <c r="AA29" s="120"/>
      <c r="AB29" s="120"/>
      <c r="AC29" s="121" t="s">
        <v>103</v>
      </c>
      <c r="AD29" s="121">
        <v>1.21</v>
      </c>
    </row>
    <row r="30" spans="1:30" ht="12.75" customHeight="1" x14ac:dyDescent="0.25">
      <c r="A30" s="115"/>
      <c r="B30" s="115"/>
      <c r="C30" s="115"/>
      <c r="D30" s="124"/>
      <c r="E30" s="115"/>
      <c r="F30" s="115"/>
      <c r="G30" s="115"/>
      <c r="H30" s="115"/>
      <c r="I30" s="115"/>
      <c r="J30" s="115"/>
      <c r="K30" s="115"/>
      <c r="L30" s="122"/>
      <c r="M30" s="115"/>
      <c r="N30" s="115"/>
      <c r="O30" s="115"/>
      <c r="P30" s="115"/>
      <c r="Q30" s="115"/>
      <c r="R30" s="115"/>
      <c r="S30" s="115"/>
      <c r="T30" s="115"/>
      <c r="U30" s="119"/>
      <c r="V30" s="119"/>
      <c r="W30" s="123"/>
      <c r="X30" s="123"/>
      <c r="Y30" s="123"/>
      <c r="Z30" s="115"/>
      <c r="AA30" s="120"/>
      <c r="AB30" s="120"/>
      <c r="AC30" s="121" t="s">
        <v>140</v>
      </c>
      <c r="AD30" s="121">
        <v>0.68</v>
      </c>
    </row>
    <row r="31" spans="1:30" ht="12.75" customHeight="1" x14ac:dyDescent="0.2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9"/>
      <c r="V31" s="119"/>
      <c r="W31" s="123"/>
      <c r="X31" s="123"/>
      <c r="Y31" s="123"/>
      <c r="Z31" s="115"/>
      <c r="AA31" s="120"/>
      <c r="AB31" s="120"/>
      <c r="AC31" s="121" t="s">
        <v>141</v>
      </c>
      <c r="AD31" s="121">
        <v>1.54</v>
      </c>
    </row>
    <row r="32" spans="1:30" ht="12.75" customHeight="1" x14ac:dyDescent="0.25">
      <c r="AC32" s="125" t="s">
        <v>126</v>
      </c>
      <c r="AD32" s="125">
        <v>1.45</v>
      </c>
    </row>
    <row r="33" spans="29:30" ht="12.75" customHeight="1" x14ac:dyDescent="0.25">
      <c r="AC33" s="125" t="s">
        <v>142</v>
      </c>
      <c r="AD33" s="125">
        <v>0.21</v>
      </c>
    </row>
    <row r="34" spans="29:30" ht="12.75" customHeight="1" x14ac:dyDescent="0.25">
      <c r="AC34" s="125" t="s">
        <v>143</v>
      </c>
      <c r="AD34" s="125">
        <v>1.66</v>
      </c>
    </row>
    <row r="35" spans="29:30" ht="20.25" customHeight="1" x14ac:dyDescent="0.25"/>
  </sheetData>
  <autoFilter ref="B1:AB1" xr:uid="{00000000-0009-0000-0000-000001000000}">
    <sortState xmlns:xlrd2="http://schemas.microsoft.com/office/spreadsheetml/2017/richdata2" ref="B2:AB34">
      <sortCondition descending="1" ref="AA1"/>
    </sortState>
  </autoFilter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46"/>
  <sheetViews>
    <sheetView topLeftCell="I1" zoomScale="90" zoomScaleNormal="90" workbookViewId="0">
      <selection activeCell="AG7" sqref="AG7"/>
    </sheetView>
  </sheetViews>
  <sheetFormatPr defaultColWidth="8.7109375" defaultRowHeight="18.75" x14ac:dyDescent="0.3"/>
  <cols>
    <col min="1" max="1" width="8" style="14" customWidth="1"/>
    <col min="2" max="2" width="21.5703125" style="14" customWidth="1"/>
    <col min="3" max="4" width="14" style="14" customWidth="1"/>
    <col min="5" max="5" width="18" style="14" customWidth="1"/>
    <col min="6" max="6" width="14" style="14" customWidth="1"/>
    <col min="7" max="7" width="26.28515625" style="14" customWidth="1"/>
    <col min="8" max="8" width="45" style="14" customWidth="1"/>
    <col min="9" max="9" width="4.42578125" style="14" customWidth="1"/>
    <col min="10" max="10" width="49.42578125" style="14" customWidth="1"/>
    <col min="11" max="11" width="9" style="14" customWidth="1"/>
    <col min="12" max="12" width="8.7109375" style="14"/>
    <col min="13" max="13" width="7.5703125" style="14" customWidth="1"/>
    <col min="14" max="14" width="9" style="14" customWidth="1"/>
    <col min="15" max="15" width="9.28515625" style="14" customWidth="1"/>
    <col min="16" max="16" width="7.42578125" style="14" customWidth="1"/>
    <col min="17" max="18" width="8" style="14" customWidth="1"/>
    <col min="19" max="19" width="8.5703125" style="14" customWidth="1"/>
    <col min="20" max="20" width="7.5703125" style="14" customWidth="1"/>
    <col min="21" max="21" width="7.42578125" style="14" customWidth="1"/>
    <col min="22" max="22" width="12.85546875" style="14" customWidth="1"/>
    <col min="23" max="23" width="7" style="14" customWidth="1"/>
    <col min="24" max="24" width="8.5703125" style="14" customWidth="1"/>
    <col min="25" max="25" width="9.7109375" style="14" customWidth="1"/>
    <col min="26" max="26" width="9.28515625" style="14" customWidth="1"/>
    <col min="27" max="27" width="9.7109375" style="14" customWidth="1"/>
    <col min="28" max="28" width="9.140625" style="14" customWidth="1"/>
    <col min="29" max="29" width="9.42578125" style="14" customWidth="1"/>
    <col min="30" max="30" width="9" style="14" customWidth="1"/>
    <col min="31" max="31" width="9.85546875" style="14" customWidth="1"/>
    <col min="32" max="32" width="12.7109375" style="126" customWidth="1"/>
    <col min="33" max="33" width="30.7109375" style="126" customWidth="1"/>
    <col min="34" max="34" width="4.85546875" style="14" customWidth="1"/>
    <col min="35" max="35" width="16.7109375" style="14" customWidth="1"/>
    <col min="36" max="36" width="11.42578125" style="14" customWidth="1"/>
    <col min="37" max="37" width="15.5703125" style="14" customWidth="1"/>
    <col min="38" max="38" width="15.42578125" style="14" customWidth="1"/>
    <col min="39" max="39" width="13.7109375" style="14" customWidth="1"/>
    <col min="40" max="40" width="15.85546875" style="14" customWidth="1"/>
    <col min="41" max="16384" width="8.7109375" style="14"/>
  </cols>
  <sheetData>
    <row r="1" spans="1:58" ht="43.5" customHeight="1" x14ac:dyDescent="0.25">
      <c r="A1" s="13" t="s">
        <v>144</v>
      </c>
      <c r="B1" s="13"/>
      <c r="C1" s="13"/>
      <c r="D1" s="13"/>
      <c r="E1" s="13"/>
      <c r="F1" s="13"/>
      <c r="G1" s="13"/>
      <c r="H1" s="127"/>
      <c r="I1" s="127"/>
      <c r="J1" s="128" t="s">
        <v>145</v>
      </c>
      <c r="K1" s="129" t="s">
        <v>146</v>
      </c>
      <c r="L1" s="129" t="s">
        <v>63</v>
      </c>
      <c r="M1" s="129" t="s">
        <v>147</v>
      </c>
      <c r="N1" s="130" t="s">
        <v>148</v>
      </c>
      <c r="O1" s="131" t="s">
        <v>149</v>
      </c>
      <c r="P1" s="132" t="s">
        <v>150</v>
      </c>
      <c r="Q1" s="129" t="s">
        <v>151</v>
      </c>
      <c r="R1" s="133" t="s">
        <v>152</v>
      </c>
      <c r="S1" s="129" t="s">
        <v>153</v>
      </c>
      <c r="T1" s="129" t="s">
        <v>154</v>
      </c>
      <c r="U1" s="134" t="s">
        <v>155</v>
      </c>
      <c r="V1" s="134" t="s">
        <v>156</v>
      </c>
      <c r="W1" s="134" t="s">
        <v>153</v>
      </c>
      <c r="X1" s="135" t="s">
        <v>157</v>
      </c>
      <c r="Y1" s="136" t="s">
        <v>158</v>
      </c>
      <c r="Z1" s="137" t="s">
        <v>159</v>
      </c>
      <c r="AA1" s="138" t="s">
        <v>80</v>
      </c>
      <c r="AB1" s="139" t="s">
        <v>81</v>
      </c>
      <c r="AC1" s="140" t="s">
        <v>83</v>
      </c>
      <c r="AD1" s="141" t="s">
        <v>84</v>
      </c>
      <c r="AE1" s="142" t="s">
        <v>160</v>
      </c>
      <c r="AF1" s="143" t="s">
        <v>85</v>
      </c>
      <c r="AG1" s="143" t="s">
        <v>86</v>
      </c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</row>
    <row r="2" spans="1:58" ht="42" customHeight="1" x14ac:dyDescent="0.3">
      <c r="A2" s="12" t="s">
        <v>161</v>
      </c>
      <c r="B2" s="12"/>
      <c r="C2" s="12"/>
      <c r="D2" s="12"/>
      <c r="E2" s="12"/>
      <c r="F2" s="12"/>
      <c r="G2" s="12"/>
      <c r="H2" s="127"/>
      <c r="I2" s="127"/>
      <c r="J2" s="144" t="s">
        <v>162</v>
      </c>
      <c r="K2" s="145">
        <v>72</v>
      </c>
      <c r="L2" s="146">
        <v>212</v>
      </c>
      <c r="M2" s="147">
        <f t="shared" ref="M2:M30" si="0">L2/K2^2*703</f>
        <v>28.749228395061728</v>
      </c>
      <c r="N2" s="148">
        <v>4.3600000000000003</v>
      </c>
      <c r="O2" s="149">
        <f>MIN(120, (200 * L2) / (N2 ^ 4))</f>
        <v>117.33292558267316</v>
      </c>
      <c r="P2" s="150">
        <v>8.32</v>
      </c>
      <c r="Q2" s="145">
        <v>1.96</v>
      </c>
      <c r="R2" s="151">
        <v>0</v>
      </c>
      <c r="S2" s="145">
        <v>4.3</v>
      </c>
      <c r="T2" s="152">
        <v>9.85</v>
      </c>
      <c r="U2" s="151">
        <v>0.2606</v>
      </c>
      <c r="V2" s="151">
        <v>0.1053</v>
      </c>
      <c r="W2" s="145">
        <v>4.45</v>
      </c>
      <c r="X2" s="153">
        <v>9.4299999999999995E-2</v>
      </c>
      <c r="Y2" s="154">
        <f t="shared" ref="Y2:Y30" si="1">(IF(AND(M2&gt;=29, M2&lt;=32), 15, 15-ABS(30.5-M2)*3)) + ((O2/110)*12) + (((P2-4)/3.6)*15) + ((Q2/3)*10) + (((S2-2)/1.5)*5) + T2 + 30</f>
        <v>94.597640703294971</v>
      </c>
      <c r="Z2" s="155">
        <v>1</v>
      </c>
      <c r="AA2" s="156">
        <f t="shared" ref="AA2:AA30" si="2">ROUND(MIN(20,(T2/10)*20)+MIN(20,MAX(0,(O2/120)*20))+MIN(20,MAX(0,((P2-4)/4)*20))+MIN(15,MAX(0,((S2-1.5)/3)*15))+MIN(15,MAX(0,(U2/0.35)*15))+MIN(10,MAX(0,(V2/0.25)*10)),1)</f>
        <v>88.6</v>
      </c>
      <c r="AB2" s="157">
        <f t="shared" ref="AB2:AB30" si="3">ROUND(MIN(25,(Q2/3)*25)+MIN(20,MAX(0,(X2/0.2)*20))+MIN(15,MAX(0,(W2/3.5)*15))+IF(ISNUMBER(AC2),MAX(0,40-((INT(AC2)-1)*32+ROUND(MOD(AC2,1)*100,0))*0.18),IF(LOWER(AC2)="udfa",5,25))+MIN(5,MAX(0,((0.02-R2)/0.017)*5)),1)</f>
        <v>85.2</v>
      </c>
      <c r="AC2" s="158">
        <v>1.03</v>
      </c>
      <c r="AD2" s="159" t="s">
        <v>90</v>
      </c>
      <c r="AE2" s="160">
        <f>IF(AD2="","1.00",IFERROR(VLOOKUP(AD2,'RB Model Page'!$A:$F,6,FALSE()),1))</f>
        <v>-2</v>
      </c>
      <c r="AF2" s="161">
        <f t="shared" ref="AF2:AF30" si="4">IF(AND(LOWER(AC2)="udfa",OR(AD2="N/A",AD2="")),-999,ROUND((MIN(99.9,MAX(0,IF(((IF(LOWER(AC2)="udfa",10,100-IF(ISNUMBER(AC2),(INT(AC2)-1)*32+ROUND(MOD(AC2,1)*100,0),256)*0.25-IF(IF(ISNUMBER(AC2),(INT(AC2)-1)*32+ROUND(MOD(AC2,1)*100,0),256)&gt;96,(IF(ISNUMBER(AC2),(INT(AC2)-1)*32+ROUND(MOD(AC2,1)*100,0),256)-96)*0.15,0)-IF(IF(ISNUMBER(AC2),(INT(AC2)-1)*32+ROUND(MOD(AC2,1)*100,0),256)&gt;75,8,0)-IF(IF(ISNUMBER(AC2),(INT(AC2)-1)*32+ROUND(MOD(AC2,1)*100,0),256)&gt;10,10,0)))*IF(LOWER(AC2)="udfa",0.45,0.45-MIN(0.1,(IF(ISNUMBER(AC2),(INT(AC2)-1)*32+ROUND(MOD(AC2,1)*100,0),256)/255)*0.1))+(IF(AND(M2&gt;=29,M2&lt;=32),15,15-ABS(30.5-M2)*3)+(O2/110)*12+T2+30+(MIN(15,MAX(0,((P2-4)/3.6)*15))+((Q2/3)*10)+(((S2-2)/1.5)*5))*Z2)*(1-IF(LOWER(AC2)="udfa",0.45,0.45-MIN(0.1,(IF(ISNUMBER(AC2),(INT(AC2)-1)*32+ROUND(MOD(AC2,1)*100,0),256)/255)*0.1)))+MIN(7,MAX(0,(U2/0.4)*7))*Z2+MIN(3,MAX(0,(V2/0.2)*3))*Z2+MIN(3,MAX(0,((W2-2)/2)*3))*Z2+MIN(4,MAX(0,(X2/0.18)*4))*Z2)&gt;60,60+SQRT(((IF(LOWER(AC2)="udfa",10,100-IF(ISNUMBER(AC2),(INT(AC2)-1)*32+ROUND(MOD(AC2,1)*100,0),256)*0.25-IF(IF(ISNUMBER(AC2),(INT(AC2)-1)*32+ROUND(MOD(AC2,1)*100,0),256)&gt;96,(IF(ISNUMBER(AC2),(INT(AC2)-1)*32+ROUND(MOD(AC2,1)*100,0),256)-96)*0.15,0)-IF(IF(ISNUMBER(AC2),(INT(AC2)-1)*32+ROUND(MOD(AC2,1)*100,0),256)&gt;75,8,0)-IF(IF(ISNUMBER(AC2),(INT(AC2)-1)*32+ROUND(MOD(AC2,1)*100,0),256)&gt;10,10,0)))*IF(LOWER(AC2)="udfa",0.45,0.45-MIN(0.1,(IF(ISNUMBER(AC2),(INT(AC2)-1)*32+ROUND(MOD(AC2,1)*100,0),256)/255)*0.1))+(IF(AND(M2&gt;=29,M2&lt;=32),15,15-ABS(30.5-M2)*3)+(O2/110)*12+T2+30+(MIN(15,MAX(0,((P2-4)/3.6)*15))+((Q2/3)*10)+(((S2-2)/1.5)*5))*Z2)*(1-IF(LOWER(AC2)="udfa",0.45,0.45-MIN(0.1,(IF(ISNUMBER(AC2),(INT(AC2)-1)*32+ROUND(MOD(AC2,1)*100,0),256)/255)*0.1)))+MIN(7,MAX(0,(U2/0.4)*7))*Z2+MIN(3,MAX(0,(V2/0.2)*3))*Z2+MIN(3,MAX(0,((W2-2)/2)*3))*Z2+MIN(4,MAX(0,(X2/0.18)*4))*Z2)-60)*5.5,((IF(LOWER(AC2)="udfa",10,100-IF(ISNUMBER(AC2),(INT(AC2)-1)*32+ROUND(MOD(AC2,1)*100,0),256)*0.25-IF(IF(ISNUMBER(AC2),(INT(AC2)-1)*32+ROUND(MOD(AC2,1)*100,0),256)&gt;96,(IF(ISNUMBER(AC2),(INT(AC2)-1)*32+ROUND(MOD(AC2,1)*100,0),256)-96)*0.15,0)-IF(IF(ISNUMBER(AC2),(INT(AC2)-1)*32+ROUND(MOD(AC2,1)*100,0),256)&gt;75,8,0)-IF(IF(ISNUMBER(AC2),(INT(AC2)-1)*32+ROUND(MOD(AC2,1)*100,0),256)&gt;10,10,0)))*IF(LOWER(AC2)="udfa",0.45,0.45-MIN(0.1,(IF(ISNUMBER(AC2),(INT(AC2)-1)*32+ROUND(MOD(AC2,1)*100,0),256)/255)*0.1))+(IF(AND(M2&gt;=29,M2&lt;=32),15,15-ABS(30.5-M2)*3)+(O2/110)*12+T2+30+(MIN(15,MAX(0,((P2-4)/3.6)*15))+((Q2/3)*10)+(((S2-2)/1.5)*5))*Z2)*(1-IF(LOWER(AC2)="udfa",0.45,0.45-MIN(0.1,(IF(ISNUMBER(AC2),(INT(AC2)-1)*32+ROUND(MOD(AC2,1)*100,0),256)/255)*0.1)))+MIN(7,MAX(0,(U2/0.4)*7))*Z2+MIN(3,MAX(0,(V2/0.2)*3))*Z2+MIN(3,MAX(0,((W2-2)/2)*3))*Z2+MIN(4,MAX(0,(X2/0.18)*4))*Z2)+AB2*0.08)+MAX(0,IFERROR(VALUE(AE2),0)))))/103*100,1))</f>
        <v>94.6</v>
      </c>
      <c r="AG2" s="162" t="str">
        <f t="shared" ref="AG2:AG30" si="5">IF(AF2=-999,"",IF(AF2&gt;=94,"Generational RB",IF(AF2&gt;=86,"Franchise Back",IF(AF2&gt;=77,"Featured Back",IF(AF2&gt;=67,"Flex Starter",IF(AF2&gt;=57,"Handcuff/Upside",IF(AF2&gt;=44,"UDFA")))))))</f>
        <v>Generational RB</v>
      </c>
      <c r="AH2" s="127"/>
      <c r="AI2" s="163" t="s">
        <v>163</v>
      </c>
      <c r="AJ2" s="164" t="s">
        <v>164</v>
      </c>
      <c r="AK2" s="164" t="s">
        <v>165</v>
      </c>
      <c r="AL2" s="164" t="s">
        <v>166</v>
      </c>
      <c r="AM2" s="164" t="s">
        <v>167</v>
      </c>
      <c r="AN2" s="165" t="s">
        <v>168</v>
      </c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</row>
    <row r="3" spans="1:58" ht="43.5" customHeight="1" x14ac:dyDescent="0.3">
      <c r="A3" s="166" t="s">
        <v>84</v>
      </c>
      <c r="B3" s="166" t="s">
        <v>169</v>
      </c>
      <c r="C3" s="166" t="s">
        <v>170</v>
      </c>
      <c r="D3" s="166" t="s">
        <v>171</v>
      </c>
      <c r="E3" s="166" t="s">
        <v>172</v>
      </c>
      <c r="F3" s="166" t="s">
        <v>173</v>
      </c>
      <c r="G3" s="166" t="s">
        <v>174</v>
      </c>
      <c r="H3" s="167"/>
      <c r="I3" s="127"/>
      <c r="J3" s="168" t="s">
        <v>175</v>
      </c>
      <c r="K3" s="169">
        <v>71</v>
      </c>
      <c r="L3" s="170">
        <v>203</v>
      </c>
      <c r="M3" s="171">
        <f t="shared" si="0"/>
        <v>28.309660781590956</v>
      </c>
      <c r="N3" s="172">
        <v>4.49</v>
      </c>
      <c r="O3" s="173">
        <f t="shared" ref="O3:O17" si="6">MIN(120,(200*L3)/(N3^4))</f>
        <v>99.894291169697595</v>
      </c>
      <c r="P3" s="174">
        <v>6.47</v>
      </c>
      <c r="Q3" s="169">
        <v>0.36</v>
      </c>
      <c r="R3" s="175">
        <v>1.6400000000000001E-2</v>
      </c>
      <c r="S3" s="169">
        <v>4.4000000000000004</v>
      </c>
      <c r="T3" s="169">
        <v>8.76</v>
      </c>
      <c r="U3" s="175">
        <v>0.13100000000000001</v>
      </c>
      <c r="V3" s="175">
        <v>0.1111</v>
      </c>
      <c r="W3" s="169">
        <v>4.22</v>
      </c>
      <c r="X3" s="176">
        <v>1.8700000000000001E-2</v>
      </c>
      <c r="Y3" s="177">
        <f t="shared" si="1"/>
        <v>77.578208048133817</v>
      </c>
      <c r="Z3" s="155">
        <v>1</v>
      </c>
      <c r="AA3" s="178">
        <f t="shared" si="2"/>
        <v>71.099999999999994</v>
      </c>
      <c r="AB3" s="179">
        <f t="shared" si="3"/>
        <v>55.2</v>
      </c>
      <c r="AC3" s="180">
        <v>1.32</v>
      </c>
      <c r="AD3" s="181" t="s">
        <v>140</v>
      </c>
      <c r="AE3" s="182">
        <f>IF(AD3="","1.00",IFERROR(VLOOKUP(AD3,'RB Model Page'!$A:$F,6,FALSE()),1))</f>
        <v>2</v>
      </c>
      <c r="AF3" s="183">
        <f t="shared" si="4"/>
        <v>87.9</v>
      </c>
      <c r="AG3" s="162" t="str">
        <f t="shared" si="5"/>
        <v>Franchise Back</v>
      </c>
      <c r="AH3" s="127"/>
      <c r="AI3" s="184" t="s">
        <v>176</v>
      </c>
      <c r="AJ3" s="185">
        <v>1</v>
      </c>
      <c r="AK3" s="186">
        <v>0.5</v>
      </c>
      <c r="AL3" s="186">
        <v>0.7</v>
      </c>
      <c r="AM3" s="186">
        <v>0.8</v>
      </c>
      <c r="AN3" s="187">
        <v>0.9</v>
      </c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</row>
    <row r="4" spans="1:58" ht="60" customHeight="1" x14ac:dyDescent="0.3">
      <c r="A4" s="188" t="s">
        <v>177</v>
      </c>
      <c r="B4" s="189" t="s">
        <v>178</v>
      </c>
      <c r="C4" s="189" t="s">
        <v>179</v>
      </c>
      <c r="D4" s="189" t="s">
        <v>180</v>
      </c>
      <c r="E4" s="189" t="s">
        <v>181</v>
      </c>
      <c r="F4" s="189" t="s">
        <v>182</v>
      </c>
      <c r="G4" s="189" t="s">
        <v>183</v>
      </c>
      <c r="H4" s="190" t="s">
        <v>184</v>
      </c>
      <c r="I4" s="127"/>
      <c r="J4" s="168" t="s">
        <v>185</v>
      </c>
      <c r="K4" s="169">
        <v>73</v>
      </c>
      <c r="L4" s="170">
        <v>223</v>
      </c>
      <c r="M4" s="171">
        <f t="shared" si="0"/>
        <v>29.418089697879527</v>
      </c>
      <c r="N4" s="172">
        <v>4.33</v>
      </c>
      <c r="O4" s="173">
        <f t="shared" si="6"/>
        <v>120</v>
      </c>
      <c r="P4" s="174">
        <v>6.48</v>
      </c>
      <c r="Q4" s="169">
        <v>1.58</v>
      </c>
      <c r="R4" s="175">
        <v>1.95E-2</v>
      </c>
      <c r="S4" s="191">
        <v>4.2</v>
      </c>
      <c r="T4" s="169">
        <v>10</v>
      </c>
      <c r="U4" s="175">
        <v>0.215</v>
      </c>
      <c r="V4" s="175">
        <v>8.4099999999999994E-2</v>
      </c>
      <c r="W4" s="169">
        <v>3.49</v>
      </c>
      <c r="X4" s="176">
        <v>8.3599999999999994E-2</v>
      </c>
      <c r="Y4" s="177">
        <f t="shared" si="1"/>
        <v>91.024242424242431</v>
      </c>
      <c r="Z4" s="155">
        <v>1</v>
      </c>
      <c r="AA4" s="178">
        <f t="shared" si="2"/>
        <v>78.5</v>
      </c>
      <c r="AB4" s="179">
        <f t="shared" si="3"/>
        <v>54.7</v>
      </c>
      <c r="AC4" s="192">
        <v>4.26</v>
      </c>
      <c r="AD4" s="193" t="s">
        <v>89</v>
      </c>
      <c r="AE4" s="182">
        <f>IF(AD4="","1.00",IFERROR(VLOOKUP(AD4,'RB Model Page'!$A:$F,6,FALSE()),1))</f>
        <v>-2</v>
      </c>
      <c r="AF4" s="183">
        <f t="shared" si="4"/>
        <v>83.7</v>
      </c>
      <c r="AG4" s="162" t="str">
        <f t="shared" si="5"/>
        <v>Featured Back</v>
      </c>
      <c r="AH4" s="127"/>
      <c r="AI4" s="194" t="s">
        <v>186</v>
      </c>
      <c r="AJ4" s="195">
        <v>2</v>
      </c>
      <c r="AK4" s="196">
        <v>0.25600000000000001</v>
      </c>
      <c r="AL4" s="197">
        <v>0.40899999999999997</v>
      </c>
      <c r="AM4" s="197">
        <v>0.54500000000000004</v>
      </c>
      <c r="AN4" s="198">
        <v>0.77300000000000002</v>
      </c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</row>
    <row r="5" spans="1:58" ht="15.75" customHeight="1" x14ac:dyDescent="0.3">
      <c r="A5" s="199" t="s">
        <v>90</v>
      </c>
      <c r="B5" s="200">
        <v>5.5</v>
      </c>
      <c r="C5" s="201" t="s">
        <v>187</v>
      </c>
      <c r="D5" s="200">
        <v>6</v>
      </c>
      <c r="E5" s="202">
        <v>0</v>
      </c>
      <c r="F5" s="203">
        <f t="shared" ref="F5:F36" si="7">IF((E5*0.5+B5*0.3+D5*0.2)&gt;=8.5,3,IF((E5*0.5+B5*0.3+D5*0.2)&gt;=7,2,IF((E5*0.5+B5*0.3+D5*0.2)&gt;=5.5,1,IF((E5*0.5+B5*0.3+D5*0.2)&gt;=4,0,-2))))</f>
        <v>-2</v>
      </c>
      <c r="G5" s="199" t="str">
        <f t="shared" ref="G5:G36" si="8">IF(F5&gt;=1.25,"Workhorse Situation",IF(F5&gt;=1.15,"Featured Role",IF(F5&gt;=1.05,"Contributor",IF(F5&gt;=1,"Neutral",IF(F5&gt;=0.9,"Competition Risk",IF(F5&gt;=0.8,"Poor Fit","Landmine"))))))</f>
        <v>Landmine</v>
      </c>
      <c r="H5" s="204" t="s">
        <v>188</v>
      </c>
      <c r="I5" s="127"/>
      <c r="J5" s="168" t="s">
        <v>189</v>
      </c>
      <c r="K5" s="169">
        <v>68</v>
      </c>
      <c r="L5" s="170">
        <v>220</v>
      </c>
      <c r="M5" s="171">
        <f t="shared" si="0"/>
        <v>33.447231833910038</v>
      </c>
      <c r="N5" s="205">
        <v>4.5599999999999996</v>
      </c>
      <c r="O5" s="173">
        <f t="shared" si="6"/>
        <v>101.76379767300138</v>
      </c>
      <c r="P5" s="174">
        <v>6.71</v>
      </c>
      <c r="Q5" s="169">
        <v>2.16</v>
      </c>
      <c r="R5" s="175">
        <v>1.5E-3</v>
      </c>
      <c r="S5" s="191">
        <v>3.6</v>
      </c>
      <c r="T5" s="191">
        <v>8</v>
      </c>
      <c r="U5" s="175">
        <v>0.22689999999999999</v>
      </c>
      <c r="V5" s="175">
        <v>6.88E-2</v>
      </c>
      <c r="W5" s="169">
        <v>4</v>
      </c>
      <c r="X5" s="176">
        <v>8.14E-2</v>
      </c>
      <c r="Y5" s="177">
        <f t="shared" si="1"/>
        <v>79.084809698960953</v>
      </c>
      <c r="Z5" s="155">
        <v>1</v>
      </c>
      <c r="AA5" s="178">
        <f t="shared" si="2"/>
        <v>69.5</v>
      </c>
      <c r="AB5" s="179">
        <f t="shared" si="3"/>
        <v>66.7</v>
      </c>
      <c r="AC5" s="180">
        <v>4.12</v>
      </c>
      <c r="AD5" s="181" t="s">
        <v>115</v>
      </c>
      <c r="AE5" s="182">
        <f>IF(AD5="","1.00",IFERROR(VLOOKUP(AD5,'RB Model Page'!$A:$F,6,FALSE()),1))</f>
        <v>0</v>
      </c>
      <c r="AF5" s="183">
        <f t="shared" si="4"/>
        <v>81.099999999999994</v>
      </c>
      <c r="AG5" s="162" t="str">
        <f t="shared" si="5"/>
        <v>Featured Back</v>
      </c>
      <c r="AH5" s="127"/>
      <c r="AI5" s="206" t="s">
        <v>190</v>
      </c>
      <c r="AJ5" s="207">
        <v>3</v>
      </c>
      <c r="AK5" s="208">
        <v>0.154</v>
      </c>
      <c r="AL5" s="208">
        <v>0.192</v>
      </c>
      <c r="AM5" s="209">
        <v>0.308</v>
      </c>
      <c r="AN5" s="210">
        <v>0.5</v>
      </c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</row>
    <row r="6" spans="1:58" ht="15.75" customHeight="1" x14ac:dyDescent="0.3">
      <c r="A6" s="211" t="s">
        <v>93</v>
      </c>
      <c r="B6" s="212">
        <v>7</v>
      </c>
      <c r="C6" s="213" t="s">
        <v>187</v>
      </c>
      <c r="D6" s="212">
        <v>7</v>
      </c>
      <c r="E6" s="214">
        <f>IFERROR(VLOOKUP(A6,Vacancy_Calculator!$A$4:$D$35,2,FALSE()),0)</f>
        <v>4</v>
      </c>
      <c r="F6" s="215">
        <f t="shared" si="7"/>
        <v>1</v>
      </c>
      <c r="G6" s="211" t="str">
        <f t="shared" si="8"/>
        <v>Neutral</v>
      </c>
      <c r="H6" s="204" t="s">
        <v>191</v>
      </c>
      <c r="I6" s="127"/>
      <c r="J6" s="168" t="s">
        <v>192</v>
      </c>
      <c r="K6" s="191">
        <v>69.75</v>
      </c>
      <c r="L6" s="216">
        <v>206</v>
      </c>
      <c r="M6" s="171">
        <f t="shared" si="0"/>
        <v>29.766935162703458</v>
      </c>
      <c r="N6" s="205">
        <v>4.5</v>
      </c>
      <c r="O6" s="173">
        <f t="shared" si="6"/>
        <v>100.4724889498552</v>
      </c>
      <c r="P6" s="174">
        <v>5.75</v>
      </c>
      <c r="Q6" s="169">
        <v>0.32</v>
      </c>
      <c r="R6" s="175">
        <v>1.24E-2</v>
      </c>
      <c r="S6" s="191">
        <v>3.7</v>
      </c>
      <c r="T6" s="191">
        <v>7</v>
      </c>
      <c r="U6" s="175">
        <v>9.1700000000000004E-2</v>
      </c>
      <c r="V6" s="175">
        <v>8.1900000000000001E-2</v>
      </c>
      <c r="W6" s="169">
        <v>3.56</v>
      </c>
      <c r="X6" s="176">
        <v>1.6500000000000001E-2</v>
      </c>
      <c r="Y6" s="177">
        <f t="shared" si="1"/>
        <v>76.985635158166019</v>
      </c>
      <c r="Z6" s="155">
        <v>1</v>
      </c>
      <c r="AA6" s="178">
        <f t="shared" si="2"/>
        <v>57.7</v>
      </c>
      <c r="AB6" s="179">
        <f t="shared" si="3"/>
        <v>45.4</v>
      </c>
      <c r="AC6" s="192">
        <v>3.26</v>
      </c>
      <c r="AD6" s="193" t="s">
        <v>141</v>
      </c>
      <c r="AE6" s="182">
        <f>IF(AD6="","1.00",IFERROR(VLOOKUP(AD6,'RB Model Page'!$A:$F,6,FALSE()),1))</f>
        <v>1</v>
      </c>
      <c r="AF6" s="183">
        <f t="shared" si="4"/>
        <v>80.099999999999994</v>
      </c>
      <c r="AG6" s="162" t="str">
        <f t="shared" si="5"/>
        <v>Featured Back</v>
      </c>
      <c r="AH6" s="127"/>
      <c r="AI6" s="217" t="s">
        <v>193</v>
      </c>
      <c r="AJ6" s="185">
        <v>4</v>
      </c>
      <c r="AK6" s="218">
        <v>0</v>
      </c>
      <c r="AL6" s="218">
        <v>0</v>
      </c>
      <c r="AM6" s="219">
        <v>0.20599999999999999</v>
      </c>
      <c r="AN6" s="187">
        <v>0.32400000000000001</v>
      </c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</row>
    <row r="7" spans="1:58" ht="15.75" customHeight="1" x14ac:dyDescent="0.3">
      <c r="A7" s="211" t="s">
        <v>97</v>
      </c>
      <c r="B7" s="212">
        <v>9</v>
      </c>
      <c r="C7" s="213" t="s">
        <v>187</v>
      </c>
      <c r="D7" s="212">
        <v>9</v>
      </c>
      <c r="E7" s="214">
        <f>IFERROR(VLOOKUP(A7,Vacancy_Calculator!$A$4:$D$35,2,FALSE()),0)</f>
        <v>4</v>
      </c>
      <c r="F7" s="215">
        <f t="shared" si="7"/>
        <v>1</v>
      </c>
      <c r="G7" s="211" t="str">
        <f t="shared" si="8"/>
        <v>Neutral</v>
      </c>
      <c r="H7" s="204" t="s">
        <v>194</v>
      </c>
      <c r="I7" s="127"/>
      <c r="J7" s="168" t="s">
        <v>195</v>
      </c>
      <c r="K7" s="220">
        <v>72</v>
      </c>
      <c r="L7" s="221">
        <v>219</v>
      </c>
      <c r="M7" s="171">
        <f t="shared" si="0"/>
        <v>29.69849537037037</v>
      </c>
      <c r="N7" s="205">
        <v>4.3499999999999996</v>
      </c>
      <c r="O7" s="173">
        <f t="shared" si="6"/>
        <v>120</v>
      </c>
      <c r="P7" s="174">
        <v>7.54</v>
      </c>
      <c r="Q7" s="169">
        <v>2.41</v>
      </c>
      <c r="R7" s="175">
        <v>2.8E-3</v>
      </c>
      <c r="S7" s="191">
        <v>2.9</v>
      </c>
      <c r="T7" s="191">
        <v>7.8</v>
      </c>
      <c r="U7" s="175">
        <v>0.19980000000000001</v>
      </c>
      <c r="V7" s="175">
        <v>7.0499999999999993E-2</v>
      </c>
      <c r="W7" s="169">
        <v>3.19</v>
      </c>
      <c r="X7" s="176">
        <v>0.1074</v>
      </c>
      <c r="Y7" s="177">
        <f t="shared" si="1"/>
        <v>91.674242424242422</v>
      </c>
      <c r="Z7" s="155">
        <v>1</v>
      </c>
      <c r="AA7" s="178">
        <f t="shared" si="2"/>
        <v>71.7</v>
      </c>
      <c r="AB7" s="179">
        <f t="shared" si="3"/>
        <v>59.8</v>
      </c>
      <c r="AC7" s="192">
        <v>5.37</v>
      </c>
      <c r="AD7" s="193" t="s">
        <v>142</v>
      </c>
      <c r="AE7" s="182">
        <f>IF(AD7="","1.00",IFERROR(VLOOKUP(AD7,'RB Model Page'!$A:$F,6,FALSE()),1))</f>
        <v>-2</v>
      </c>
      <c r="AF7" s="183">
        <f t="shared" si="4"/>
        <v>80.099999999999994</v>
      </c>
      <c r="AG7" s="162" t="str">
        <f t="shared" si="5"/>
        <v>Featured Back</v>
      </c>
      <c r="AH7" s="127"/>
      <c r="AI7" s="194" t="s">
        <v>196</v>
      </c>
      <c r="AJ7" s="195">
        <v>5</v>
      </c>
      <c r="AK7" s="222">
        <v>0.04</v>
      </c>
      <c r="AL7" s="222">
        <v>0.08</v>
      </c>
      <c r="AM7" s="222">
        <v>0.08</v>
      </c>
      <c r="AN7" s="223">
        <v>0.12</v>
      </c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</row>
    <row r="8" spans="1:58" ht="15.75" customHeight="1" x14ac:dyDescent="0.3">
      <c r="A8" s="211" t="s">
        <v>99</v>
      </c>
      <c r="B8" s="212">
        <v>7.5</v>
      </c>
      <c r="C8" s="213" t="s">
        <v>197</v>
      </c>
      <c r="D8" s="212">
        <v>5</v>
      </c>
      <c r="E8" s="214">
        <f>IFERROR(VLOOKUP(A8,Vacancy_Calculator!$A$4:$D$35,2,FALSE()),0)</f>
        <v>0</v>
      </c>
      <c r="F8" s="215">
        <f t="shared" si="7"/>
        <v>-2</v>
      </c>
      <c r="G8" s="211" t="str">
        <f t="shared" si="8"/>
        <v>Landmine</v>
      </c>
      <c r="H8" s="204" t="s">
        <v>198</v>
      </c>
      <c r="I8" s="127"/>
      <c r="J8" s="168" t="s">
        <v>199</v>
      </c>
      <c r="K8" s="169">
        <v>70</v>
      </c>
      <c r="L8" s="170">
        <v>202</v>
      </c>
      <c r="M8" s="171">
        <f t="shared" si="0"/>
        <v>28.980816326530615</v>
      </c>
      <c r="N8" s="172">
        <v>4.5599999999999996</v>
      </c>
      <c r="O8" s="173">
        <f t="shared" si="6"/>
        <v>93.437668772483079</v>
      </c>
      <c r="P8" s="174">
        <v>7.35</v>
      </c>
      <c r="Q8" s="169">
        <v>3.4</v>
      </c>
      <c r="R8" s="175">
        <v>6.6E-3</v>
      </c>
      <c r="S8" s="191">
        <v>3.2</v>
      </c>
      <c r="T8" s="169">
        <v>5.85</v>
      </c>
      <c r="U8" s="175">
        <v>0.2646</v>
      </c>
      <c r="V8" s="175">
        <v>5.4300000000000001E-2</v>
      </c>
      <c r="W8" s="169">
        <v>3.05</v>
      </c>
      <c r="X8" s="176">
        <v>0.12609999999999999</v>
      </c>
      <c r="Y8" s="177">
        <f t="shared" si="1"/>
        <v>85.77731587598393</v>
      </c>
      <c r="Z8" s="155">
        <v>1</v>
      </c>
      <c r="AA8" s="178">
        <f t="shared" si="2"/>
        <v>66</v>
      </c>
      <c r="AB8" s="179">
        <f t="shared" si="3"/>
        <v>65.599999999999994</v>
      </c>
      <c r="AC8" s="192">
        <v>5.33</v>
      </c>
      <c r="AD8" s="193" t="s">
        <v>123</v>
      </c>
      <c r="AE8" s="182">
        <f>IF(AD8="","1.00",IFERROR(VLOOKUP(AD8,'RB Model Page'!$A:$F,6,FALSE()),1))</f>
        <v>-2</v>
      </c>
      <c r="AF8" s="183">
        <f t="shared" si="4"/>
        <v>78.8</v>
      </c>
      <c r="AG8" s="162" t="str">
        <f t="shared" si="5"/>
        <v>Featured Back</v>
      </c>
      <c r="AH8" s="127"/>
      <c r="AI8" s="206" t="s">
        <v>200</v>
      </c>
      <c r="AJ8" s="207">
        <v>6</v>
      </c>
      <c r="AK8" s="224">
        <v>0</v>
      </c>
      <c r="AL8" s="224">
        <v>0</v>
      </c>
      <c r="AM8" s="224">
        <v>3.5999999999999997E-2</v>
      </c>
      <c r="AN8" s="225">
        <v>7.0999999999999994E-2</v>
      </c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</row>
    <row r="9" spans="1:58" ht="15.75" customHeight="1" x14ac:dyDescent="0.3">
      <c r="A9" s="211" t="s">
        <v>96</v>
      </c>
      <c r="B9" s="212">
        <v>7</v>
      </c>
      <c r="C9" s="213" t="s">
        <v>201</v>
      </c>
      <c r="D9" s="212">
        <v>6.5</v>
      </c>
      <c r="E9" s="214">
        <f>IFERROR(VLOOKUP(A9,Vacancy_Calculator!$A$4:$D$35,2,FALSE()),0)</f>
        <v>10</v>
      </c>
      <c r="F9" s="215">
        <f t="shared" si="7"/>
        <v>2</v>
      </c>
      <c r="G9" s="211" t="str">
        <f t="shared" si="8"/>
        <v>Workhorse Situation</v>
      </c>
      <c r="H9" s="204" t="s">
        <v>202</v>
      </c>
      <c r="I9" s="127"/>
      <c r="J9" s="168" t="s">
        <v>203</v>
      </c>
      <c r="K9" s="169">
        <v>70</v>
      </c>
      <c r="L9" s="170">
        <v>209</v>
      </c>
      <c r="M9" s="171">
        <f t="shared" si="0"/>
        <v>29.985102040816326</v>
      </c>
      <c r="N9" s="172">
        <v>4.4400000000000004</v>
      </c>
      <c r="O9" s="173">
        <f t="shared" si="6"/>
        <v>107.5584168721133</v>
      </c>
      <c r="P9" s="174">
        <v>17.989999999999998</v>
      </c>
      <c r="Q9" s="169">
        <v>3.46</v>
      </c>
      <c r="R9" s="175">
        <v>0</v>
      </c>
      <c r="S9" s="191">
        <v>3.2</v>
      </c>
      <c r="T9" s="169">
        <v>9.1199999999999992</v>
      </c>
      <c r="U9" s="175">
        <v>0.2319</v>
      </c>
      <c r="V9" s="175">
        <v>0.1056</v>
      </c>
      <c r="W9" s="169">
        <v>3.49</v>
      </c>
      <c r="X9" s="176">
        <v>0.40500000000000003</v>
      </c>
      <c r="Y9" s="177">
        <f t="shared" si="1"/>
        <v>139.6786454769578</v>
      </c>
      <c r="Z9" s="155">
        <v>0.85</v>
      </c>
      <c r="AA9" s="178">
        <f t="shared" si="2"/>
        <v>78.8</v>
      </c>
      <c r="AB9" s="179">
        <f t="shared" si="3"/>
        <v>67.900000000000006</v>
      </c>
      <c r="AC9" s="180">
        <v>7.14</v>
      </c>
      <c r="AD9" s="181" t="s">
        <v>103</v>
      </c>
      <c r="AE9" s="182">
        <f>IF(AD9="","1.00",IFERROR(VLOOKUP(AD9,'RB Model Page'!$A:$F,6,FALSE()),1))</f>
        <v>-2</v>
      </c>
      <c r="AF9" s="183">
        <f t="shared" si="4"/>
        <v>77.599999999999994</v>
      </c>
      <c r="AG9" s="162" t="str">
        <f t="shared" si="5"/>
        <v>Featured Back</v>
      </c>
      <c r="AH9" s="127"/>
      <c r="AI9" s="226"/>
      <c r="AJ9" s="227"/>
      <c r="AK9" s="227"/>
      <c r="AL9" s="227"/>
      <c r="AM9" s="227"/>
      <c r="AN9" s="2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</row>
    <row r="10" spans="1:58" ht="15.75" customHeight="1" x14ac:dyDescent="0.3">
      <c r="A10" s="211" t="s">
        <v>104</v>
      </c>
      <c r="B10" s="212">
        <v>8.5</v>
      </c>
      <c r="C10" s="213" t="s">
        <v>187</v>
      </c>
      <c r="D10" s="212">
        <v>6</v>
      </c>
      <c r="E10" s="214">
        <f>IFERROR(VLOOKUP(A10,Vacancy_Calculator!$A$4:$D$35,2,FALSE()),0)</f>
        <v>2</v>
      </c>
      <c r="F10" s="215">
        <f t="shared" si="7"/>
        <v>0</v>
      </c>
      <c r="G10" s="211" t="str">
        <f t="shared" si="8"/>
        <v>Landmine</v>
      </c>
      <c r="H10" s="204" t="s">
        <v>204</v>
      </c>
      <c r="I10" s="127"/>
      <c r="J10" s="228" t="s">
        <v>205</v>
      </c>
      <c r="K10" s="191">
        <v>74</v>
      </c>
      <c r="L10" s="216">
        <v>225</v>
      </c>
      <c r="M10" s="171">
        <f t="shared" si="0"/>
        <v>28.885135135135133</v>
      </c>
      <c r="N10" s="172">
        <v>4.5</v>
      </c>
      <c r="O10" s="173">
        <f t="shared" si="6"/>
        <v>109.73936899862825</v>
      </c>
      <c r="P10" s="174">
        <v>7.31</v>
      </c>
      <c r="Q10" s="169">
        <v>2.08</v>
      </c>
      <c r="R10" s="175">
        <v>8.8999999999999999E-3</v>
      </c>
      <c r="S10" s="191">
        <v>3.4</v>
      </c>
      <c r="T10" s="169">
        <v>9.42</v>
      </c>
      <c r="U10" s="175">
        <v>0.1239</v>
      </c>
      <c r="V10" s="175">
        <v>5.2299999999999999E-2</v>
      </c>
      <c r="W10" s="169">
        <v>3.3</v>
      </c>
      <c r="X10" s="176">
        <v>8.5699999999999998E-2</v>
      </c>
      <c r="Y10" s="177">
        <f t="shared" si="1"/>
        <v>86.938639599195142</v>
      </c>
      <c r="Z10" s="155">
        <v>1</v>
      </c>
      <c r="AA10" s="178">
        <f t="shared" si="2"/>
        <v>70.599999999999994</v>
      </c>
      <c r="AB10" s="179">
        <f t="shared" si="3"/>
        <v>52</v>
      </c>
      <c r="AC10" s="84">
        <v>6.14</v>
      </c>
      <c r="AD10" s="85" t="s">
        <v>97</v>
      </c>
      <c r="AE10" s="182">
        <f>IF(AD10="","1.00",IFERROR(VLOOKUP(AD10,'RB Model Page'!$A:$F,6,FALSE()),1))</f>
        <v>1</v>
      </c>
      <c r="AF10" s="183">
        <f t="shared" si="4"/>
        <v>76.8</v>
      </c>
      <c r="AG10" s="162" t="str">
        <f t="shared" si="5"/>
        <v>Flex Starter</v>
      </c>
      <c r="AH10" s="127"/>
      <c r="AI10" s="229" t="s">
        <v>206</v>
      </c>
      <c r="AJ10" s="230"/>
      <c r="AK10" s="230"/>
      <c r="AL10" s="230"/>
      <c r="AM10" s="230"/>
      <c r="AN10" s="230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127"/>
    </row>
    <row r="11" spans="1:58" ht="15.75" customHeight="1" x14ac:dyDescent="0.3">
      <c r="A11" s="211" t="s">
        <v>107</v>
      </c>
      <c r="B11" s="212">
        <v>5</v>
      </c>
      <c r="C11" s="213" t="s">
        <v>197</v>
      </c>
      <c r="D11" s="212">
        <v>5.5</v>
      </c>
      <c r="E11" s="214">
        <f>IFERROR(VLOOKUP(A11,Vacancy_Calculator!$A$4:$D$35,2,FALSE()),0)</f>
        <v>0</v>
      </c>
      <c r="F11" s="215">
        <f t="shared" si="7"/>
        <v>-2</v>
      </c>
      <c r="G11" s="211" t="str">
        <f t="shared" si="8"/>
        <v>Landmine</v>
      </c>
      <c r="H11" s="204" t="s">
        <v>207</v>
      </c>
      <c r="I11" s="127"/>
      <c r="J11" s="168" t="s">
        <v>208</v>
      </c>
      <c r="K11" s="169">
        <v>71</v>
      </c>
      <c r="L11" s="170">
        <v>216</v>
      </c>
      <c r="M11" s="171">
        <f t="shared" si="0"/>
        <v>30.122594723269192</v>
      </c>
      <c r="N11" s="205">
        <v>4.5599999999999996</v>
      </c>
      <c r="O11" s="173">
        <f t="shared" si="6"/>
        <v>99.913546806219529</v>
      </c>
      <c r="P11" s="174">
        <v>6.12</v>
      </c>
      <c r="Q11" s="169">
        <v>1.29</v>
      </c>
      <c r="R11" s="175">
        <v>4.3E-3</v>
      </c>
      <c r="S11" s="169">
        <v>2.8</v>
      </c>
      <c r="T11" s="191">
        <v>5.8</v>
      </c>
      <c r="U11" s="175">
        <v>0.2319</v>
      </c>
      <c r="V11" s="175">
        <v>6.9900000000000004E-2</v>
      </c>
      <c r="W11" s="169">
        <v>3.5</v>
      </c>
      <c r="X11" s="176">
        <v>6.59E-2</v>
      </c>
      <c r="Y11" s="177">
        <f t="shared" si="1"/>
        <v>77.499659651587578</v>
      </c>
      <c r="Z11" s="155">
        <v>1</v>
      </c>
      <c r="AA11" s="178">
        <f t="shared" si="2"/>
        <v>58.1</v>
      </c>
      <c r="AB11" s="179">
        <f t="shared" si="3"/>
        <v>43.3</v>
      </c>
      <c r="AC11" s="180">
        <v>6.27</v>
      </c>
      <c r="AD11" s="181" t="s">
        <v>143</v>
      </c>
      <c r="AE11" s="182">
        <f>IF(AD11="","1.00",IFERROR(VLOOKUP(AD11,'RB Model Page'!$A:$F,6,FALSE()),1))</f>
        <v>0</v>
      </c>
      <c r="AF11" s="183">
        <f t="shared" si="4"/>
        <v>70.5</v>
      </c>
      <c r="AG11" s="162" t="str">
        <f t="shared" si="5"/>
        <v>Flex Starter</v>
      </c>
      <c r="AH11" s="127"/>
      <c r="AI11" s="229" t="s">
        <v>209</v>
      </c>
      <c r="AJ11" s="230"/>
      <c r="AK11" s="230"/>
      <c r="AL11" s="230"/>
      <c r="AM11" s="230"/>
      <c r="AN11" s="230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127"/>
    </row>
    <row r="12" spans="1:58" ht="15.75" customHeight="1" x14ac:dyDescent="0.3">
      <c r="A12" s="211" t="s">
        <v>109</v>
      </c>
      <c r="B12" s="212">
        <v>6</v>
      </c>
      <c r="C12" s="213" t="s">
        <v>201</v>
      </c>
      <c r="D12" s="212">
        <v>6</v>
      </c>
      <c r="E12" s="214">
        <f>IFERROR(VLOOKUP(A12,Vacancy_Calculator!$A$4:$D$35,2,FALSE()),0)</f>
        <v>4</v>
      </c>
      <c r="F12" s="215">
        <f t="shared" si="7"/>
        <v>0</v>
      </c>
      <c r="G12" s="211" t="str">
        <f t="shared" si="8"/>
        <v>Landmine</v>
      </c>
      <c r="H12" s="204" t="s">
        <v>210</v>
      </c>
      <c r="I12" s="127"/>
      <c r="J12" s="168" t="s">
        <v>211</v>
      </c>
      <c r="K12" s="169">
        <v>72</v>
      </c>
      <c r="L12" s="170">
        <v>223</v>
      </c>
      <c r="M12" s="171">
        <f t="shared" si="0"/>
        <v>30.240933641975307</v>
      </c>
      <c r="N12" s="172">
        <v>4.49</v>
      </c>
      <c r="O12" s="173">
        <f t="shared" si="6"/>
        <v>109.73609325538209</v>
      </c>
      <c r="P12" s="174">
        <v>6.11</v>
      </c>
      <c r="Q12" s="169">
        <v>1.83</v>
      </c>
      <c r="R12" s="175">
        <v>1.38E-2</v>
      </c>
      <c r="S12" s="191">
        <v>3.9</v>
      </c>
      <c r="T12" s="169">
        <v>9.6300000000000008</v>
      </c>
      <c r="U12" s="175">
        <v>0.2412</v>
      </c>
      <c r="V12" s="175">
        <v>5.9400000000000001E-2</v>
      </c>
      <c r="W12" s="169">
        <v>3.22</v>
      </c>
      <c r="X12" s="176">
        <v>0.1048</v>
      </c>
      <c r="Y12" s="177">
        <f t="shared" si="1"/>
        <v>87.826210173314422</v>
      </c>
      <c r="Z12" s="155">
        <v>1</v>
      </c>
      <c r="AA12" s="178">
        <f t="shared" si="2"/>
        <v>72.8</v>
      </c>
      <c r="AB12" s="179">
        <f t="shared" si="3"/>
        <v>46.4</v>
      </c>
      <c r="AC12" s="192" t="s">
        <v>95</v>
      </c>
      <c r="AD12" s="232" t="s">
        <v>124</v>
      </c>
      <c r="AE12" s="182">
        <f>IF(AD12="","1.00",IFERROR(VLOOKUP(AD12,'RB Model Page'!$A:$F,6,FALSE()),1))</f>
        <v>0</v>
      </c>
      <c r="AF12" s="183">
        <f t="shared" si="4"/>
        <v>65.900000000000006</v>
      </c>
      <c r="AG12" s="162" t="str">
        <f t="shared" si="5"/>
        <v>Handcuff/Upside</v>
      </c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</row>
    <row r="13" spans="1:58" ht="15.75" customHeight="1" x14ac:dyDescent="0.3">
      <c r="A13" s="211" t="s">
        <v>112</v>
      </c>
      <c r="B13" s="212">
        <v>7.5</v>
      </c>
      <c r="C13" s="213" t="s">
        <v>187</v>
      </c>
      <c r="D13" s="212">
        <v>7</v>
      </c>
      <c r="E13" s="214">
        <f>IFERROR(VLOOKUP(A13,Vacancy_Calculator!$A$4:$D$35,2,FALSE()),0)</f>
        <v>2</v>
      </c>
      <c r="F13" s="215">
        <f t="shared" si="7"/>
        <v>0</v>
      </c>
      <c r="G13" s="211" t="str">
        <f t="shared" si="8"/>
        <v>Landmine</v>
      </c>
      <c r="H13" s="204" t="s">
        <v>212</v>
      </c>
      <c r="I13" s="127"/>
      <c r="J13" s="168" t="s">
        <v>213</v>
      </c>
      <c r="K13" s="169">
        <v>66</v>
      </c>
      <c r="L13" s="170">
        <v>174</v>
      </c>
      <c r="M13" s="171">
        <f t="shared" si="0"/>
        <v>28.081267217630856</v>
      </c>
      <c r="N13" s="205">
        <v>4.45</v>
      </c>
      <c r="O13" s="173">
        <f t="shared" si="6"/>
        <v>88.744040876703764</v>
      </c>
      <c r="P13" s="174">
        <v>8.7200000000000006</v>
      </c>
      <c r="Q13" s="169">
        <v>4.1100000000000003</v>
      </c>
      <c r="R13" s="175">
        <v>0</v>
      </c>
      <c r="S13" s="191">
        <v>3.8</v>
      </c>
      <c r="T13" s="191">
        <v>7.5</v>
      </c>
      <c r="U13" s="175">
        <v>0.188</v>
      </c>
      <c r="V13" s="175">
        <v>6.5000000000000002E-2</v>
      </c>
      <c r="W13" s="169">
        <v>2.86</v>
      </c>
      <c r="X13" s="176">
        <v>0.1047</v>
      </c>
      <c r="Y13" s="177">
        <f t="shared" si="1"/>
        <v>94.291636415199662</v>
      </c>
      <c r="Z13" s="155">
        <v>1</v>
      </c>
      <c r="AA13" s="178">
        <f t="shared" si="2"/>
        <v>71.900000000000006</v>
      </c>
      <c r="AB13" s="179">
        <f t="shared" si="3"/>
        <v>57.7</v>
      </c>
      <c r="AC13" s="192" t="s">
        <v>95</v>
      </c>
      <c r="AD13" s="193" t="s">
        <v>99</v>
      </c>
      <c r="AE13" s="182">
        <f>IF(AD13="","1.00",IFERROR(VLOOKUP(AD13,'RB Model Page'!$A:$F,6,FALSE()),1))</f>
        <v>-2</v>
      </c>
      <c r="AF13" s="183">
        <f t="shared" si="4"/>
        <v>65.2</v>
      </c>
      <c r="AG13" s="162" t="str">
        <f t="shared" si="5"/>
        <v>Handcuff/Upside</v>
      </c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</row>
    <row r="14" spans="1:58" ht="15.75" customHeight="1" x14ac:dyDescent="0.3">
      <c r="A14" s="211" t="s">
        <v>115</v>
      </c>
      <c r="B14" s="212">
        <v>9.5</v>
      </c>
      <c r="C14" s="213" t="s">
        <v>187</v>
      </c>
      <c r="D14" s="212">
        <v>7.5</v>
      </c>
      <c r="E14" s="214">
        <f>IFERROR(VLOOKUP(A14,Vacancy_Calculator!$A$4:$D$35,2,FALSE()),0)</f>
        <v>2</v>
      </c>
      <c r="F14" s="215">
        <f t="shared" si="7"/>
        <v>0</v>
      </c>
      <c r="G14" s="211" t="str">
        <f t="shared" si="8"/>
        <v>Landmine</v>
      </c>
      <c r="H14" s="204" t="s">
        <v>214</v>
      </c>
      <c r="I14" s="127"/>
      <c r="J14" s="168" t="s">
        <v>215</v>
      </c>
      <c r="K14" s="191">
        <v>71</v>
      </c>
      <c r="L14" s="216">
        <v>227</v>
      </c>
      <c r="M14" s="171">
        <f t="shared" si="0"/>
        <v>31.656615750843088</v>
      </c>
      <c r="N14" s="205">
        <v>4.58</v>
      </c>
      <c r="O14" s="173">
        <f t="shared" si="6"/>
        <v>103.17962398269448</v>
      </c>
      <c r="P14" s="174">
        <v>7.54</v>
      </c>
      <c r="Q14" s="169">
        <v>2.41</v>
      </c>
      <c r="R14" s="175">
        <v>2.8E-3</v>
      </c>
      <c r="S14" s="191">
        <v>3.6</v>
      </c>
      <c r="T14" s="191">
        <v>6</v>
      </c>
      <c r="U14" s="175">
        <v>0.19980000000000001</v>
      </c>
      <c r="V14" s="175">
        <v>7.0499999999999993E-2</v>
      </c>
      <c r="W14" s="169">
        <v>3.19</v>
      </c>
      <c r="X14" s="176">
        <v>0.1074</v>
      </c>
      <c r="Y14" s="177">
        <f t="shared" si="1"/>
        <v>90.372625646596973</v>
      </c>
      <c r="Z14" s="155">
        <v>0.85</v>
      </c>
      <c r="AA14" s="178">
        <f t="shared" si="2"/>
        <v>68.8</v>
      </c>
      <c r="AB14" s="179">
        <f t="shared" si="3"/>
        <v>54.5</v>
      </c>
      <c r="AC14" s="192" t="s">
        <v>95</v>
      </c>
      <c r="AD14" s="193" t="s">
        <v>101</v>
      </c>
      <c r="AE14" s="182">
        <f>IF(AD14="","1.00",IFERROR(VLOOKUP(AD14,'RB Model Page'!$A:$F,6,FALSE()),1))</f>
        <v>0</v>
      </c>
      <c r="AF14" s="183">
        <f t="shared" si="4"/>
        <v>61.8</v>
      </c>
      <c r="AG14" s="162" t="str">
        <f t="shared" si="5"/>
        <v>Handcuff/Upside</v>
      </c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</row>
    <row r="15" spans="1:58" ht="15.75" customHeight="1" x14ac:dyDescent="0.3">
      <c r="A15" s="211" t="s">
        <v>111</v>
      </c>
      <c r="B15" s="212">
        <v>9</v>
      </c>
      <c r="C15" s="213" t="s">
        <v>201</v>
      </c>
      <c r="D15" s="212">
        <v>8</v>
      </c>
      <c r="E15" s="214">
        <v>5</v>
      </c>
      <c r="F15" s="215">
        <f t="shared" si="7"/>
        <v>1</v>
      </c>
      <c r="G15" s="211" t="str">
        <f t="shared" si="8"/>
        <v>Neutral</v>
      </c>
      <c r="H15" s="204" t="s">
        <v>216</v>
      </c>
      <c r="I15" s="127"/>
      <c r="J15" s="168" t="s">
        <v>217</v>
      </c>
      <c r="K15" s="169">
        <v>70</v>
      </c>
      <c r="L15" s="170">
        <v>188</v>
      </c>
      <c r="M15" s="171">
        <f t="shared" si="0"/>
        <v>26.972244897959186</v>
      </c>
      <c r="N15" s="172">
        <v>4.37</v>
      </c>
      <c r="O15" s="173">
        <f t="shared" si="6"/>
        <v>103.10081469169418</v>
      </c>
      <c r="P15" s="174">
        <v>5.76</v>
      </c>
      <c r="Q15" s="169">
        <v>2.08</v>
      </c>
      <c r="R15" s="175">
        <v>1.09E-2</v>
      </c>
      <c r="S15" s="169">
        <v>2.7</v>
      </c>
      <c r="T15" s="169">
        <v>8.48</v>
      </c>
      <c r="U15" s="175">
        <v>0.24879999999999999</v>
      </c>
      <c r="V15" s="175">
        <v>5.6399999999999999E-2</v>
      </c>
      <c r="W15" s="169">
        <v>3.15</v>
      </c>
      <c r="X15" s="176">
        <v>8.8400000000000006E-2</v>
      </c>
      <c r="Y15" s="177">
        <f t="shared" si="1"/>
        <v>70.744096296607836</v>
      </c>
      <c r="Z15" s="155">
        <v>1</v>
      </c>
      <c r="AA15" s="178">
        <f t="shared" si="2"/>
        <v>61.9</v>
      </c>
      <c r="AB15" s="179">
        <f t="shared" si="3"/>
        <v>46.7</v>
      </c>
      <c r="AC15" s="192">
        <v>6.38</v>
      </c>
      <c r="AD15" s="193" t="s">
        <v>137</v>
      </c>
      <c r="AE15" s="182">
        <f>IF(AD15="","1.00",IFERROR(VLOOKUP(AD15,'RB Model Page'!$A:$F,6,FALSE()),1))</f>
        <v>0</v>
      </c>
      <c r="AF15" s="183">
        <f t="shared" si="4"/>
        <v>61.6</v>
      </c>
      <c r="AG15" s="162" t="str">
        <f t="shared" si="5"/>
        <v>Handcuff/Upside</v>
      </c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</row>
    <row r="16" spans="1:58" ht="15.75" customHeight="1" x14ac:dyDescent="0.3">
      <c r="A16" s="211" t="s">
        <v>118</v>
      </c>
      <c r="B16" s="212">
        <v>7.5</v>
      </c>
      <c r="C16" s="213" t="s">
        <v>187</v>
      </c>
      <c r="D16" s="212">
        <v>6.5</v>
      </c>
      <c r="E16" s="214">
        <f>IFERROR(VLOOKUP(A16,Vacancy_Calculator!$A$4:$D$35,2,FALSE()),0)</f>
        <v>6</v>
      </c>
      <c r="F16" s="215">
        <f t="shared" si="7"/>
        <v>1</v>
      </c>
      <c r="G16" s="211" t="str">
        <f t="shared" si="8"/>
        <v>Neutral</v>
      </c>
      <c r="H16" s="204" t="s">
        <v>218</v>
      </c>
      <c r="I16" s="127"/>
      <c r="J16" s="168" t="s">
        <v>219</v>
      </c>
      <c r="K16" s="191">
        <v>66.75</v>
      </c>
      <c r="L16" s="216">
        <v>190</v>
      </c>
      <c r="M16" s="171">
        <f t="shared" si="0"/>
        <v>29.978257515184673</v>
      </c>
      <c r="N16" s="172">
        <v>4.51</v>
      </c>
      <c r="O16" s="173">
        <f t="shared" si="6"/>
        <v>91.849633793773393</v>
      </c>
      <c r="P16" s="174">
        <v>6.51</v>
      </c>
      <c r="Q16" s="169">
        <v>2.38</v>
      </c>
      <c r="R16" s="175">
        <v>8.3999999999999995E-3</v>
      </c>
      <c r="S16" s="191">
        <v>3.3</v>
      </c>
      <c r="T16" s="191">
        <v>6.5</v>
      </c>
      <c r="U16" s="175">
        <v>0.16930000000000001</v>
      </c>
      <c r="V16" s="175">
        <v>7.1400000000000005E-2</v>
      </c>
      <c r="W16" s="169">
        <v>3.1</v>
      </c>
      <c r="X16" s="176">
        <v>0.1091</v>
      </c>
      <c r="Y16" s="177">
        <f t="shared" si="1"/>
        <v>84.244960050229821</v>
      </c>
      <c r="Z16" s="155">
        <v>1</v>
      </c>
      <c r="AA16" s="178">
        <f t="shared" si="2"/>
        <v>60</v>
      </c>
      <c r="AB16" s="179">
        <f t="shared" si="3"/>
        <v>52.4</v>
      </c>
      <c r="AC16" s="192" t="s">
        <v>95</v>
      </c>
      <c r="AD16" s="193" t="s">
        <v>107</v>
      </c>
      <c r="AE16" s="182">
        <f>IF(AD16="","1.00",IFERROR(VLOOKUP(AD16,'RB Model Page'!$A:$F,6,FALSE()),1))</f>
        <v>-2</v>
      </c>
      <c r="AF16" s="183">
        <f t="shared" si="4"/>
        <v>61.3</v>
      </c>
      <c r="AG16" s="162" t="str">
        <f t="shared" si="5"/>
        <v>Handcuff/Upside</v>
      </c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</row>
    <row r="17" spans="1:58" ht="15.75" customHeight="1" x14ac:dyDescent="0.3">
      <c r="A17" s="211" t="s">
        <v>121</v>
      </c>
      <c r="B17" s="212">
        <v>7</v>
      </c>
      <c r="C17" s="213" t="s">
        <v>197</v>
      </c>
      <c r="D17" s="212">
        <v>6</v>
      </c>
      <c r="E17" s="214">
        <f>IFERROR(VLOOKUP(A17,Vacancy_Calculator!$A$4:$D$35,2,FALSE()),0)</f>
        <v>0</v>
      </c>
      <c r="F17" s="215">
        <f t="shared" si="7"/>
        <v>-2</v>
      </c>
      <c r="G17" s="211" t="str">
        <f t="shared" si="8"/>
        <v>Landmine</v>
      </c>
      <c r="H17" s="204" t="s">
        <v>220</v>
      </c>
      <c r="I17" s="127"/>
      <c r="J17" s="168" t="s">
        <v>221</v>
      </c>
      <c r="K17" s="191">
        <v>71</v>
      </c>
      <c r="L17" s="216">
        <v>208</v>
      </c>
      <c r="M17" s="171">
        <f t="shared" si="0"/>
        <v>29.006943066851814</v>
      </c>
      <c r="N17" s="205">
        <v>4.54</v>
      </c>
      <c r="O17" s="173">
        <f t="shared" si="6"/>
        <v>97.919665042917714</v>
      </c>
      <c r="P17" s="174">
        <v>6.12</v>
      </c>
      <c r="Q17" s="169">
        <v>1.71</v>
      </c>
      <c r="R17" s="175">
        <v>3.0000000000000001E-3</v>
      </c>
      <c r="S17" s="169">
        <v>3.7</v>
      </c>
      <c r="T17" s="191">
        <v>7</v>
      </c>
      <c r="U17" s="175">
        <v>0.1676</v>
      </c>
      <c r="V17" s="175">
        <v>9.2200000000000004E-2</v>
      </c>
      <c r="W17" s="169">
        <v>3.73</v>
      </c>
      <c r="X17" s="176">
        <v>6.5799999999999997E-2</v>
      </c>
      <c r="Y17" s="177">
        <f t="shared" si="1"/>
        <v>82.882145277409208</v>
      </c>
      <c r="Z17" s="155">
        <v>1</v>
      </c>
      <c r="AA17" s="178">
        <f t="shared" si="2"/>
        <v>62.8</v>
      </c>
      <c r="AB17" s="179">
        <f t="shared" si="3"/>
        <v>45.8</v>
      </c>
      <c r="AC17" s="192" t="s">
        <v>95</v>
      </c>
      <c r="AD17" s="181" t="s">
        <v>95</v>
      </c>
      <c r="AE17" s="182">
        <f>IF(AD17="","1.00",IFERROR(VLOOKUP(AD17,'RB Model Page'!$A:$F,6,FALSE()),1))</f>
        <v>1</v>
      </c>
      <c r="AF17" s="183">
        <f t="shared" si="4"/>
        <v>61.3</v>
      </c>
      <c r="AG17" s="162" t="str">
        <f t="shared" si="5"/>
        <v>Handcuff/Upside</v>
      </c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</row>
    <row r="18" spans="1:58" ht="15.75" customHeight="1" x14ac:dyDescent="0.3">
      <c r="A18" s="211" t="s">
        <v>124</v>
      </c>
      <c r="B18" s="212">
        <v>8.5</v>
      </c>
      <c r="C18" s="213" t="s">
        <v>187</v>
      </c>
      <c r="D18" s="212">
        <v>8</v>
      </c>
      <c r="E18" s="214">
        <f>IFERROR(VLOOKUP(A18,Vacancy_Calculator!$A$4:$D$35,2,FALSE()),0)</f>
        <v>2</v>
      </c>
      <c r="F18" s="215">
        <f t="shared" si="7"/>
        <v>0</v>
      </c>
      <c r="G18" s="211" t="str">
        <f t="shared" si="8"/>
        <v>Landmine</v>
      </c>
      <c r="H18" s="204" t="s">
        <v>222</v>
      </c>
      <c r="I18" s="127"/>
      <c r="J18" s="168" t="s">
        <v>223</v>
      </c>
      <c r="K18" s="191">
        <v>69</v>
      </c>
      <c r="L18" s="216">
        <v>205</v>
      </c>
      <c r="M18" s="171">
        <f t="shared" si="0"/>
        <v>30.269901281243438</v>
      </c>
      <c r="N18" s="205">
        <v>4.5</v>
      </c>
      <c r="O18" s="149">
        <f>MIN(120, (200 * L18) / (N18 ^ 4))</f>
        <v>99.984758420972412</v>
      </c>
      <c r="P18" s="233">
        <v>6.2</v>
      </c>
      <c r="Q18" s="191">
        <v>2</v>
      </c>
      <c r="R18" s="234">
        <v>1.4999999999999999E-2</v>
      </c>
      <c r="S18" s="191">
        <v>3.8</v>
      </c>
      <c r="T18" s="191">
        <v>6.5</v>
      </c>
      <c r="U18" s="234">
        <v>0.38</v>
      </c>
      <c r="V18" s="234">
        <v>0.22</v>
      </c>
      <c r="W18" s="191">
        <v>3.4</v>
      </c>
      <c r="X18" s="235">
        <v>0.1</v>
      </c>
      <c r="Y18" s="177">
        <f t="shared" si="1"/>
        <v>84.240761524712141</v>
      </c>
      <c r="Z18" s="155">
        <v>0.7</v>
      </c>
      <c r="AA18" s="178">
        <f t="shared" si="2"/>
        <v>76</v>
      </c>
      <c r="AB18" s="179">
        <f t="shared" si="3"/>
        <v>47.7</v>
      </c>
      <c r="AC18" s="192" t="s">
        <v>95</v>
      </c>
      <c r="AD18" s="193" t="s">
        <v>95</v>
      </c>
      <c r="AE18" s="182">
        <f>IF(AD18="","1.00",IFERROR(VLOOKUP(AD18,'RB Model Page'!$A:$F,6,FALSE()),1))</f>
        <v>1</v>
      </c>
      <c r="AF18" s="183">
        <f t="shared" si="4"/>
        <v>60</v>
      </c>
      <c r="AG18" s="162" t="str">
        <f t="shared" si="5"/>
        <v>Handcuff/Upside</v>
      </c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</row>
    <row r="19" spans="1:58" ht="15.75" customHeight="1" x14ac:dyDescent="0.3">
      <c r="A19" s="211" t="s">
        <v>127</v>
      </c>
      <c r="B19" s="212">
        <v>6</v>
      </c>
      <c r="C19" s="213" t="s">
        <v>187</v>
      </c>
      <c r="D19" s="212">
        <v>7</v>
      </c>
      <c r="E19" s="214">
        <v>8</v>
      </c>
      <c r="F19" s="215">
        <f t="shared" si="7"/>
        <v>2</v>
      </c>
      <c r="G19" s="211" t="str">
        <f t="shared" si="8"/>
        <v>Workhorse Situation</v>
      </c>
      <c r="H19" s="204" t="s">
        <v>224</v>
      </c>
      <c r="I19" s="127"/>
      <c r="J19" s="168" t="s">
        <v>225</v>
      </c>
      <c r="K19" s="191">
        <v>70</v>
      </c>
      <c r="L19" s="216">
        <v>210</v>
      </c>
      <c r="M19" s="171">
        <f t="shared" si="0"/>
        <v>30.12857142857143</v>
      </c>
      <c r="N19" s="205">
        <v>4.55</v>
      </c>
      <c r="O19" s="173">
        <f t="shared" ref="O19:O26" si="9">MIN(120,(200*L19)/(N19^4))</f>
        <v>97.994951830887686</v>
      </c>
      <c r="P19" s="233">
        <v>6.5</v>
      </c>
      <c r="Q19" s="191">
        <v>2</v>
      </c>
      <c r="R19" s="234">
        <v>1.4999999999999999E-2</v>
      </c>
      <c r="S19" s="191">
        <v>3.6</v>
      </c>
      <c r="T19" s="191">
        <v>6</v>
      </c>
      <c r="U19" s="234">
        <v>0.38</v>
      </c>
      <c r="V19" s="234">
        <v>0.22</v>
      </c>
      <c r="W19" s="191">
        <v>3.2</v>
      </c>
      <c r="X19" s="235">
        <v>0.1</v>
      </c>
      <c r="Y19" s="177">
        <f t="shared" si="1"/>
        <v>84.107025048218048</v>
      </c>
      <c r="Z19" s="155">
        <v>0.7</v>
      </c>
      <c r="AA19" s="178">
        <f t="shared" si="2"/>
        <v>75.099999999999994</v>
      </c>
      <c r="AB19" s="179">
        <f t="shared" si="3"/>
        <v>46.9</v>
      </c>
      <c r="AC19" s="192" t="s">
        <v>95</v>
      </c>
      <c r="AD19" s="232" t="s">
        <v>124</v>
      </c>
      <c r="AE19" s="182">
        <f>IF(AD19="","1.00",IFERROR(VLOOKUP(AD19,'RB Model Page'!$A:$F,6,FALSE()),1))</f>
        <v>0</v>
      </c>
      <c r="AF19" s="183">
        <f t="shared" si="4"/>
        <v>58.6</v>
      </c>
      <c r="AG19" s="162" t="str">
        <f t="shared" si="5"/>
        <v>Handcuff/Upside</v>
      </c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</row>
    <row r="20" spans="1:58" ht="15.75" customHeight="1" x14ac:dyDescent="0.3">
      <c r="A20" s="211" t="s">
        <v>123</v>
      </c>
      <c r="B20" s="212">
        <v>7</v>
      </c>
      <c r="C20" s="213" t="s">
        <v>187</v>
      </c>
      <c r="D20" s="212">
        <v>5.5</v>
      </c>
      <c r="E20" s="214">
        <v>0</v>
      </c>
      <c r="F20" s="215">
        <f t="shared" si="7"/>
        <v>-2</v>
      </c>
      <c r="G20" s="211" t="str">
        <f t="shared" si="8"/>
        <v>Landmine</v>
      </c>
      <c r="H20" s="204" t="s">
        <v>226</v>
      </c>
      <c r="I20" s="127"/>
      <c r="J20" s="228" t="s">
        <v>227</v>
      </c>
      <c r="K20" s="169">
        <v>68</v>
      </c>
      <c r="L20" s="170">
        <v>205</v>
      </c>
      <c r="M20" s="171">
        <f t="shared" si="0"/>
        <v>31.166738754325259</v>
      </c>
      <c r="N20" s="205">
        <v>4.49</v>
      </c>
      <c r="O20" s="173">
        <f t="shared" si="9"/>
        <v>100.87847137826604</v>
      </c>
      <c r="P20" s="174">
        <v>6.49</v>
      </c>
      <c r="Q20" s="169">
        <v>1.59</v>
      </c>
      <c r="R20" s="175">
        <v>3.3999999999999998E-3</v>
      </c>
      <c r="S20" s="191">
        <v>3.2</v>
      </c>
      <c r="T20" s="191">
        <v>7.2</v>
      </c>
      <c r="U20" s="175">
        <v>0.1203</v>
      </c>
      <c r="V20" s="175">
        <v>8.5000000000000006E-2</v>
      </c>
      <c r="W20" s="169">
        <v>3.24</v>
      </c>
      <c r="X20" s="176">
        <v>6.3600000000000004E-2</v>
      </c>
      <c r="Y20" s="236">
        <f t="shared" si="1"/>
        <v>82.879924150356302</v>
      </c>
      <c r="Z20" s="155">
        <v>1</v>
      </c>
      <c r="AA20" s="178">
        <f t="shared" si="2"/>
        <v>60.7</v>
      </c>
      <c r="AB20" s="179">
        <f t="shared" si="3"/>
        <v>43.4</v>
      </c>
      <c r="AC20" s="192" t="s">
        <v>95</v>
      </c>
      <c r="AD20" s="85" t="s">
        <v>121</v>
      </c>
      <c r="AE20" s="182">
        <f>IF(AD20="","1.00",IFERROR(VLOOKUP(AD20,'RB Model Page'!$A:$F,6,FALSE()),1))</f>
        <v>-2</v>
      </c>
      <c r="AF20" s="183">
        <f t="shared" si="4"/>
        <v>58.5</v>
      </c>
      <c r="AG20" s="162" t="str">
        <f t="shared" si="5"/>
        <v>Handcuff/Upside</v>
      </c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</row>
    <row r="21" spans="1:58" ht="30.75" customHeight="1" x14ac:dyDescent="0.3">
      <c r="A21" s="211" t="s">
        <v>131</v>
      </c>
      <c r="B21" s="212">
        <v>7.5</v>
      </c>
      <c r="C21" s="213" t="s">
        <v>197</v>
      </c>
      <c r="D21" s="212">
        <v>6.5</v>
      </c>
      <c r="E21" s="214">
        <v>10</v>
      </c>
      <c r="F21" s="215">
        <f t="shared" si="7"/>
        <v>3</v>
      </c>
      <c r="G21" s="211" t="str">
        <f t="shared" si="8"/>
        <v>Workhorse Situation</v>
      </c>
      <c r="H21" s="204" t="s">
        <v>228</v>
      </c>
      <c r="I21" s="127"/>
      <c r="J21" s="168" t="s">
        <v>229</v>
      </c>
      <c r="K21" s="169">
        <v>69</v>
      </c>
      <c r="L21" s="170">
        <v>196</v>
      </c>
      <c r="M21" s="171">
        <f t="shared" si="0"/>
        <v>28.940978785969335</v>
      </c>
      <c r="N21" s="172">
        <v>4.5199999999999996</v>
      </c>
      <c r="O21" s="173">
        <f t="shared" si="9"/>
        <v>93.91443017590457</v>
      </c>
      <c r="P21" s="174">
        <v>7.65</v>
      </c>
      <c r="Q21" s="169">
        <v>1.55</v>
      </c>
      <c r="R21" s="234">
        <v>1.18E-2</v>
      </c>
      <c r="S21" s="191">
        <v>3.8</v>
      </c>
      <c r="T21" s="169">
        <v>7.47</v>
      </c>
      <c r="U21" s="175">
        <v>0.20549999999999999</v>
      </c>
      <c r="V21" s="175">
        <v>0.1053</v>
      </c>
      <c r="W21" s="169">
        <v>4.25</v>
      </c>
      <c r="X21" s="176">
        <v>5.6300000000000003E-2</v>
      </c>
      <c r="Y21" s="177">
        <f t="shared" si="1"/>
        <v>84.41314692255213</v>
      </c>
      <c r="Z21" s="155">
        <v>0.85</v>
      </c>
      <c r="AA21" s="178">
        <f t="shared" si="2"/>
        <v>73.400000000000006</v>
      </c>
      <c r="AB21" s="179">
        <f t="shared" si="3"/>
        <v>41</v>
      </c>
      <c r="AC21" s="192" t="s">
        <v>95</v>
      </c>
      <c r="AD21" s="237" t="s">
        <v>143</v>
      </c>
      <c r="AE21" s="182">
        <f>IF(AD21="","1.00",IFERROR(VLOOKUP(AD21,'RB Model Page'!$A:$F,6,FALSE()),1))</f>
        <v>0</v>
      </c>
      <c r="AF21" s="183">
        <f t="shared" si="4"/>
        <v>58.2</v>
      </c>
      <c r="AG21" s="162" t="str">
        <f t="shared" si="5"/>
        <v>Handcuff/Upside</v>
      </c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</row>
    <row r="22" spans="1:58" ht="15.75" customHeight="1" x14ac:dyDescent="0.3">
      <c r="A22" s="211" t="s">
        <v>92</v>
      </c>
      <c r="B22" s="212">
        <v>8</v>
      </c>
      <c r="C22" s="213" t="s">
        <v>201</v>
      </c>
      <c r="D22" s="212">
        <v>8.5</v>
      </c>
      <c r="E22" s="214">
        <f>IFERROR(VLOOKUP(A22,Vacancy_Calculator!$A$4:$D$35,2,FALSE()),0)</f>
        <v>0</v>
      </c>
      <c r="F22" s="215">
        <f t="shared" si="7"/>
        <v>0</v>
      </c>
      <c r="G22" s="211" t="str">
        <f t="shared" si="8"/>
        <v>Landmine</v>
      </c>
      <c r="H22" s="204" t="s">
        <v>230</v>
      </c>
      <c r="I22" s="127"/>
      <c r="J22" s="168" t="s">
        <v>231</v>
      </c>
      <c r="K22" s="191">
        <v>70</v>
      </c>
      <c r="L22" s="216">
        <v>208</v>
      </c>
      <c r="M22" s="171">
        <f t="shared" si="0"/>
        <v>29.841632653061225</v>
      </c>
      <c r="N22" s="205">
        <v>4.55</v>
      </c>
      <c r="O22" s="173">
        <f t="shared" si="9"/>
        <v>97.061666575355417</v>
      </c>
      <c r="P22" s="174">
        <v>5.77</v>
      </c>
      <c r="Q22" s="169">
        <v>1.1599999999999999</v>
      </c>
      <c r="R22" s="175">
        <v>5.0000000000000001E-3</v>
      </c>
      <c r="S22" s="191">
        <v>3.6</v>
      </c>
      <c r="T22" s="191">
        <v>6</v>
      </c>
      <c r="U22" s="175">
        <v>0.21240000000000001</v>
      </c>
      <c r="V22" s="175">
        <v>5.96E-2</v>
      </c>
      <c r="W22" s="169">
        <v>3.58</v>
      </c>
      <c r="X22" s="176">
        <v>5.8799999999999998E-2</v>
      </c>
      <c r="Y22" s="177">
        <f t="shared" si="1"/>
        <v>78.16354544458423</v>
      </c>
      <c r="Z22" s="155">
        <v>0.85</v>
      </c>
      <c r="AA22" s="178">
        <f t="shared" si="2"/>
        <v>59</v>
      </c>
      <c r="AB22" s="179">
        <f t="shared" si="3"/>
        <v>40</v>
      </c>
      <c r="AC22" s="192" t="s">
        <v>95</v>
      </c>
      <c r="AD22" s="193" t="s">
        <v>95</v>
      </c>
      <c r="AE22" s="182">
        <f>IF(AD22="","1.00",IFERROR(VLOOKUP(AD22,'RB Model Page'!$A:$F,6,FALSE()),1))</f>
        <v>1</v>
      </c>
      <c r="AF22" s="183">
        <f t="shared" si="4"/>
        <v>55.7</v>
      </c>
      <c r="AG22" s="162" t="str">
        <f t="shared" si="5"/>
        <v>UDFA</v>
      </c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</row>
    <row r="23" spans="1:58" ht="15.75" customHeight="1" x14ac:dyDescent="0.3">
      <c r="A23" s="211" t="s">
        <v>89</v>
      </c>
      <c r="B23" s="212">
        <v>5.5</v>
      </c>
      <c r="C23" s="213" t="s">
        <v>197</v>
      </c>
      <c r="D23" s="212">
        <v>6</v>
      </c>
      <c r="E23" s="214">
        <f>IFERROR(VLOOKUP(A23,Vacancy_Calculator!$A$4:$D$35,2,FALSE()),0)</f>
        <v>2</v>
      </c>
      <c r="F23" s="215">
        <f t="shared" si="7"/>
        <v>-2</v>
      </c>
      <c r="G23" s="211" t="str">
        <f t="shared" si="8"/>
        <v>Landmine</v>
      </c>
      <c r="H23" s="204" t="s">
        <v>232</v>
      </c>
      <c r="I23" s="127"/>
      <c r="J23" s="168" t="s">
        <v>233</v>
      </c>
      <c r="K23" s="238">
        <v>70</v>
      </c>
      <c r="L23" s="239">
        <v>205</v>
      </c>
      <c r="M23" s="171">
        <f t="shared" si="0"/>
        <v>29.41122448979592</v>
      </c>
      <c r="N23" s="205">
        <v>4.5</v>
      </c>
      <c r="O23" s="173">
        <f t="shared" si="9"/>
        <v>99.984758420972412</v>
      </c>
      <c r="P23" s="233">
        <v>5.4</v>
      </c>
      <c r="Q23" s="191">
        <v>1.6</v>
      </c>
      <c r="R23" s="234">
        <v>1.2E-2</v>
      </c>
      <c r="S23" s="191">
        <v>3</v>
      </c>
      <c r="T23" s="191">
        <v>6</v>
      </c>
      <c r="U23" s="234">
        <v>0.22</v>
      </c>
      <c r="V23" s="234">
        <v>0.18</v>
      </c>
      <c r="W23" s="191">
        <v>2.8</v>
      </c>
      <c r="X23" s="235">
        <v>7.0000000000000007E-2</v>
      </c>
      <c r="Y23" s="177">
        <f t="shared" si="1"/>
        <v>76.407428191378813</v>
      </c>
      <c r="Z23" s="155">
        <v>0.85</v>
      </c>
      <c r="AA23" s="178">
        <f t="shared" si="2"/>
        <v>59.8</v>
      </c>
      <c r="AB23" s="179">
        <f t="shared" si="3"/>
        <v>39.700000000000003</v>
      </c>
      <c r="AC23" s="192" t="s">
        <v>95</v>
      </c>
      <c r="AD23" s="181" t="s">
        <v>95</v>
      </c>
      <c r="AE23" s="182">
        <f>IF(AD23="","1.00",IFERROR(VLOOKUP(AD23,'RB Model Page'!$A:$F,6,FALSE()),1))</f>
        <v>1</v>
      </c>
      <c r="AF23" s="183">
        <f t="shared" si="4"/>
        <v>55.7</v>
      </c>
      <c r="AG23" s="162" t="str">
        <f t="shared" si="5"/>
        <v>UDFA</v>
      </c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</row>
    <row r="24" spans="1:58" ht="15.75" customHeight="1" x14ac:dyDescent="0.3">
      <c r="A24" s="211" t="s">
        <v>133</v>
      </c>
      <c r="B24" s="212">
        <v>6.5</v>
      </c>
      <c r="C24" s="213" t="s">
        <v>187</v>
      </c>
      <c r="D24" s="212">
        <v>6</v>
      </c>
      <c r="E24" s="214">
        <f>IFERROR(VLOOKUP(A24,Vacancy_Calculator!$A$4:$D$35,2,FALSE()),0)</f>
        <v>0</v>
      </c>
      <c r="F24" s="215">
        <f t="shared" si="7"/>
        <v>-2</v>
      </c>
      <c r="G24" s="211" t="str">
        <f t="shared" si="8"/>
        <v>Landmine</v>
      </c>
      <c r="H24" s="204" t="s">
        <v>234</v>
      </c>
      <c r="I24" s="127"/>
      <c r="J24" s="168" t="s">
        <v>235</v>
      </c>
      <c r="K24" s="169">
        <v>71</v>
      </c>
      <c r="L24" s="170">
        <v>203</v>
      </c>
      <c r="M24" s="171">
        <f t="shared" si="0"/>
        <v>28.309660781590956</v>
      </c>
      <c r="N24" s="205">
        <v>4.5</v>
      </c>
      <c r="O24" s="173">
        <f t="shared" si="9"/>
        <v>99.009297363206827</v>
      </c>
      <c r="P24" s="174">
        <v>6.59</v>
      </c>
      <c r="Q24" s="169">
        <v>0.75</v>
      </c>
      <c r="R24" s="175">
        <v>9.4999999999999998E-3</v>
      </c>
      <c r="S24" s="169">
        <v>4.4000000000000004</v>
      </c>
      <c r="T24" s="191">
        <v>8</v>
      </c>
      <c r="U24" s="175">
        <v>0.12479999999999999</v>
      </c>
      <c r="V24" s="175">
        <v>7.5800000000000006E-2</v>
      </c>
      <c r="W24" s="169">
        <v>4.4000000000000004</v>
      </c>
      <c r="X24" s="176">
        <v>3.0099999999999998E-2</v>
      </c>
      <c r="Y24" s="177">
        <f t="shared" si="1"/>
        <v>78.521663269243916</v>
      </c>
      <c r="Z24" s="155">
        <v>1</v>
      </c>
      <c r="AA24" s="178">
        <f t="shared" si="2"/>
        <v>68.3</v>
      </c>
      <c r="AB24" s="179">
        <f t="shared" si="3"/>
        <v>32.299999999999997</v>
      </c>
      <c r="AC24" s="192" t="s">
        <v>95</v>
      </c>
      <c r="AD24" s="193" t="s">
        <v>133</v>
      </c>
      <c r="AE24" s="182">
        <f>IF(AD24="","1.00",IFERROR(VLOOKUP(AD24,'RB Model Page'!$A:$F,6,FALSE()),1))</f>
        <v>-2</v>
      </c>
      <c r="AF24" s="183">
        <f t="shared" si="4"/>
        <v>55.6</v>
      </c>
      <c r="AG24" s="162" t="str">
        <f t="shared" si="5"/>
        <v>UDFA</v>
      </c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</row>
    <row r="25" spans="1:58" ht="15.75" customHeight="1" x14ac:dyDescent="0.3">
      <c r="A25" s="211" t="s">
        <v>137</v>
      </c>
      <c r="B25" s="212">
        <v>8.5</v>
      </c>
      <c r="C25" s="213" t="s">
        <v>187</v>
      </c>
      <c r="D25" s="212">
        <v>7.5</v>
      </c>
      <c r="E25" s="214">
        <f>IFERROR(VLOOKUP(A25,Vacancy_Calculator!$A$4:$D$35,2,FALSE()),0)</f>
        <v>2</v>
      </c>
      <c r="F25" s="215">
        <f t="shared" si="7"/>
        <v>0</v>
      </c>
      <c r="G25" s="211" t="str">
        <f t="shared" si="8"/>
        <v>Landmine</v>
      </c>
      <c r="H25" s="204" t="s">
        <v>236</v>
      </c>
      <c r="I25" s="127"/>
      <c r="J25" s="168" t="s">
        <v>237</v>
      </c>
      <c r="K25" s="191">
        <v>70</v>
      </c>
      <c r="L25" s="216">
        <v>214</v>
      </c>
      <c r="M25" s="171">
        <f t="shared" si="0"/>
        <v>30.702448979591839</v>
      </c>
      <c r="N25" s="205">
        <v>4.55</v>
      </c>
      <c r="O25" s="173">
        <f t="shared" si="9"/>
        <v>99.86152234195221</v>
      </c>
      <c r="P25" s="233">
        <v>5.2</v>
      </c>
      <c r="Q25" s="191">
        <v>1.2</v>
      </c>
      <c r="R25" s="234">
        <v>1.2E-2</v>
      </c>
      <c r="S25" s="191">
        <v>2.9</v>
      </c>
      <c r="T25" s="191">
        <v>6</v>
      </c>
      <c r="U25" s="234">
        <v>0.18</v>
      </c>
      <c r="V25" s="234">
        <v>0.16</v>
      </c>
      <c r="W25" s="191">
        <v>2.8</v>
      </c>
      <c r="X25" s="235">
        <v>0.06</v>
      </c>
      <c r="Y25" s="177">
        <f t="shared" si="1"/>
        <v>73.893984255485691</v>
      </c>
      <c r="Z25" s="155">
        <v>1</v>
      </c>
      <c r="AA25" s="178">
        <f t="shared" si="2"/>
        <v>55.8</v>
      </c>
      <c r="AB25" s="179">
        <f t="shared" si="3"/>
        <v>35.4</v>
      </c>
      <c r="AC25" s="192" t="s">
        <v>95</v>
      </c>
      <c r="AD25" s="181" t="s">
        <v>95</v>
      </c>
      <c r="AE25" s="182">
        <f>IF(AD25="","1.00",IFERROR(VLOOKUP(AD25,'RB Model Page'!$A:$F,6,FALSE()),1))</f>
        <v>1</v>
      </c>
      <c r="AF25" s="183">
        <f t="shared" si="4"/>
        <v>55.4</v>
      </c>
      <c r="AG25" s="162" t="str">
        <f t="shared" si="5"/>
        <v>UDFA</v>
      </c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</row>
    <row r="26" spans="1:58" ht="15.75" customHeight="1" x14ac:dyDescent="0.3">
      <c r="A26" s="211" t="s">
        <v>114</v>
      </c>
      <c r="B26" s="212">
        <v>6.5</v>
      </c>
      <c r="C26" s="213" t="s">
        <v>201</v>
      </c>
      <c r="D26" s="212">
        <v>7</v>
      </c>
      <c r="E26" s="214">
        <v>3</v>
      </c>
      <c r="F26" s="215">
        <f t="shared" si="7"/>
        <v>0</v>
      </c>
      <c r="G26" s="211" t="str">
        <f t="shared" si="8"/>
        <v>Landmine</v>
      </c>
      <c r="H26" s="204" t="s">
        <v>238</v>
      </c>
      <c r="I26" s="127"/>
      <c r="J26" s="228" t="s">
        <v>239</v>
      </c>
      <c r="K26" s="191">
        <v>69.75</v>
      </c>
      <c r="L26" s="216">
        <v>208</v>
      </c>
      <c r="M26" s="171">
        <f t="shared" si="0"/>
        <v>30.055934533215144</v>
      </c>
      <c r="N26" s="172">
        <v>4.42</v>
      </c>
      <c r="O26" s="173">
        <f t="shared" si="9"/>
        <v>108.994417126114</v>
      </c>
      <c r="P26" s="174">
        <v>5.23</v>
      </c>
      <c r="Q26" s="169">
        <v>1.46</v>
      </c>
      <c r="R26" s="175">
        <v>6.4000000000000003E-3</v>
      </c>
      <c r="S26" s="191">
        <v>3.1</v>
      </c>
      <c r="T26" s="169">
        <v>7.04</v>
      </c>
      <c r="U26" s="175">
        <v>0.1237</v>
      </c>
      <c r="V26" s="175">
        <v>3.6200000000000003E-2</v>
      </c>
      <c r="W26" s="169">
        <v>2.59</v>
      </c>
      <c r="X26" s="176">
        <v>5.2900000000000003E-2</v>
      </c>
      <c r="Y26" s="177">
        <f t="shared" si="1"/>
        <v>77.588633383454862</v>
      </c>
      <c r="Z26" s="155">
        <v>1</v>
      </c>
      <c r="AA26" s="178">
        <f t="shared" si="2"/>
        <v>53.1</v>
      </c>
      <c r="AB26" s="179">
        <f t="shared" si="3"/>
        <v>32.6</v>
      </c>
      <c r="AC26" s="240">
        <v>7.53</v>
      </c>
      <c r="AD26" s="181" t="s">
        <v>114</v>
      </c>
      <c r="AE26" s="182">
        <f>IF(AD26="","1.00",IFERROR(VLOOKUP(AD26,'RB Model Page'!$A:$F,6,FALSE()),1))</f>
        <v>0</v>
      </c>
      <c r="AF26" s="183">
        <f t="shared" si="4"/>
        <v>55.3</v>
      </c>
      <c r="AG26" s="162" t="str">
        <f t="shared" si="5"/>
        <v>UDFA</v>
      </c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</row>
    <row r="27" spans="1:58" ht="15.75" customHeight="1" x14ac:dyDescent="0.3">
      <c r="A27" s="211" t="s">
        <v>138</v>
      </c>
      <c r="B27" s="212">
        <v>7</v>
      </c>
      <c r="C27" s="213" t="s">
        <v>187</v>
      </c>
      <c r="D27" s="212">
        <v>7.5</v>
      </c>
      <c r="E27" s="214">
        <f>IFERROR(VLOOKUP(A27,Vacancy_Calculator!$A$4:$D$35,2,FALSE()),0)</f>
        <v>0</v>
      </c>
      <c r="F27" s="215">
        <f t="shared" si="7"/>
        <v>-2</v>
      </c>
      <c r="G27" s="211" t="str">
        <f t="shared" si="8"/>
        <v>Landmine</v>
      </c>
      <c r="H27" s="204" t="s">
        <v>240</v>
      </c>
      <c r="I27" s="127"/>
      <c r="J27" s="168" t="s">
        <v>241</v>
      </c>
      <c r="K27" s="241">
        <v>69</v>
      </c>
      <c r="L27" s="242">
        <v>222</v>
      </c>
      <c r="M27" s="171">
        <f t="shared" si="0"/>
        <v>32.780088216761186</v>
      </c>
      <c r="N27" s="205">
        <v>4.4800000000000004</v>
      </c>
      <c r="O27" s="149">
        <f>MIN(120, (200 * L27) / (N27 ^ 4))</f>
        <v>110.22266672333791</v>
      </c>
      <c r="P27" s="174">
        <v>5.95</v>
      </c>
      <c r="Q27" s="169">
        <v>0.4</v>
      </c>
      <c r="R27" s="243">
        <v>1.1599999999999999E-2</v>
      </c>
      <c r="S27" s="169">
        <v>4.5</v>
      </c>
      <c r="T27" s="241">
        <v>9.84</v>
      </c>
      <c r="U27" s="175">
        <v>9.7900000000000001E-2</v>
      </c>
      <c r="V27" s="175">
        <v>4.8800000000000003E-2</v>
      </c>
      <c r="W27" s="169">
        <v>4.87</v>
      </c>
      <c r="X27" s="176">
        <v>2.3699999999999999E-2</v>
      </c>
      <c r="Y27" s="177">
        <f t="shared" si="1"/>
        <v>77.815692931656329</v>
      </c>
      <c r="Z27" s="155">
        <v>1</v>
      </c>
      <c r="AA27" s="178">
        <f t="shared" si="2"/>
        <v>68.900000000000006</v>
      </c>
      <c r="AB27" s="179">
        <f t="shared" si="3"/>
        <v>28.2</v>
      </c>
      <c r="AC27" s="192" t="s">
        <v>95</v>
      </c>
      <c r="AD27" s="181" t="s">
        <v>95</v>
      </c>
      <c r="AE27" s="182">
        <f>IF(AD27="","1.00",IFERROR(VLOOKUP(AD27,'RB Model Page'!$A:$F,6,FALSE()),1))</f>
        <v>1</v>
      </c>
      <c r="AF27" s="183">
        <f t="shared" si="4"/>
        <v>54.9</v>
      </c>
      <c r="AG27" s="162" t="str">
        <f t="shared" si="5"/>
        <v>UDFA</v>
      </c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</row>
    <row r="28" spans="1:58" ht="15.75" customHeight="1" x14ac:dyDescent="0.3">
      <c r="A28" s="211" t="s">
        <v>139</v>
      </c>
      <c r="B28" s="212">
        <v>5.5</v>
      </c>
      <c r="C28" s="213" t="s">
        <v>197</v>
      </c>
      <c r="D28" s="212">
        <v>5.5</v>
      </c>
      <c r="E28" s="214">
        <f>IFERROR(VLOOKUP(A28,Vacancy_Calculator!$A$4:$D$35,2,FALSE()),0)</f>
        <v>0</v>
      </c>
      <c r="F28" s="215">
        <f t="shared" si="7"/>
        <v>-2</v>
      </c>
      <c r="G28" s="211" t="str">
        <f t="shared" si="8"/>
        <v>Landmine</v>
      </c>
      <c r="H28" s="204" t="s">
        <v>242</v>
      </c>
      <c r="I28" s="127"/>
      <c r="J28" s="168" t="s">
        <v>243</v>
      </c>
      <c r="K28" s="191">
        <v>69</v>
      </c>
      <c r="L28" s="216">
        <v>190</v>
      </c>
      <c r="M28" s="171">
        <f t="shared" si="0"/>
        <v>28.0550304557866</v>
      </c>
      <c r="N28" s="205">
        <v>4.45</v>
      </c>
      <c r="O28" s="173">
        <f>MIN(120,(200*L28)/(N28^4))</f>
        <v>96.90441245157308</v>
      </c>
      <c r="P28" s="174">
        <v>7.81</v>
      </c>
      <c r="Q28" s="169">
        <v>0.45</v>
      </c>
      <c r="R28" s="234">
        <v>0</v>
      </c>
      <c r="S28" s="191">
        <v>3.4</v>
      </c>
      <c r="T28" s="191">
        <v>6.5</v>
      </c>
      <c r="U28" s="175">
        <v>5.2200000000000003E-2</v>
      </c>
      <c r="V28" s="175">
        <v>0.125</v>
      </c>
      <c r="W28" s="169">
        <v>3.9</v>
      </c>
      <c r="X28" s="235">
        <v>7.0000000000000007E-2</v>
      </c>
      <c r="Y28" s="177">
        <f t="shared" si="1"/>
        <v>76.778148483288987</v>
      </c>
      <c r="Z28" s="155">
        <v>0.85</v>
      </c>
      <c r="AA28" s="178">
        <f t="shared" si="2"/>
        <v>64.900000000000006</v>
      </c>
      <c r="AB28" s="179">
        <f t="shared" si="3"/>
        <v>35.799999999999997</v>
      </c>
      <c r="AC28" s="192" t="s">
        <v>95</v>
      </c>
      <c r="AD28" s="193" t="s">
        <v>95</v>
      </c>
      <c r="AE28" s="182">
        <f>IF(AD28="","1.00",IFERROR(VLOOKUP(AD28,'RB Model Page'!$A:$F,6,FALSE()),1))</f>
        <v>1</v>
      </c>
      <c r="AF28" s="183">
        <f t="shared" si="4"/>
        <v>52.9</v>
      </c>
      <c r="AG28" s="162" t="str">
        <f t="shared" si="5"/>
        <v>UDFA</v>
      </c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</row>
    <row r="29" spans="1:58" ht="15.75" customHeight="1" x14ac:dyDescent="0.3">
      <c r="A29" s="211" t="s">
        <v>101</v>
      </c>
      <c r="B29" s="212">
        <v>6.5</v>
      </c>
      <c r="C29" s="213" t="s">
        <v>197</v>
      </c>
      <c r="D29" s="212">
        <v>6.5</v>
      </c>
      <c r="E29" s="214">
        <f>IFERROR(VLOOKUP(A29,Vacancy_Calculator!$A$4:$D$35,2,FALSE()),0)</f>
        <v>2</v>
      </c>
      <c r="F29" s="215">
        <f t="shared" si="7"/>
        <v>0</v>
      </c>
      <c r="G29" s="211" t="str">
        <f t="shared" si="8"/>
        <v>Landmine</v>
      </c>
      <c r="H29" s="204" t="s">
        <v>244</v>
      </c>
      <c r="I29" s="127"/>
      <c r="J29" s="168" t="s">
        <v>245</v>
      </c>
      <c r="K29" s="244">
        <v>69.599999999999994</v>
      </c>
      <c r="L29" s="245">
        <v>199</v>
      </c>
      <c r="M29" s="171">
        <f t="shared" si="0"/>
        <v>28.879516778966845</v>
      </c>
      <c r="N29" s="246">
        <v>4.66</v>
      </c>
      <c r="O29" s="173">
        <f>MIN(120,(200*L29)/(N29^4))</f>
        <v>84.399408959031206</v>
      </c>
      <c r="P29" s="174">
        <v>6.68</v>
      </c>
      <c r="Q29" s="169">
        <v>0.39</v>
      </c>
      <c r="R29" s="175">
        <v>0</v>
      </c>
      <c r="S29" s="169">
        <v>3.42</v>
      </c>
      <c r="T29" s="241">
        <v>4.8899999999999997</v>
      </c>
      <c r="U29" s="175">
        <v>4.6800000000000001E-2</v>
      </c>
      <c r="V29" s="175">
        <v>8.3299999999999999E-2</v>
      </c>
      <c r="W29" s="169">
        <v>3.36</v>
      </c>
      <c r="X29" s="176">
        <v>1.61E-2</v>
      </c>
      <c r="Y29" s="177">
        <f t="shared" si="1"/>
        <v>71.435758586976675</v>
      </c>
      <c r="Z29" s="155">
        <v>1</v>
      </c>
      <c r="AA29" s="178">
        <f t="shared" si="2"/>
        <v>52.2</v>
      </c>
      <c r="AB29" s="179">
        <f t="shared" si="3"/>
        <v>29.3</v>
      </c>
      <c r="AC29" s="192" t="s">
        <v>95</v>
      </c>
      <c r="AD29" s="232" t="s">
        <v>106</v>
      </c>
      <c r="AE29" s="182">
        <f>IF(AD29="","1.00",IFERROR(VLOOKUP(AD29,'RB Model Page'!$A:$F,6,FALSE()),1))</f>
        <v>1</v>
      </c>
      <c r="AF29" s="183">
        <f t="shared" si="4"/>
        <v>50.1</v>
      </c>
      <c r="AG29" s="162" t="str">
        <f t="shared" si="5"/>
        <v>UDFA</v>
      </c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</row>
    <row r="30" spans="1:58" ht="15.75" customHeight="1" x14ac:dyDescent="0.3">
      <c r="A30" s="211" t="s">
        <v>120</v>
      </c>
      <c r="B30" s="212">
        <v>9.5</v>
      </c>
      <c r="C30" s="213" t="s">
        <v>201</v>
      </c>
      <c r="D30" s="212">
        <v>8</v>
      </c>
      <c r="E30" s="214">
        <f>IFERROR(VLOOKUP(A30,Vacancy_Calculator!$A$4:$D$35,2,FALSE()),0)</f>
        <v>2</v>
      </c>
      <c r="F30" s="215">
        <f t="shared" si="7"/>
        <v>0</v>
      </c>
      <c r="G30" s="211" t="str">
        <f t="shared" si="8"/>
        <v>Landmine</v>
      </c>
      <c r="H30" s="204" t="s">
        <v>246</v>
      </c>
      <c r="I30" s="127"/>
      <c r="J30" s="247" t="s">
        <v>247</v>
      </c>
      <c r="K30" s="248">
        <v>72</v>
      </c>
      <c r="L30" s="249">
        <v>202</v>
      </c>
      <c r="M30" s="250">
        <f t="shared" si="0"/>
        <v>27.393132716049383</v>
      </c>
      <c r="N30" s="251">
        <v>4.46</v>
      </c>
      <c r="O30" s="252">
        <f>MIN(120,(200*L30)/(N30^4))</f>
        <v>102.10380581276934</v>
      </c>
      <c r="P30" s="253">
        <v>5</v>
      </c>
      <c r="Q30" s="254">
        <v>1.53</v>
      </c>
      <c r="R30" s="255">
        <v>0</v>
      </c>
      <c r="S30" s="248">
        <v>3.4</v>
      </c>
      <c r="T30" s="248">
        <v>7</v>
      </c>
      <c r="U30" s="255">
        <v>6.7299999999999999E-2</v>
      </c>
      <c r="V30" s="255">
        <v>5.11E-2</v>
      </c>
      <c r="W30" s="254">
        <v>1.92</v>
      </c>
      <c r="X30" s="256">
        <v>3.95E-2</v>
      </c>
      <c r="Y30" s="257">
        <f t="shared" si="1"/>
        <v>67.75132847923814</v>
      </c>
      <c r="Z30" s="258">
        <v>1</v>
      </c>
      <c r="AA30" s="259">
        <f t="shared" si="2"/>
        <v>50.4</v>
      </c>
      <c r="AB30" s="260">
        <f t="shared" si="3"/>
        <v>34.9</v>
      </c>
      <c r="AC30" s="261" t="s">
        <v>95</v>
      </c>
      <c r="AD30" s="262" t="s">
        <v>123</v>
      </c>
      <c r="AE30" s="263">
        <f>IF(AD30="","1.00",IFERROR(VLOOKUP(AD30,'RB Model Page'!$A:$F,6,FALSE()),1))</f>
        <v>-2</v>
      </c>
      <c r="AF30" s="264">
        <f t="shared" si="4"/>
        <v>46</v>
      </c>
      <c r="AG30" s="162" t="str">
        <f t="shared" si="5"/>
        <v>UDFA</v>
      </c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</row>
    <row r="31" spans="1:58" ht="15.75" customHeight="1" x14ac:dyDescent="0.3">
      <c r="A31" s="211" t="s">
        <v>103</v>
      </c>
      <c r="B31" s="212">
        <v>7.5</v>
      </c>
      <c r="C31" s="213" t="s">
        <v>201</v>
      </c>
      <c r="D31" s="212">
        <v>7</v>
      </c>
      <c r="E31" s="214">
        <f>IFERROR(VLOOKUP(A31,Vacancy_Calculator!$A$4:$D$35,2,FALSE()),0)</f>
        <v>0</v>
      </c>
      <c r="F31" s="215">
        <f t="shared" si="7"/>
        <v>-2</v>
      </c>
      <c r="G31" s="211" t="str">
        <f t="shared" si="8"/>
        <v>Landmine</v>
      </c>
      <c r="H31" s="204" t="s">
        <v>248</v>
      </c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265"/>
      <c r="AG31" s="265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</row>
    <row r="32" spans="1:58" ht="15.75" customHeight="1" x14ac:dyDescent="0.3">
      <c r="A32" s="211" t="s">
        <v>140</v>
      </c>
      <c r="B32" s="212">
        <v>5.5</v>
      </c>
      <c r="C32" s="213" t="s">
        <v>187</v>
      </c>
      <c r="D32" s="212">
        <v>6</v>
      </c>
      <c r="E32" s="214">
        <v>10</v>
      </c>
      <c r="F32" s="215">
        <f t="shared" si="7"/>
        <v>2</v>
      </c>
      <c r="G32" s="211" t="str">
        <f t="shared" si="8"/>
        <v>Workhorse Situation</v>
      </c>
      <c r="H32" s="204" t="s">
        <v>249</v>
      </c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265"/>
      <c r="AG32" s="265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</row>
    <row r="33" spans="1:58" ht="15.75" customHeight="1" x14ac:dyDescent="0.3">
      <c r="A33" s="211" t="s">
        <v>141</v>
      </c>
      <c r="B33" s="212">
        <v>8.5</v>
      </c>
      <c r="C33" s="213" t="s">
        <v>187</v>
      </c>
      <c r="D33" s="212">
        <v>8.5</v>
      </c>
      <c r="E33" s="214">
        <f>IFERROR(VLOOKUP(A33,Vacancy_Calculator!$A$4:$D$35,2,FALSE()),0)</f>
        <v>4</v>
      </c>
      <c r="F33" s="215">
        <f t="shared" si="7"/>
        <v>1</v>
      </c>
      <c r="G33" s="211" t="str">
        <f t="shared" si="8"/>
        <v>Neutral</v>
      </c>
      <c r="H33" s="204" t="s">
        <v>250</v>
      </c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265"/>
      <c r="AG33" s="265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</row>
    <row r="34" spans="1:58" ht="15.75" customHeight="1" x14ac:dyDescent="0.3">
      <c r="A34" s="211" t="s">
        <v>126</v>
      </c>
      <c r="B34" s="212">
        <v>8</v>
      </c>
      <c r="C34" s="213" t="s">
        <v>187</v>
      </c>
      <c r="D34" s="212">
        <v>7.5</v>
      </c>
      <c r="E34" s="214">
        <f>IFERROR(VLOOKUP(A34,Vacancy_Calculator!$A$4:$D$35,2,FALSE()),0)</f>
        <v>0</v>
      </c>
      <c r="F34" s="215">
        <f t="shared" si="7"/>
        <v>-2</v>
      </c>
      <c r="G34" s="211" t="str">
        <f t="shared" si="8"/>
        <v>Landmine</v>
      </c>
      <c r="H34" s="204" t="s">
        <v>251</v>
      </c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265"/>
      <c r="AG34" s="265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</row>
    <row r="35" spans="1:58" ht="15.75" customHeight="1" x14ac:dyDescent="0.3">
      <c r="A35" s="211" t="s">
        <v>142</v>
      </c>
      <c r="B35" s="212">
        <v>6</v>
      </c>
      <c r="C35" s="213" t="s">
        <v>201</v>
      </c>
      <c r="D35" s="212">
        <v>7</v>
      </c>
      <c r="E35" s="214">
        <f>IFERROR(VLOOKUP(A35,Vacancy_Calculator!$A$4:$D$35,2,FALSE()),0)</f>
        <v>0</v>
      </c>
      <c r="F35" s="215">
        <f t="shared" si="7"/>
        <v>-2</v>
      </c>
      <c r="G35" s="211" t="str">
        <f t="shared" si="8"/>
        <v>Landmine</v>
      </c>
      <c r="H35" s="204" t="s">
        <v>252</v>
      </c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265"/>
      <c r="AG35" s="265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</row>
    <row r="36" spans="1:58" ht="15.75" customHeight="1" x14ac:dyDescent="0.3">
      <c r="A36" s="211" t="s">
        <v>143</v>
      </c>
      <c r="B36" s="212">
        <v>8.5</v>
      </c>
      <c r="C36" s="213" t="s">
        <v>187</v>
      </c>
      <c r="D36" s="212">
        <v>7.5</v>
      </c>
      <c r="E36" s="214">
        <f>IFERROR(VLOOKUP(A36,Vacancy_Calculator!$A$4:$D$35,2,FALSE()),0)</f>
        <v>0</v>
      </c>
      <c r="F36" s="215">
        <f t="shared" si="7"/>
        <v>0</v>
      </c>
      <c r="G36" s="211" t="str">
        <f t="shared" si="8"/>
        <v>Landmine</v>
      </c>
      <c r="H36" s="204" t="s">
        <v>253</v>
      </c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265"/>
      <c r="AG36" s="265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</row>
    <row r="37" spans="1:58" ht="15" customHeight="1" x14ac:dyDescent="0.3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265"/>
      <c r="AG37" s="265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</row>
    <row r="38" spans="1:58" ht="15" customHeight="1" x14ac:dyDescent="0.3">
      <c r="A38" s="11" t="s">
        <v>254</v>
      </c>
      <c r="B38" s="11"/>
      <c r="C38" s="11"/>
      <c r="D38" s="11"/>
      <c r="E38" s="11"/>
      <c r="F38" s="11"/>
      <c r="G38" s="11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265"/>
      <c r="AG38" s="265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</row>
    <row r="39" spans="1:58" ht="15" customHeight="1" x14ac:dyDescent="0.3">
      <c r="A39" s="266" t="s">
        <v>255</v>
      </c>
      <c r="B39" s="267" t="s">
        <v>256</v>
      </c>
      <c r="C39" s="10" t="s">
        <v>257</v>
      </c>
      <c r="D39" s="10"/>
      <c r="E39" s="10"/>
      <c r="F39" s="10"/>
      <c r="G39" s="10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265"/>
      <c r="AG39" s="265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</row>
    <row r="40" spans="1:58" ht="15" customHeight="1" x14ac:dyDescent="0.3">
      <c r="A40" s="266" t="s">
        <v>258</v>
      </c>
      <c r="B40" s="268" t="s">
        <v>259</v>
      </c>
      <c r="C40" s="10" t="s">
        <v>260</v>
      </c>
      <c r="D40" s="10"/>
      <c r="E40" s="10"/>
      <c r="F40" s="10"/>
      <c r="G40" s="10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265"/>
      <c r="AG40" s="265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</row>
    <row r="41" spans="1:58" ht="15" customHeight="1" x14ac:dyDescent="0.3">
      <c r="A41" s="266" t="s">
        <v>261</v>
      </c>
      <c r="B41" s="269" t="s">
        <v>262</v>
      </c>
      <c r="C41" s="10" t="s">
        <v>263</v>
      </c>
      <c r="D41" s="10"/>
      <c r="E41" s="10"/>
      <c r="F41" s="10"/>
      <c r="G41" s="10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265"/>
      <c r="AG41" s="265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</row>
    <row r="42" spans="1:58" ht="15" customHeight="1" x14ac:dyDescent="0.3">
      <c r="A42" s="266" t="s">
        <v>264</v>
      </c>
      <c r="B42" s="270" t="s">
        <v>265</v>
      </c>
      <c r="C42" s="10" t="s">
        <v>266</v>
      </c>
      <c r="D42" s="10"/>
      <c r="E42" s="10"/>
      <c r="F42" s="10"/>
      <c r="G42" s="10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265"/>
      <c r="AG42" s="265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</row>
    <row r="43" spans="1:58" ht="15" customHeight="1" x14ac:dyDescent="0.3">
      <c r="A43" s="266" t="s">
        <v>267</v>
      </c>
      <c r="B43" s="271" t="s">
        <v>268</v>
      </c>
      <c r="C43" s="10" t="s">
        <v>269</v>
      </c>
      <c r="D43" s="10"/>
      <c r="E43" s="10"/>
      <c r="F43" s="10"/>
      <c r="G43" s="10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265"/>
      <c r="AG43" s="265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</row>
    <row r="44" spans="1:58" ht="15" customHeight="1" x14ac:dyDescent="0.3">
      <c r="A44" s="266" t="s">
        <v>270</v>
      </c>
      <c r="B44" s="272" t="s">
        <v>271</v>
      </c>
      <c r="C44" s="10" t="s">
        <v>272</v>
      </c>
      <c r="D44" s="10"/>
      <c r="E44" s="10"/>
      <c r="F44" s="10"/>
      <c r="G44" s="10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265"/>
      <c r="AG44" s="265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</row>
    <row r="45" spans="1:58" ht="15" customHeight="1" x14ac:dyDescent="0.3">
      <c r="A45" s="266" t="s">
        <v>273</v>
      </c>
      <c r="B45" s="273" t="s">
        <v>274</v>
      </c>
      <c r="C45" s="10" t="s">
        <v>275</v>
      </c>
      <c r="D45" s="10"/>
      <c r="E45" s="10"/>
      <c r="F45" s="10"/>
      <c r="G45" s="10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265"/>
      <c r="AG45" s="265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</row>
    <row r="46" spans="1:58" ht="15" customHeight="1" x14ac:dyDescent="0.3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265"/>
      <c r="AG46" s="265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</row>
  </sheetData>
  <autoFilter ref="J1:AF1" xr:uid="{00000000-0009-0000-0000-000002000000}"/>
  <mergeCells count="10">
    <mergeCell ref="C41:G41"/>
    <mergeCell ref="C42:G42"/>
    <mergeCell ref="C43:G43"/>
    <mergeCell ref="C44:G44"/>
    <mergeCell ref="C45:G45"/>
    <mergeCell ref="A1:G1"/>
    <mergeCell ref="A2:G2"/>
    <mergeCell ref="A38:G38"/>
    <mergeCell ref="C39:G39"/>
    <mergeCell ref="C40:G40"/>
  </mergeCells>
  <conditionalFormatting sqref="AA2:AA30">
    <cfRule type="expression" dxfId="5" priority="2">
      <formula>$R2="Franchise Back"</formula>
    </cfRule>
    <cfRule type="expression" dxfId="4" priority="3">
      <formula>$R2="Featured Back"</formula>
    </cfRule>
    <cfRule type="expression" dxfId="3" priority="4">
      <formula>$R2="Flex Starter"</formula>
    </cfRule>
    <cfRule type="expression" dxfId="2" priority="5">
      <formula>$R2="Handcuff/Upside"</formula>
    </cfRule>
    <cfRule type="expression" dxfId="1" priority="6">
      <formula>$R2="Stash"</formula>
    </cfRule>
    <cfRule type="expression" dxfId="0" priority="7">
      <formula>$R2="Street Free Agent"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tabSelected="1" topLeftCell="H1" zoomScale="97" zoomScaleNormal="90" workbookViewId="0">
      <selection activeCell="Q2" sqref="Q2"/>
    </sheetView>
  </sheetViews>
  <sheetFormatPr defaultColWidth="8.7109375" defaultRowHeight="18.75" x14ac:dyDescent="0.3"/>
  <cols>
    <col min="1" max="1" width="8" style="37" customWidth="1"/>
    <col min="2" max="2" width="22" style="37" customWidth="1"/>
    <col min="3" max="4" width="14" style="37" customWidth="1"/>
    <col min="5" max="5" width="22" style="37" customWidth="1"/>
    <col min="6" max="6" width="14" style="37" customWidth="1"/>
    <col min="7" max="7" width="38.85546875" style="37" customWidth="1"/>
    <col min="8" max="8" width="5.140625" style="37" customWidth="1"/>
    <col min="9" max="9" width="38.42578125" style="37" customWidth="1"/>
    <col min="10" max="10" width="10" style="37" customWidth="1"/>
    <col min="11" max="11" width="10.140625" style="37" customWidth="1"/>
    <col min="12" max="12" width="10.7109375" style="37" customWidth="1"/>
    <col min="13" max="13" width="8" style="37" customWidth="1"/>
    <col min="14" max="14" width="10.42578125" style="37" customWidth="1"/>
    <col min="15" max="15" width="10.7109375" style="37" customWidth="1"/>
    <col min="16" max="16" width="8.140625" style="37" customWidth="1"/>
    <col min="17" max="18" width="8.7109375" style="37"/>
    <col min="19" max="19" width="12.42578125" style="37" customWidth="1"/>
    <col min="20" max="20" width="12.7109375" style="37" customWidth="1"/>
    <col min="21" max="21" width="12.140625" style="37" customWidth="1"/>
    <col min="22" max="22" width="8.140625" style="37" customWidth="1"/>
    <col min="23" max="23" width="11.5703125" style="37" customWidth="1"/>
    <col min="24" max="24" width="10.140625" style="14" customWidth="1"/>
    <col min="25" max="25" width="11.5703125" style="37" customWidth="1"/>
    <col min="26" max="26" width="9.85546875" style="37" customWidth="1"/>
    <col min="27" max="27" width="9.28515625" style="37" customWidth="1"/>
    <col min="28" max="28" width="7.28515625" style="37" customWidth="1"/>
    <col min="29" max="29" width="14.5703125" style="37" customWidth="1"/>
    <col min="30" max="30" width="16.28515625" style="274" customWidth="1"/>
    <col min="31" max="31" width="27" style="274" customWidth="1"/>
    <col min="32" max="32" width="27.28515625" style="37" customWidth="1"/>
    <col min="33" max="33" width="11.7109375" style="37" customWidth="1"/>
    <col min="34" max="34" width="13.5703125" style="37" customWidth="1"/>
    <col min="35" max="35" width="12.85546875" style="37" customWidth="1"/>
    <col min="36" max="36" width="13.28515625" style="37" customWidth="1"/>
    <col min="37" max="16384" width="8.7109375" style="37"/>
  </cols>
  <sheetData>
    <row r="1" spans="1:38" ht="43.5" customHeight="1" x14ac:dyDescent="0.25">
      <c r="A1" s="13" t="s">
        <v>276</v>
      </c>
      <c r="B1" s="13"/>
      <c r="C1" s="13"/>
      <c r="D1" s="13"/>
      <c r="E1" s="13"/>
      <c r="F1" s="13"/>
      <c r="G1" s="13"/>
      <c r="H1" s="123"/>
      <c r="I1" s="275" t="s">
        <v>277</v>
      </c>
      <c r="J1" s="132" t="s">
        <v>63</v>
      </c>
      <c r="K1" s="129" t="s">
        <v>278</v>
      </c>
      <c r="L1" s="276" t="s">
        <v>279</v>
      </c>
      <c r="M1" s="130" t="s">
        <v>148</v>
      </c>
      <c r="N1" s="277" t="s">
        <v>280</v>
      </c>
      <c r="O1" s="276" t="s">
        <v>281</v>
      </c>
      <c r="P1" s="130" t="s">
        <v>282</v>
      </c>
      <c r="Q1" s="130" t="s">
        <v>283</v>
      </c>
      <c r="R1" s="129" t="s">
        <v>154</v>
      </c>
      <c r="S1" s="134" t="s">
        <v>284</v>
      </c>
      <c r="T1" s="134" t="s">
        <v>285</v>
      </c>
      <c r="U1" s="134" t="s">
        <v>157</v>
      </c>
      <c r="V1" s="134" t="s">
        <v>286</v>
      </c>
      <c r="W1" s="135" t="s">
        <v>287</v>
      </c>
      <c r="X1" s="45" t="s">
        <v>288</v>
      </c>
      <c r="Y1" s="278" t="s">
        <v>289</v>
      </c>
      <c r="Z1" s="279" t="s">
        <v>290</v>
      </c>
      <c r="AA1" s="280" t="s">
        <v>83</v>
      </c>
      <c r="AB1" s="281" t="s">
        <v>84</v>
      </c>
      <c r="AC1" s="142" t="s">
        <v>173</v>
      </c>
      <c r="AD1" s="282" t="s">
        <v>85</v>
      </c>
      <c r="AE1" s="283" t="s">
        <v>86</v>
      </c>
      <c r="AF1" s="284" t="s">
        <v>291</v>
      </c>
      <c r="AG1" s="284" t="s">
        <v>292</v>
      </c>
      <c r="AH1" s="123"/>
      <c r="AI1" s="123"/>
      <c r="AJ1" s="123"/>
      <c r="AK1" s="123"/>
      <c r="AL1" s="123"/>
    </row>
    <row r="2" spans="1:38" ht="36" customHeight="1" x14ac:dyDescent="0.3">
      <c r="A2" s="9" t="s">
        <v>293</v>
      </c>
      <c r="B2" s="9"/>
      <c r="C2" s="9"/>
      <c r="D2" s="9"/>
      <c r="E2" s="9"/>
      <c r="F2" s="9"/>
      <c r="G2" s="9"/>
      <c r="H2" s="123"/>
      <c r="I2" s="285" t="s">
        <v>294</v>
      </c>
      <c r="J2" s="286">
        <v>164</v>
      </c>
      <c r="K2" s="286">
        <v>69</v>
      </c>
      <c r="L2" s="287">
        <v>38.5</v>
      </c>
      <c r="M2" s="288">
        <v>4.26</v>
      </c>
      <c r="N2" s="173">
        <f>IFERROR(((J2*200)/(M2^4))*(1+((K2-AVERAGE($K$2:$K$59))/AVERAGE($K$2:$K$59)))*(1+((L2-35.5)/35.5)*0.15),0)</f>
        <v>95.145185006737847</v>
      </c>
      <c r="O2" s="289">
        <v>9</v>
      </c>
      <c r="P2" s="286">
        <v>2.77</v>
      </c>
      <c r="Q2" s="286">
        <v>6.2</v>
      </c>
      <c r="R2" s="287">
        <v>9.1999999999999993</v>
      </c>
      <c r="S2" s="175">
        <v>0.34300000000000003</v>
      </c>
      <c r="T2" s="175">
        <v>0.35</v>
      </c>
      <c r="U2" s="234">
        <v>0.32400000000000001</v>
      </c>
      <c r="V2" s="286">
        <v>17.899999999999999</v>
      </c>
      <c r="W2" s="235">
        <v>0.7</v>
      </c>
      <c r="X2" s="290">
        <v>1</v>
      </c>
      <c r="Y2" s="291">
        <f>ROUND(MIN(20,MAX(0,(R2/10)*20))+MIN(20,MAX(0,(N2/120)*20))+MIN(20,MAX(0,(P2/4)*20))+MIN(15,MAX(0,(1-(Q2/15))*15))+MIN(15,MAX(0,(S2/0.3)*15))+MIN(10,MAX(0,(T2/0.65)*10)),1)</f>
        <v>77.3</v>
      </c>
      <c r="Z2" s="82">
        <f>ROUND(MIN(34,MAX(0,(P2/3.2)*34))+MIN(15,MAX(0,((O2-8.5)/2.5)*15))+MIN(24,MAX(0,(U2/0.22)*24))+MIN(14,MAX(0,(W2/0.85)*14))+IF(ISNUMBER(AA2),MAX(0,30-((INT(AA2)-1)*32+ROUND(MOD(AA2,1)*100,0))*0.07),IF(LOWER(AA2)="udfa",3,12)),1)</f>
        <v>90.6</v>
      </c>
      <c r="AA2" s="98">
        <v>4.09</v>
      </c>
      <c r="AB2" s="292" t="s">
        <v>131</v>
      </c>
      <c r="AC2" s="293">
        <f>IF(AB2="","1.00",IFERROR(VLOOKUP(AB2,'WR Model Page'!$A:$F,6,FALSE()),1))</f>
        <v>3</v>
      </c>
      <c r="AD2" s="456">
        <f>IF(AND(LOWER(AA2)="udfa",OR(AB2="N/A",AB2="")),-999,ROUND((MIN(IF(AF2&gt;83,99,96),MAX(0,AG2+Z2*0.38))+MAX(0,IFERROR(VALUE(AC2),0))+IF(ISNUMBER(AA2),IF(((INT(AA2)-1)*32+ROUND(MOD(AA2,1)*100,0))&lt;=96,MAX(0,(1-((INT(AA2)-1)*32+ROUND(MOD(AA2,1)*100,0))/96)*2),MAX(0,(1-((INT(AA2)-1)*32+ROUND(MOD(AA2,1)*100,0))/128)*0.5)),0)+MIN(1.5,MAX(0,(P2-2.5)*1.25)))/107*100,1))</f>
        <v>92.9</v>
      </c>
      <c r="AE2" s="294" t="str">
        <f t="shared" ref="AE2:AE33" si="0">IF(AD2=-999,"",IF(AD2&gt;=95,"Elite",IF(AD2&gt;=89,"League Winner",IF(AD2&gt;=83,"WR1 Upside",IF(AD2&gt;=74,"WR2 Upside",IF(AD2&gt;=62,"Flex Play",IF(AD2&gt;=48,"Waiver Wire","Cut")))))))</f>
        <v>League Winner</v>
      </c>
      <c r="AF2" s="295">
        <f t="shared" ref="AF2:AF33" si="1">IF(ISNUMBER(AA2),15*EXP(-0.016*((INT(AA2)-1)*32+ROUND(MOD(AA2,1)*100,0)-1)),IF(LOWER(AA2)="UDFA",0.5,0))+MAX(MIN(R2/10,1),0)*12+MAX(MIN(N2/120,1),0)*7+IF(O2&gt;=10,3,IF(O2&gt;=9.625,1.5,IF(O2&gt;=9,0.5,0)))+MIN(26,MAX(0,(P2/4)*26))+MAX(-5,-(Q2/10)*10.4)+MIN(11.7,MAX(0,(S2/0.35)*11.7))*X2+MIN(9.1,MAX(0,(T2/0.65)*9.1))*X2+MIN(9.1,MAX(0,(U2/0.26)*9.1))*X2+MIN(5.2,MAX(0,((V2-8)/8)*5.2))*X2+MIN(7.8,MAX(0,(V2-7)/9*7.8))*X2</f>
        <v>71.401834941062205</v>
      </c>
      <c r="AG2" s="296">
        <f t="shared" ref="AG2:AG33" si="2">ROUND(IF(AF2&gt;60,60+SQRT(AF2-60)*7.8,AF2),1)</f>
        <v>86.3</v>
      </c>
      <c r="AH2" s="297" t="s">
        <v>295</v>
      </c>
      <c r="AI2" s="297" t="s">
        <v>296</v>
      </c>
      <c r="AJ2" s="297" t="s">
        <v>297</v>
      </c>
      <c r="AK2" s="298" t="s">
        <v>298</v>
      </c>
      <c r="AL2" s="123"/>
    </row>
    <row r="3" spans="1:38" ht="37.5" customHeight="1" x14ac:dyDescent="0.3">
      <c r="A3" s="299" t="s">
        <v>84</v>
      </c>
      <c r="B3" s="299" t="s">
        <v>169</v>
      </c>
      <c r="C3" s="299" t="s">
        <v>170</v>
      </c>
      <c r="D3" s="299" t="s">
        <v>299</v>
      </c>
      <c r="E3" s="299" t="s">
        <v>300</v>
      </c>
      <c r="F3" s="299" t="s">
        <v>173</v>
      </c>
      <c r="G3" s="299" t="s">
        <v>174</v>
      </c>
      <c r="H3" s="123"/>
      <c r="I3" s="168" t="s">
        <v>301</v>
      </c>
      <c r="J3" s="170">
        <v>192</v>
      </c>
      <c r="K3" s="169">
        <v>71</v>
      </c>
      <c r="L3" s="300">
        <v>34</v>
      </c>
      <c r="M3" s="205">
        <v>4.51</v>
      </c>
      <c r="N3" s="149">
        <f>IFERROR(((J3*200)/(M3^4))*(1+((K3-AVERAGE($K$2:$K$59))/AVERAGE($K$2:$K$59)))*(1+((L3-35.5)/35.5)*0.15),0)</f>
        <v>89.526954318534209</v>
      </c>
      <c r="O3" s="301">
        <v>8.75</v>
      </c>
      <c r="P3" s="169">
        <v>3.0918000000000001</v>
      </c>
      <c r="Q3" s="302">
        <v>1.71</v>
      </c>
      <c r="R3" s="303">
        <v>8.1999999999999993</v>
      </c>
      <c r="S3" s="175">
        <v>0.25180000000000002</v>
      </c>
      <c r="T3" s="175">
        <v>0.59260000000000002</v>
      </c>
      <c r="U3" s="175">
        <v>0.2026</v>
      </c>
      <c r="V3" s="169">
        <v>10.220000000000001</v>
      </c>
      <c r="W3" s="176">
        <v>0.93669999999999998</v>
      </c>
      <c r="X3" s="290">
        <v>1</v>
      </c>
      <c r="Y3" s="304">
        <f>ROUND(MIN(20,MAX(0,(R3/10)*20))+MIN(20,MAX(0,(N3/120)*20))+MIN(20,MAX(0,(P3/4)*20))+MIN(15,MAX(0,(1-(Q3/15))*15))+MIN(15,MAX(0,(S3/0.3)*15))+MIN(10,MAX(0,(T3/0.65)*10)),1)</f>
        <v>81.8</v>
      </c>
      <c r="Z3" s="305">
        <f>ROUND(MIN(34,MAX(0,(P3/3.2)*34))+MIN(15,MAX(0,((O3-8.5)/2.5)*15))+MIN(24,MAX(0,(U3/0.22)*24))+MIN(14,MAX(0,(W3/0.85)*14))+IF(ISNUMBER(AA3),MAX(0,30-((INT(AA3)-1)*32+ROUND(MOD(AA3,1)*100,0))*0.07),IF(LOWER(AA3)="udfa",3,12)),1)</f>
        <v>99.1</v>
      </c>
      <c r="AA3" s="180">
        <v>1.2</v>
      </c>
      <c r="AB3" s="181" t="s">
        <v>120</v>
      </c>
      <c r="AC3" s="182">
        <f>IF(AB3="","1.00",IFERROR(VLOOKUP(AB3,'WR Model Page'!$A:$F,6,FALSE()),1))</f>
        <v>0</v>
      </c>
      <c r="AD3" s="456">
        <f>IF(AND(LOWER(AA3)="udfa",OR(AB3="N/A",AB3="")),-999,ROUND((MIN(IF(AF3&gt;83,99,96),MAX(0,AG3+Z3*0.38))+MAX(0,IFERROR(VALUE(AC3),0))+IF(ISNUMBER(AA3),IF(((INT(AA3)-1)*32+ROUND(MOD(AA3,1)*100,0))&lt;=96,MAX(0,(1-((INT(AA3)-1)*32+ROUND(MOD(AA3,1)*100,0))/96)*2),MAX(0,(1-((INT(AA3)-1)*32+ROUND(MOD(AA3,1)*100,0))/128)*0.5)),0)+MIN(1.5,MAX(0,(P3-2.5)*1.25)))/107*100,1))</f>
        <v>91.9</v>
      </c>
      <c r="AE3" s="294" t="str">
        <f t="shared" si="0"/>
        <v>League Winner</v>
      </c>
      <c r="AF3" s="295">
        <f t="shared" si="1"/>
        <v>72.486999617720983</v>
      </c>
      <c r="AG3" s="306">
        <f t="shared" si="2"/>
        <v>87.6</v>
      </c>
      <c r="AH3" s="186">
        <v>6.5000000000000002E-2</v>
      </c>
      <c r="AI3" s="186">
        <v>0.22600000000000001</v>
      </c>
      <c r="AJ3" s="186">
        <v>0.28999999999999998</v>
      </c>
      <c r="AK3" s="186">
        <v>0.41899999999999998</v>
      </c>
      <c r="AL3" s="123"/>
    </row>
    <row r="4" spans="1:38" ht="44.25" customHeight="1" x14ac:dyDescent="0.3">
      <c r="A4" s="307" t="s">
        <v>302</v>
      </c>
      <c r="B4" s="307" t="s">
        <v>303</v>
      </c>
      <c r="C4" s="307" t="s">
        <v>304</v>
      </c>
      <c r="D4" s="307" t="s">
        <v>305</v>
      </c>
      <c r="E4" s="307" t="s">
        <v>306</v>
      </c>
      <c r="F4" s="307" t="s">
        <v>307</v>
      </c>
      <c r="G4" s="307" t="s">
        <v>308</v>
      </c>
      <c r="H4" s="123"/>
      <c r="I4" s="168" t="s">
        <v>309</v>
      </c>
      <c r="J4" s="170">
        <v>203</v>
      </c>
      <c r="K4" s="169">
        <v>74</v>
      </c>
      <c r="L4" s="300">
        <v>35.5</v>
      </c>
      <c r="M4" s="205">
        <v>4.4800000000000004</v>
      </c>
      <c r="N4" s="149">
        <f>IFERROR(((J4*200)/(M4^4))*(1+((K4-AVERAGE($K$2:$K$59))/AVERAGE($K$2:$K$59)))*(1+((L4-35.5)/35.5)*0.15),0)</f>
        <v>101.971177087676</v>
      </c>
      <c r="O4" s="301">
        <v>9.125</v>
      </c>
      <c r="P4" s="169">
        <v>2.7368000000000001</v>
      </c>
      <c r="Q4" s="302">
        <v>3.81</v>
      </c>
      <c r="R4" s="303">
        <v>8.9499999999999993</v>
      </c>
      <c r="S4" s="175">
        <v>0.30859999999999999</v>
      </c>
      <c r="T4" s="175">
        <v>0.5484</v>
      </c>
      <c r="U4" s="175">
        <v>0.2787</v>
      </c>
      <c r="V4" s="169">
        <v>12.18</v>
      </c>
      <c r="W4" s="176">
        <v>0.94159999999999999</v>
      </c>
      <c r="X4" s="290">
        <v>1</v>
      </c>
      <c r="Y4" s="304">
        <f>ROUND(MIN(20,MAX(0,(R4/10)*20))+MIN(20,MAX(0,(N4/120)*20))+MIN(20,MAX(0,(P4/4)*20))+MIN(15,MAX(0,(1-(Q4/15))*15))+MIN(15,MAX(0,(S4/0.3)*15))+MIN(10,MAX(0,(T4/0.65)*10)),1)</f>
        <v>83.2</v>
      </c>
      <c r="Z4" s="305">
        <f>ROUND(MIN(34,MAX(0,(P4/3.2)*34))+MIN(15,MAX(0,((O4-8.5)/2.5)*15))+MIN(24,MAX(0,(U4/0.22)*24))+MIN(14,MAX(0,(W4/0.85)*14))+IF(ISNUMBER(AA4),MAX(0,30-((INT(AA4)-1)*32+ROUND(MOD(AA4,1)*100,0))*0.07),IF(LOWER(AA4)="udfa",3,12)),1)</f>
        <v>100.3</v>
      </c>
      <c r="AA4" s="180">
        <v>1.08</v>
      </c>
      <c r="AB4" s="89" t="s">
        <v>138</v>
      </c>
      <c r="AC4" s="182">
        <f>IF(AB4="","1.00",IFERROR(VLOOKUP(AB4,'WR Model Page'!$A:$F,6,FALSE()),1))</f>
        <v>-1</v>
      </c>
      <c r="AD4" s="456">
        <f>IF(AND(LOWER(AA4)="udfa",OR(AB4="N/A",AB4="")),-999,ROUND((MIN(IF(AF4&gt;83,99,96),MAX(0,AG4+Z4*0.38))+MAX(0,IFERROR(VALUE(AC4),0))+IF(ISNUMBER(AA4),IF(((INT(AA4)-1)*32+ROUND(MOD(AA4,1)*100,0))&lt;=96,MAX(0,(1-((INT(AA4)-1)*32+ROUND(MOD(AA4,1)*100,0))/96)*2),MAX(0,(1-((INT(AA4)-1)*32+ROUND(MOD(AA4,1)*100,0))/128)*0.5)),0)+MIN(1.5,MAX(0,(P4-2.5)*1.25)))/107*100,1))</f>
        <v>91.7</v>
      </c>
      <c r="AE4" s="294" t="str">
        <f t="shared" si="0"/>
        <v>League Winner</v>
      </c>
      <c r="AF4" s="295">
        <f t="shared" si="1"/>
        <v>78.725773002143583</v>
      </c>
      <c r="AG4" s="308">
        <f t="shared" si="2"/>
        <v>93.8</v>
      </c>
      <c r="AH4" s="309">
        <v>2.5999999999999999E-2</v>
      </c>
      <c r="AI4" s="197">
        <v>0.105</v>
      </c>
      <c r="AJ4" s="197">
        <v>0.26300000000000001</v>
      </c>
      <c r="AK4" s="197">
        <v>0.28899999999999998</v>
      </c>
      <c r="AL4" s="123"/>
    </row>
    <row r="5" spans="1:38" ht="29.25" customHeight="1" x14ac:dyDescent="0.3">
      <c r="A5" s="211" t="s">
        <v>90</v>
      </c>
      <c r="B5" s="212">
        <v>5</v>
      </c>
      <c r="C5" s="213" t="s">
        <v>187</v>
      </c>
      <c r="D5" s="212">
        <v>6.5</v>
      </c>
      <c r="E5" s="214">
        <f>IFERROR(VLOOKUP(A5,Vacancy_Calculator!$A$4:$D$35,3,FALSE()),0)</f>
        <v>0</v>
      </c>
      <c r="F5" s="215">
        <f t="shared" ref="F5:F36" si="3">IF((E5*0.5+B5*0.3+D5*0.2)&gt;=8.5,3,IF((E5*0.5+B5*0.3+D5*0.2)&gt;=7,2,IF((E5*0.5+B5*0.3+D5*0.2)&gt;=5.5,1,IF((E5*0.5+B5*0.3+D5*0.2)&gt;=4,0,-1))))</f>
        <v>-1</v>
      </c>
      <c r="G5" s="211" t="str">
        <f t="shared" ref="G5:G36" si="4">IF(F5&gt;=1.25,"Workhorse Situation",IF(F5&gt;=1.15,"Featured Role",IF(F5&gt;=1.05,"Contributor",IF(F5&gt;=1,"Neutral",IF(F5&gt;=0.9,"Competition Risk",IF(F5&gt;=0.8,"Poor Fit","Landmine"))))))</f>
        <v>Landmine</v>
      </c>
      <c r="H5" s="123"/>
      <c r="I5" s="228" t="s">
        <v>310</v>
      </c>
      <c r="J5" s="170">
        <v>192</v>
      </c>
      <c r="K5" s="169">
        <v>74.25</v>
      </c>
      <c r="L5" s="383">
        <v>36.5</v>
      </c>
      <c r="M5" s="172">
        <v>4.53</v>
      </c>
      <c r="N5" s="149">
        <f>IFERROR(((J5*200)/(M5^4))*(1+((K5-AVERAGE($K$2:$K$59))/AVERAGE($K$2:$K$59)))*(1+((L5-35.5)/35.5)*0.15),0)</f>
        <v>92.960358663395667</v>
      </c>
      <c r="O5" s="301">
        <v>10.25</v>
      </c>
      <c r="P5" s="169">
        <v>2.3858000000000001</v>
      </c>
      <c r="Q5" s="302">
        <v>2.2599999999999998</v>
      </c>
      <c r="R5" s="401">
        <v>8.1199999999999992</v>
      </c>
      <c r="S5" s="175">
        <v>0.20169999999999999</v>
      </c>
      <c r="T5" s="175">
        <v>0.75</v>
      </c>
      <c r="U5" s="175">
        <v>0.16239999999999999</v>
      </c>
      <c r="V5" s="169">
        <v>12.94</v>
      </c>
      <c r="W5" s="176">
        <v>0.96150000000000002</v>
      </c>
      <c r="X5" s="290">
        <v>1</v>
      </c>
      <c r="Y5" s="304">
        <f>ROUND(MIN(20,MAX(0,(R5/10)*20))+MIN(20,MAX(0,(N5/120)*20))+MIN(20,MAX(0,(P5/4)*20))+MIN(15,MAX(0,(1-(Q5/15))*15))+MIN(15,MAX(0,(S5/0.3)*15))+MIN(10,MAX(0,(T5/0.65)*10)),1)</f>
        <v>76.5</v>
      </c>
      <c r="Z5" s="305">
        <f>ROUND(MIN(34,MAX(0,(P5/3.2)*34))+MIN(15,MAX(0,((O5-8.5)/2.5)*15))+MIN(24,MAX(0,(U5/0.22)*24))+MIN(14,MAX(0,(W5/0.85)*14))+IF(ISNUMBER(AA5),MAX(0,30-((INT(AA5)-1)*32+ROUND(MOD(AA5,1)*100,0))*0.07),IF(LOWER(AA5)="udfa",3,12)),1)</f>
        <v>97.3</v>
      </c>
      <c r="AA5" s="192">
        <v>1.04</v>
      </c>
      <c r="AB5" s="85" t="s">
        <v>142</v>
      </c>
      <c r="AC5" s="182">
        <f>IF(AB5="","1.00",IFERROR(VLOOKUP(AB5,'WR Model Page'!$A:$F,6,FALSE()),1))</f>
        <v>-1</v>
      </c>
      <c r="AD5" s="456">
        <f>IF(AND(LOWER(AA5)="udfa",OR(AB5="N/A",AB5="")),-999,ROUND((MIN(IF(AF5&gt;83,99,96),MAX(0,AG5+Z5*0.38))+MAX(0,IFERROR(VALUE(AC5),0))+IF(ISNUMBER(AA5),IF(((INT(AA5)-1)*32+ROUND(MOD(AA5,1)*100,0))&lt;=96,MAX(0,(1-((INT(AA5)-1)*32+ROUND(MOD(AA5,1)*100,0))/96)*2),MAX(0,(1-((INT(AA5)-1)*32+ROUND(MOD(AA5,1)*100,0))/128)*0.5)),0)+MIN(1.5,MAX(0,(P5-2.5)*1.25)))/107*100,1))</f>
        <v>91.5</v>
      </c>
      <c r="AE5" s="294" t="str">
        <f t="shared" si="0"/>
        <v>League Winner</v>
      </c>
      <c r="AF5" s="295">
        <f t="shared" si="1"/>
        <v>75.506537252003511</v>
      </c>
      <c r="AG5" s="308">
        <f t="shared" si="2"/>
        <v>90.7</v>
      </c>
      <c r="AH5" s="222">
        <v>0</v>
      </c>
      <c r="AI5" s="222">
        <v>3.1E-2</v>
      </c>
      <c r="AJ5" s="222">
        <v>9.4E-2</v>
      </c>
      <c r="AK5" s="197">
        <v>0.188</v>
      </c>
      <c r="AL5" s="123"/>
    </row>
    <row r="6" spans="1:38" s="14" customFormat="1" ht="27" customHeight="1" x14ac:dyDescent="0.3">
      <c r="A6" s="211" t="s">
        <v>93</v>
      </c>
      <c r="B6" s="212">
        <v>7</v>
      </c>
      <c r="C6" s="213" t="s">
        <v>187</v>
      </c>
      <c r="D6" s="212">
        <v>7.5</v>
      </c>
      <c r="E6" s="317">
        <f>IFERROR(VLOOKUP(A6,Vacancy_Calculator!$A$4:$D$35,3,FALSE()),0)</f>
        <v>0</v>
      </c>
      <c r="F6" s="318">
        <f t="shared" si="3"/>
        <v>-1</v>
      </c>
      <c r="G6" s="211" t="str">
        <f t="shared" si="4"/>
        <v>Landmine</v>
      </c>
      <c r="H6" s="127"/>
      <c r="I6" s="168" t="s">
        <v>312</v>
      </c>
      <c r="J6" s="216">
        <v>199</v>
      </c>
      <c r="K6" s="191">
        <v>73</v>
      </c>
      <c r="L6" s="319">
        <v>37</v>
      </c>
      <c r="M6" s="172">
        <v>4.42</v>
      </c>
      <c r="N6" s="149">
        <f>IFERROR(((J6*200)/(M6^4))*(1+((K6-AVERAGE($K$2:$K$59))/AVERAGE($K$2:$K$59)))*(1+((L6-35.5)/35.5)*0.15),0)</f>
        <v>104.73515371263498</v>
      </c>
      <c r="O6" s="289">
        <v>9.25</v>
      </c>
      <c r="P6" s="169">
        <v>2.5390000000000001</v>
      </c>
      <c r="Q6" s="302">
        <v>2.88</v>
      </c>
      <c r="R6" s="169">
        <v>8.6999999999999993</v>
      </c>
      <c r="S6" s="175">
        <v>0.2165</v>
      </c>
      <c r="T6" s="175">
        <v>0.5</v>
      </c>
      <c r="U6" s="175">
        <v>0.18970000000000001</v>
      </c>
      <c r="V6" s="169">
        <v>11.88</v>
      </c>
      <c r="W6" s="176">
        <v>0.94810000000000005</v>
      </c>
      <c r="X6" s="290">
        <v>1</v>
      </c>
      <c r="Y6" s="304">
        <f>ROUND(MIN(20,MAX(0,(R6/10)*20))+MIN(20,MAX(0,(N6/120)*20))+MIN(20,MAX(0,(P6/4)*20))+MIN(15,MAX(0,(1-(Q6/15))*15))+MIN(15,MAX(0,(S6/0.3)*15))+MIN(10,MAX(0,(T6/0.65)*10)),1)</f>
        <v>78.2</v>
      </c>
      <c r="Z6" s="305">
        <f>ROUND(MIN(34,MAX(0,(P6/3.2)*34))+MIN(15,MAX(0,((O6-8.5)/2.5)*15))+MIN(24,MAX(0,(U6/0.22)*24))+MIN(14,MAX(0,(W6/0.85)*14))+IF(ISNUMBER(AA6),MAX(0,30-((INT(AA6)-1)*32+ROUND(MOD(AA6,1)*100,0))*0.07),IF(LOWER(AA6)="udfa",3,12)),1)</f>
        <v>94.1</v>
      </c>
      <c r="AA6" s="192">
        <v>1.3</v>
      </c>
      <c r="AB6" s="193" t="s">
        <v>101</v>
      </c>
      <c r="AC6" s="182">
        <f>IF(AB6="","1.00",IFERROR(VLOOKUP(AB6,'WR Model Page'!$A:$F,6,FALSE()),1))</f>
        <v>0</v>
      </c>
      <c r="AD6" s="456">
        <f>IF(AND(LOWER(AA6)="udfa",OR(AB6="N/A",AB6="")),-999,ROUND((MIN(IF(AF6&gt;83,99,96),MAX(0,AG6+Z6*0.38))+MAX(0,IFERROR(VALUE(AC6),0))+IF(ISNUMBER(AA6),IF(((INT(AA6)-1)*32+ROUND(MOD(AA6,1)*100,0))&lt;=96,MAX(0,(1-((INT(AA6)-1)*32+ROUND(MOD(AA6,1)*100,0))/96)*2),MAX(0,(1-((INT(AA6)-1)*32+ROUND(MOD(AA6,1)*100,0))/128)*0.5)),0)+MIN(1.5,MAX(0,(P6-2.5)*1.25)))/107*100,1))</f>
        <v>91.1</v>
      </c>
      <c r="AE6" s="294" t="str">
        <f t="shared" si="0"/>
        <v>League Winner</v>
      </c>
      <c r="AF6" s="321">
        <f t="shared" si="1"/>
        <v>67.617422997862562</v>
      </c>
      <c r="AG6" s="308">
        <f t="shared" si="2"/>
        <v>81.5</v>
      </c>
      <c r="AH6" s="322">
        <v>0</v>
      </c>
      <c r="AI6" s="322">
        <v>0</v>
      </c>
      <c r="AJ6" s="322">
        <v>0</v>
      </c>
      <c r="AK6" s="322">
        <v>0</v>
      </c>
    </row>
    <row r="7" spans="1:38" ht="29.25" customHeight="1" x14ac:dyDescent="0.3">
      <c r="A7" s="211" t="s">
        <v>97</v>
      </c>
      <c r="B7" s="212">
        <v>7.5</v>
      </c>
      <c r="C7" s="213" t="s">
        <v>197</v>
      </c>
      <c r="D7" s="212">
        <v>6</v>
      </c>
      <c r="E7" s="214">
        <f>IFERROR(VLOOKUP(A7,Vacancy_Calculator!$A$4:$D$35,3,FALSE()),0)</f>
        <v>4</v>
      </c>
      <c r="F7" s="215">
        <f t="shared" si="3"/>
        <v>0</v>
      </c>
      <c r="G7" s="211" t="str">
        <f t="shared" si="4"/>
        <v>Landmine</v>
      </c>
      <c r="H7" s="123"/>
      <c r="I7" s="168" t="s">
        <v>311</v>
      </c>
      <c r="J7" s="170">
        <v>176</v>
      </c>
      <c r="K7" s="169">
        <v>70</v>
      </c>
      <c r="L7" s="319">
        <v>37</v>
      </c>
      <c r="M7" s="172">
        <v>4.3499999999999996</v>
      </c>
      <c r="N7" s="149">
        <f>IFERROR(((J7*200)/(M7^4))*(1+((K7-AVERAGE($K$2:$K$59))/AVERAGE($K$2:$K$59)))*(1+((L7-35.5)/35.5)*0.15),0)</f>
        <v>94.680228047984386</v>
      </c>
      <c r="O7" s="301">
        <v>9</v>
      </c>
      <c r="P7" s="169">
        <v>2.8315000000000001</v>
      </c>
      <c r="Q7" s="302">
        <v>6.13</v>
      </c>
      <c r="R7" s="303">
        <v>8.42</v>
      </c>
      <c r="S7" s="175">
        <v>0.31</v>
      </c>
      <c r="T7" s="175">
        <v>0.36359999999999998</v>
      </c>
      <c r="U7" s="175">
        <v>0.24460000000000001</v>
      </c>
      <c r="V7" s="169">
        <v>14.21</v>
      </c>
      <c r="W7" s="176">
        <v>0.94259999999999999</v>
      </c>
      <c r="X7" s="290">
        <v>1</v>
      </c>
      <c r="Y7" s="304">
        <f>ROUND(MIN(20,MAX(0,(R7/10)*20))+MIN(20,MAX(0,(N7/120)*20))+MIN(20,MAX(0,(P7/4)*20))+MIN(15,MAX(0,(1-(Q7/15))*15))+MIN(15,MAX(0,(S7/0.3)*15))+MIN(10,MAX(0,(T7/0.65)*10)),1)</f>
        <v>76.2</v>
      </c>
      <c r="Z7" s="305">
        <f>ROUND(MIN(34,MAX(0,(P7/3.2)*34))+MIN(15,MAX(0,((O7-8.5)/2.5)*15))+MIN(24,MAX(0,(U7/0.22)*24))+MIN(14,MAX(0,(W7/0.85)*14))+IF(ISNUMBER(AA7),MAX(0,30-((INT(AA7)-1)*32+ROUND(MOD(AA7,1)*100,0))*0.07),IF(LOWER(AA7)="udfa",3,12)),1)</f>
        <v>74.099999999999994</v>
      </c>
      <c r="AA7" s="320" t="s">
        <v>95</v>
      </c>
      <c r="AB7" s="232" t="s">
        <v>126</v>
      </c>
      <c r="AC7" s="182">
        <f>IF(AB7="","1.00",IFERROR(VLOOKUP(AB7,'WR Model Page'!$A:$F,6,FALSE()),1))</f>
        <v>1</v>
      </c>
      <c r="AD7" s="456">
        <f>IF(AND(LOWER(AA7)="udfa",OR(AB7="N/A",AB7="")),-999,ROUND((MIN(IF(AF7&gt;83,99,96),MAX(0,AG7+Z7*0.38))+MAX(0,IFERROR(VALUE(AC7),0))+IF(ISNUMBER(AA7),IF(((INT(AA7)-1)*32+ROUND(MOD(AA7,1)*100,0))&lt;=96,MAX(0,(1-((INT(AA7)-1)*32+ROUND(MOD(AA7,1)*100,0))/96)*2),MAX(0,(1-((INT(AA7)-1)*32+ROUND(MOD(AA7,1)*100,0))/128)*0.5)),0)+MIN(1.5,MAX(0,(P7-2.5)*1.25)))/107*100,1))</f>
        <v>91</v>
      </c>
      <c r="AE7" s="294" t="str">
        <f t="shared" si="0"/>
        <v>League Winner</v>
      </c>
      <c r="AF7" s="295">
        <f t="shared" si="1"/>
        <v>64.331187112322908</v>
      </c>
      <c r="AG7" s="308">
        <f t="shared" si="2"/>
        <v>76.2</v>
      </c>
      <c r="AH7" s="222">
        <v>0</v>
      </c>
      <c r="AI7" s="222">
        <v>0</v>
      </c>
      <c r="AJ7" s="222">
        <v>5.6000000000000001E-2</v>
      </c>
      <c r="AK7" s="222">
        <v>8.3000000000000004E-2</v>
      </c>
      <c r="AL7" s="123"/>
    </row>
    <row r="8" spans="1:38" ht="27" customHeight="1" x14ac:dyDescent="0.3">
      <c r="A8" s="211" t="s">
        <v>99</v>
      </c>
      <c r="B8" s="212">
        <v>8</v>
      </c>
      <c r="C8" s="213" t="s">
        <v>197</v>
      </c>
      <c r="D8" s="212">
        <v>7.5</v>
      </c>
      <c r="E8" s="214">
        <f>IFERROR(VLOOKUP(A8,Vacancy_Calculator!$A$4:$D$35,3,FALSE()),0)</f>
        <v>2</v>
      </c>
      <c r="F8" s="215">
        <f t="shared" si="3"/>
        <v>0</v>
      </c>
      <c r="G8" s="211" t="str">
        <f t="shared" si="4"/>
        <v>Landmine</v>
      </c>
      <c r="H8" s="123"/>
      <c r="I8" s="168" t="s">
        <v>313</v>
      </c>
      <c r="J8" s="170">
        <v>206</v>
      </c>
      <c r="K8" s="169">
        <v>76</v>
      </c>
      <c r="L8" s="302">
        <v>36.5</v>
      </c>
      <c r="M8" s="172">
        <v>4.42</v>
      </c>
      <c r="N8" s="149">
        <f>IFERROR(((J8*200)/(M8^4))*(1+((K8-AVERAGE($K$2:$K$59))/AVERAGE($K$2:$K$59)))*(1+((L8-35.5)/35.5)*0.15),0)</f>
        <v>112.63792653387767</v>
      </c>
      <c r="O8" s="301">
        <v>9.625</v>
      </c>
      <c r="P8" s="169">
        <v>2.2450999999999999</v>
      </c>
      <c r="Q8" s="302">
        <v>5.8</v>
      </c>
      <c r="R8" s="169">
        <v>9.92</v>
      </c>
      <c r="S8" s="175">
        <v>0.32340000000000002</v>
      </c>
      <c r="T8" s="175">
        <v>0.61109999999999998</v>
      </c>
      <c r="U8" s="175">
        <v>0.25990000000000002</v>
      </c>
      <c r="V8" s="169">
        <v>14.65</v>
      </c>
      <c r="W8" s="176">
        <v>0.93569999999999998</v>
      </c>
      <c r="X8" s="290">
        <v>0.85</v>
      </c>
      <c r="Y8" s="304">
        <f>ROUND(MIN(20,MAX(0,(R8/10)*20))+MIN(20,MAX(0,(N8/120)*20))+MIN(20,MAX(0,(P8/4)*20))+MIN(15,MAX(0,(1-(Q8/15))*15))+MIN(15,MAX(0,(S8/0.3)*15))+MIN(10,MAX(0,(T8/0.65)*10)),1)</f>
        <v>83.4</v>
      </c>
      <c r="Z8" s="305">
        <f>ROUND(MIN(34,MAX(0,(P8/3.2)*34))+MIN(15,MAX(0,((O8-8.5)/2.5)*15))+MIN(24,MAX(0,(U8/0.22)*24))+MIN(14,MAX(0,(W8/0.85)*14))+IF(ISNUMBER(AA8),MAX(0,30-((INT(AA8)-1)*32+ROUND(MOD(AA8,1)*100,0))*0.07),IF(LOWER(AA8)="udfa",3,12)),1)</f>
        <v>92.7</v>
      </c>
      <c r="AA8" s="323">
        <v>3.2</v>
      </c>
      <c r="AB8" s="232" t="s">
        <v>126</v>
      </c>
      <c r="AC8" s="182">
        <f>IF(AB8="","1.00",IFERROR(VLOOKUP(AB8,'WR Model Page'!$A:$F,6,FALSE()),1))</f>
        <v>1</v>
      </c>
      <c r="AD8" s="456">
        <f>IF(AND(LOWER(AA8)="udfa",OR(AB8="N/A",AB8="")),-999,ROUND((MIN(IF(AF8&gt;83,99,96),MAX(0,AG8+Z8*0.38))+MAX(0,IFERROR(VALUE(AC8),0))+IF(ISNUMBER(AA8),IF(((INT(AA8)-1)*32+ROUND(MOD(AA8,1)*100,0))&lt;=96,MAX(0,(1-((INT(AA8)-1)*32+ROUND(MOD(AA8,1)*100,0))/96)*2),MAX(0,(1-((INT(AA8)-1)*32+ROUND(MOD(AA8,1)*100,0))/128)*0.5)),0)+MIN(1.5,MAX(0,(P8-2.5)*1.25)))/107*100,1))</f>
        <v>90.9</v>
      </c>
      <c r="AE8" s="294" t="str">
        <f t="shared" si="0"/>
        <v>League Winner</v>
      </c>
      <c r="AF8" s="295">
        <f t="shared" si="1"/>
        <v>67.045716891422586</v>
      </c>
      <c r="AG8" s="308">
        <f t="shared" si="2"/>
        <v>80.7</v>
      </c>
      <c r="AH8" s="222">
        <v>0</v>
      </c>
      <c r="AI8" s="222">
        <v>0</v>
      </c>
      <c r="AJ8" s="222">
        <v>0</v>
      </c>
      <c r="AK8" s="222">
        <v>0</v>
      </c>
      <c r="AL8" s="123"/>
    </row>
    <row r="9" spans="1:38" ht="15.75" customHeight="1" x14ac:dyDescent="0.3">
      <c r="A9" s="211" t="s">
        <v>96</v>
      </c>
      <c r="B9" s="212">
        <v>6.5</v>
      </c>
      <c r="C9" s="213" t="s">
        <v>201</v>
      </c>
      <c r="D9" s="212">
        <v>7</v>
      </c>
      <c r="E9" s="214">
        <f>IFERROR(VLOOKUP(A9,Vacancy_Calculator!$A$4:$D$35,3,FALSE()),0)</f>
        <v>0</v>
      </c>
      <c r="F9" s="215">
        <f t="shared" si="3"/>
        <v>-1</v>
      </c>
      <c r="G9" s="211" t="str">
        <f t="shared" si="4"/>
        <v>Landmine</v>
      </c>
      <c r="H9" s="123"/>
      <c r="I9" s="327" t="s">
        <v>316</v>
      </c>
      <c r="J9" s="72">
        <v>207</v>
      </c>
      <c r="K9" s="71">
        <v>74</v>
      </c>
      <c r="L9" s="76">
        <v>36</v>
      </c>
      <c r="M9" s="73">
        <v>4.3600000000000003</v>
      </c>
      <c r="N9" s="74">
        <f>IFERROR(((J9*200)/(M9^4))*(1+((K9-AVERAGE($K$2:$K$59))/AVERAGE($K$2:$K$59)))*(1+((L9-35.5)/35.5)*0.15),0)</f>
        <v>116.15406004140803</v>
      </c>
      <c r="O9" s="311">
        <v>10</v>
      </c>
      <c r="P9" s="71">
        <v>2.2909000000000002</v>
      </c>
      <c r="Q9" s="76">
        <v>2.41</v>
      </c>
      <c r="R9" s="328">
        <v>8.15</v>
      </c>
      <c r="S9" s="313">
        <v>0.22819999999999999</v>
      </c>
      <c r="T9" s="313">
        <v>0.45240000000000002</v>
      </c>
      <c r="U9" s="313">
        <v>0.18379999999999999</v>
      </c>
      <c r="V9" s="71">
        <v>12.29</v>
      </c>
      <c r="W9" s="314">
        <v>0.93659999999999999</v>
      </c>
      <c r="X9" s="290">
        <v>1</v>
      </c>
      <c r="Y9" s="315">
        <f>ROUND(MIN(20,MAX(0,(R9/10)*20))+MIN(20,MAX(0,(N9/120)*20))+MIN(20,MAX(0,(P9/4)*20))+MIN(15,MAX(0,(1-(Q9/15))*15))+MIN(15,MAX(0,(S9/0.3)*15))+MIN(10,MAX(0,(T9/0.65)*10)),1)</f>
        <v>78.099999999999994</v>
      </c>
      <c r="Z9" s="316">
        <f>ROUND(MIN(34,MAX(0,(P9/3.2)*34))+MIN(15,MAX(0,((O9-8.5)/2.5)*15))+MIN(24,MAX(0,(U9/0.22)*24))+MIN(14,MAX(0,(W9/0.85)*14))+IF(ISNUMBER(AA9),MAX(0,30-((INT(AA9)-1)*32+ROUND(MOD(AA9,1)*100,0))*0.07),IF(LOWER(AA9)="udfa",3,12)),1)</f>
        <v>95.1</v>
      </c>
      <c r="AA9" s="329">
        <v>2.0099999999999998</v>
      </c>
      <c r="AB9" s="330" t="s">
        <v>141</v>
      </c>
      <c r="AC9" s="182">
        <f>IF(AB9="","1.00",IFERROR(VLOOKUP(AB9,'WR Model Page'!$A:$F,6,FALSE()),1))</f>
        <v>-1</v>
      </c>
      <c r="AD9" s="456">
        <f>IF(AND(LOWER(AA9)="udfa",OR(AB9="N/A",AB9="")),-999,ROUND((MIN(IF(AF9&gt;83,99,96),MAX(0,AG9+Z9*0.38))+MAX(0,IFERROR(VALUE(AC9),0))+IF(ISNUMBER(AA9),IF(((INT(AA9)-1)*32+ROUND(MOD(AA9,1)*100,0))&lt;=96,MAX(0,(1-((INT(AA9)-1)*32+ROUND(MOD(AA9,1)*100,0))/96)*2),MAX(0,(1-((INT(AA9)-1)*32+ROUND(MOD(AA9,1)*100,0))/128)*0.5)),0)+MIN(1.5,MAX(0,(P9-2.5)*1.25)))/107*100,1))</f>
        <v>90.9</v>
      </c>
      <c r="AE9" s="294" t="str">
        <f t="shared" si="0"/>
        <v>League Winner</v>
      </c>
      <c r="AF9" s="295">
        <f t="shared" si="1"/>
        <v>68.697706986765226</v>
      </c>
      <c r="AG9" s="295">
        <f t="shared" si="2"/>
        <v>83</v>
      </c>
      <c r="AH9" s="123"/>
      <c r="AI9" s="123"/>
      <c r="AJ9" s="123"/>
      <c r="AK9" s="123"/>
      <c r="AL9" s="123"/>
    </row>
    <row r="10" spans="1:38" ht="15.75" customHeight="1" x14ac:dyDescent="0.3">
      <c r="A10" s="211" t="s">
        <v>104</v>
      </c>
      <c r="B10" s="212">
        <v>8.5</v>
      </c>
      <c r="C10" s="213" t="s">
        <v>187</v>
      </c>
      <c r="D10" s="212">
        <v>7.5</v>
      </c>
      <c r="E10" s="214">
        <f>IFERROR(VLOOKUP(A10,Vacancy_Calculator!$A$4:$D$35,3,FALSE()),0)</f>
        <v>8</v>
      </c>
      <c r="F10" s="215">
        <f t="shared" si="3"/>
        <v>2</v>
      </c>
      <c r="G10" s="211" t="str">
        <f t="shared" si="4"/>
        <v>Workhorse Situation</v>
      </c>
      <c r="H10" s="123"/>
      <c r="I10" s="327" t="s">
        <v>317</v>
      </c>
      <c r="J10" s="72">
        <v>212</v>
      </c>
      <c r="K10" s="71">
        <v>76</v>
      </c>
      <c r="L10" s="76">
        <v>35</v>
      </c>
      <c r="M10" s="97">
        <v>4.55</v>
      </c>
      <c r="N10" s="74">
        <f>IFERROR(((J10*200)/(M10^4))*(1+((K10-AVERAGE($K$2:$K$59))/AVERAGE($K$2:$K$59)))*(1+((L10-35.5)/35.5)*0.15),0)</f>
        <v>102.57631739103746</v>
      </c>
      <c r="O10" s="311">
        <v>9.625</v>
      </c>
      <c r="P10" s="71">
        <v>2.1173000000000002</v>
      </c>
      <c r="Q10" s="76">
        <v>2.59</v>
      </c>
      <c r="R10" s="312">
        <v>8.85</v>
      </c>
      <c r="S10" s="313">
        <v>0.28120000000000001</v>
      </c>
      <c r="T10" s="313">
        <v>0.62860000000000005</v>
      </c>
      <c r="U10" s="313">
        <v>0.26379999999999998</v>
      </c>
      <c r="V10" s="71">
        <v>12.88</v>
      </c>
      <c r="W10" s="314">
        <v>0.97589999999999999</v>
      </c>
      <c r="X10" s="290">
        <v>1</v>
      </c>
      <c r="Y10" s="315">
        <f>ROUND(MIN(20,MAX(0,(R10/10)*20))+MIN(20,MAX(0,(N10/120)*20))+MIN(20,MAX(0,(P10/4)*20))+MIN(15,MAX(0,(1-(Q10/15))*15))+MIN(15,MAX(0,(S10/0.3)*15))+MIN(10,MAX(0,(T10/0.65)*10)),1)</f>
        <v>81.5</v>
      </c>
      <c r="Z10" s="316">
        <f>ROUND(MIN(34,MAX(0,(P10/3.2)*34))+MIN(15,MAX(0,((O10-8.5)/2.5)*15))+MIN(24,MAX(0,(U10/0.22)*24))+MIN(14,MAX(0,(W10/0.85)*14))+IF(ISNUMBER(AA10),MAX(0,30-((INT(AA10)-1)*32+ROUND(MOD(AA10,1)*100,0))*0.07),IF(LOWER(AA10)="udfa",3,12)),1)</f>
        <v>94.5</v>
      </c>
      <c r="AA10" s="331">
        <v>2.0699999999999998</v>
      </c>
      <c r="AB10" s="332" t="s">
        <v>109</v>
      </c>
      <c r="AC10" s="182">
        <f>IF(AB10="","1.00",IFERROR(VLOOKUP(AB10,'WR Model Page'!$A:$F,6,FALSE()),1))</f>
        <v>-1</v>
      </c>
      <c r="AD10" s="456">
        <f>IF(AND(LOWER(AA10)="udfa",OR(AB10="N/A",AB10="")),-999,ROUND((MIN(IF(AF10&gt;83,99,96),MAX(0,AG10+Z10*0.38))+MAX(0,IFERROR(VALUE(AC10),0))+IF(ISNUMBER(AA10),IF(((INT(AA10)-1)*32+ROUND(MOD(AA10,1)*100,0))&lt;=96,MAX(0,(1-((INT(AA10)-1)*32+ROUND(MOD(AA10,1)*100,0))/96)*2),MAX(0,(1-((INT(AA10)-1)*32+ROUND(MOD(AA10,1)*100,0))/128)*0.5)),0)+MIN(1.5,MAX(0,(P10-2.5)*1.25)))/107*100,1))</f>
        <v>90.8</v>
      </c>
      <c r="AE10" s="294" t="str">
        <f t="shared" si="0"/>
        <v>League Winner</v>
      </c>
      <c r="AF10" s="295">
        <f t="shared" si="1"/>
        <v>72.907562673779736</v>
      </c>
      <c r="AG10" s="295">
        <f t="shared" si="2"/>
        <v>88</v>
      </c>
      <c r="AH10" s="123"/>
      <c r="AI10" s="123"/>
      <c r="AJ10" s="123"/>
      <c r="AK10" s="123"/>
      <c r="AL10" s="123"/>
    </row>
    <row r="11" spans="1:38" ht="15.75" customHeight="1" x14ac:dyDescent="0.3">
      <c r="A11" s="211" t="s">
        <v>107</v>
      </c>
      <c r="B11" s="212">
        <v>5.5</v>
      </c>
      <c r="C11" s="213" t="s">
        <v>197</v>
      </c>
      <c r="D11" s="212">
        <v>8</v>
      </c>
      <c r="E11" s="214">
        <f>IFERROR(VLOOKUP(A11,Vacancy_Calculator!$A$4:$D$35,3,FALSE()),0)</f>
        <v>0</v>
      </c>
      <c r="F11" s="215">
        <f t="shared" si="3"/>
        <v>-1</v>
      </c>
      <c r="G11" s="211" t="str">
        <f t="shared" si="4"/>
        <v>Landmine</v>
      </c>
      <c r="H11" s="123"/>
      <c r="I11" s="168" t="s">
        <v>314</v>
      </c>
      <c r="J11" s="170">
        <v>222</v>
      </c>
      <c r="K11" s="169">
        <v>74</v>
      </c>
      <c r="L11" s="302">
        <v>41</v>
      </c>
      <c r="M11" s="205">
        <v>4.4800000000000004</v>
      </c>
      <c r="N11" s="149">
        <f>IFERROR(((J11*200)/(M11^4))*(1+((K11-AVERAGE($K$2:$K$59))/AVERAGE($K$2:$K$59)))*(1+((L11-35.5)/35.5)*0.15),0)</f>
        <v>114.10682962763929</v>
      </c>
      <c r="O11" s="301">
        <v>10</v>
      </c>
      <c r="P11" s="169">
        <v>2.1453000000000002</v>
      </c>
      <c r="Q11" s="302">
        <v>4.17</v>
      </c>
      <c r="R11" s="303">
        <v>9.7100000000000009</v>
      </c>
      <c r="S11" s="175">
        <v>0.2641</v>
      </c>
      <c r="T11" s="175">
        <v>0.53849999999999998</v>
      </c>
      <c r="U11" s="175">
        <v>0.21579999999999999</v>
      </c>
      <c r="V11" s="169">
        <v>10.29</v>
      </c>
      <c r="W11" s="176">
        <v>0.95660000000000001</v>
      </c>
      <c r="X11" s="290">
        <v>1</v>
      </c>
      <c r="Y11" s="304">
        <f>ROUND(MIN(20,MAX(0,(R11/10)*20))+MIN(20,MAX(0,(N11/120)*20))+MIN(20,MAX(0,(P11/4)*20))+MIN(15,MAX(0,(1-(Q11/15))*15))+MIN(15,MAX(0,(S11/0.3)*15))+MIN(10,MAX(0,(T11/0.65)*10)),1)</f>
        <v>81.5</v>
      </c>
      <c r="Z11" s="305">
        <f>ROUND(MIN(34,MAX(0,(P11/3.2)*34))+MIN(15,MAX(0,((O11-8.5)/2.5)*15))+MIN(24,MAX(0,(U11/0.22)*24))+MIN(14,MAX(0,(W11/0.85)*14))+IF(ISNUMBER(AA11),MAX(0,30-((INT(AA11)-1)*32+ROUND(MOD(AA11,1)*100,0))*0.07),IF(LOWER(AA11)="udfa",3,12)),1)</f>
        <v>92.8</v>
      </c>
      <c r="AA11" s="323">
        <v>3.3</v>
      </c>
      <c r="AB11" s="292" t="s">
        <v>133</v>
      </c>
      <c r="AC11" s="182">
        <f>IF(AB11="","1.00",IFERROR(VLOOKUP(AB11,'WR Model Page'!$A:$F,6,FALSE()),1))</f>
        <v>1</v>
      </c>
      <c r="AD11" s="456">
        <f>IF(AND(LOWER(AA11)="udfa",OR(AB11="N/A",AB11="")),-999,ROUND((MIN(IF(AF11&gt;83,99,96),MAX(0,AG11+Z11*0.38))+MAX(0,IFERROR(VALUE(AC11),0))+IF(ISNUMBER(AA11),IF(((INT(AA11)-1)*32+ROUND(MOD(AA11,1)*100,0))&lt;=96,MAX(0,(1-((INT(AA11)-1)*32+ROUND(MOD(AA11,1)*100,0))/96)*2),MAX(0,(1-((INT(AA11)-1)*32+ROUND(MOD(AA11,1)*100,0))/128)*0.5)),0)+MIN(1.5,MAX(0,(P11-2.5)*1.25)))/107*100,1))</f>
        <v>90.7</v>
      </c>
      <c r="AE11" s="294" t="str">
        <f t="shared" si="0"/>
        <v>League Winner</v>
      </c>
      <c r="AF11" s="295">
        <f t="shared" si="1"/>
        <v>62.56355855434515</v>
      </c>
      <c r="AG11" s="295">
        <f t="shared" si="2"/>
        <v>72.5</v>
      </c>
      <c r="AH11" s="123"/>
      <c r="AI11" s="123"/>
      <c r="AJ11" s="123"/>
      <c r="AK11" s="123"/>
      <c r="AL11" s="123"/>
    </row>
    <row r="12" spans="1:38" ht="15.75" customHeight="1" x14ac:dyDescent="0.3">
      <c r="A12" s="211" t="s">
        <v>109</v>
      </c>
      <c r="B12" s="212">
        <v>5.5</v>
      </c>
      <c r="C12" s="213" t="s">
        <v>201</v>
      </c>
      <c r="D12" s="212">
        <v>6.5</v>
      </c>
      <c r="E12" s="214">
        <f>IFERROR(VLOOKUP(A12,Vacancy_Calculator!$A$4:$D$35,3,FALSE()),0)</f>
        <v>0</v>
      </c>
      <c r="F12" s="215">
        <f t="shared" si="3"/>
        <v>-1</v>
      </c>
      <c r="G12" s="211" t="str">
        <f t="shared" si="4"/>
        <v>Landmine</v>
      </c>
      <c r="H12" s="123"/>
      <c r="I12" s="168" t="s">
        <v>315</v>
      </c>
      <c r="J12" s="286">
        <v>189</v>
      </c>
      <c r="K12" s="286">
        <v>75</v>
      </c>
      <c r="L12" s="302">
        <v>41</v>
      </c>
      <c r="M12" s="288">
        <v>4.43</v>
      </c>
      <c r="N12" s="149">
        <f>IFERROR(((J12*200)/(M12^4))*(1+((K12-AVERAGE($K$2:$K$59))/AVERAGE($K$2:$K$59)))*(1+((L12-35.5)/35.5)*0.15),0)</f>
        <v>102.97864272907175</v>
      </c>
      <c r="O12" s="301">
        <v>9.5</v>
      </c>
      <c r="P12" s="169">
        <v>3.3</v>
      </c>
      <c r="Q12" s="302">
        <v>6</v>
      </c>
      <c r="R12" s="169">
        <v>9</v>
      </c>
      <c r="S12" s="459">
        <v>0.28999999999999998</v>
      </c>
      <c r="T12" s="459">
        <v>0.55000000000000004</v>
      </c>
      <c r="U12" s="459">
        <v>0.16500000000000001</v>
      </c>
      <c r="V12" s="169">
        <v>15</v>
      </c>
      <c r="W12" s="460">
        <v>0.72</v>
      </c>
      <c r="X12" s="324">
        <v>0.85</v>
      </c>
      <c r="Y12" s="325">
        <f>ROUND(MIN(20,MAX(0,(R12/10)*20))+MIN(20,MAX(0,(N12/120)*20))+MIN(20,MAX(0,(P12/4)*20))+MIN(15,MAX(0,(1-(Q12/15))*15))+MIN(15,MAX(0,(S12/0.3)*15))+MIN(10,MAX(0,(T12/0.65)*10)),1)</f>
        <v>83.6</v>
      </c>
      <c r="Z12" s="82">
        <f>ROUND(MIN(34,MAX(0,(P12/3.2)*34))+MIN(15,MAX(0,((O12-8.5)/2.5)*15))+MIN(24,MAX(0,(U12/0.22)*24))+MIN(14,MAX(0,(W12/0.85)*14))+IF(ISNUMBER(AA12),MAX(0,30-((INT(AA12)-1)*32+ROUND(MOD(AA12,1)*100,0))*0.07),IF(LOWER(AA12)="udfa",3,12)),1)</f>
        <v>84.6</v>
      </c>
      <c r="AA12" s="84">
        <v>7.26</v>
      </c>
      <c r="AB12" s="85" t="s">
        <v>112</v>
      </c>
      <c r="AC12" s="326">
        <f>IF(AB12="","1.00",IFERROR(VLOOKUP(AB12,'WR Model Page'!$A:$F,6,FALSE()),1))</f>
        <v>0</v>
      </c>
      <c r="AD12" s="456">
        <f>IF(AND(LOWER(AA12)="udfa",OR(AB12="N/A",AB12="")),-999,ROUND((MIN(IF(AF12&gt;83,99,96),MAX(0,AG12+Z12*0.38))+MAX(0,IFERROR(VALUE(AC12),0))+IF(ISNUMBER(AA12),IF(((INT(AA12)-1)*32+ROUND(MOD(AA12,1)*100,0))&lt;=96,MAX(0,(1-((INT(AA12)-1)*32+ROUND(MOD(AA12,1)*100,0))/96)*2),MAX(0,(1-((INT(AA12)-1)*32+ROUND(MOD(AA12,1)*100,0))/128)*0.5)),0)+MIN(1.5,MAX(0,(P12-2.5)*1.25)))/107*100,1))</f>
        <v>90.7</v>
      </c>
      <c r="AE12" s="294" t="str">
        <f t="shared" si="0"/>
        <v>League Winner</v>
      </c>
      <c r="AF12" s="295">
        <f t="shared" si="1"/>
        <v>63.677636564890342</v>
      </c>
      <c r="AG12" s="295">
        <f t="shared" si="2"/>
        <v>75</v>
      </c>
      <c r="AH12" s="123"/>
      <c r="AI12" s="123"/>
      <c r="AJ12" s="123"/>
      <c r="AK12" s="123"/>
      <c r="AL12" s="123"/>
    </row>
    <row r="13" spans="1:38" ht="15.75" customHeight="1" x14ac:dyDescent="0.3">
      <c r="A13" s="211" t="s">
        <v>112</v>
      </c>
      <c r="B13" s="212">
        <v>7.5</v>
      </c>
      <c r="C13" s="213" t="s">
        <v>187</v>
      </c>
      <c r="D13" s="212">
        <v>7.5</v>
      </c>
      <c r="E13" s="214">
        <f>IFERROR(VLOOKUP(A13,Vacancy_Calculator!$A$4:$D$35,3,FALSE()),0)</f>
        <v>2</v>
      </c>
      <c r="F13" s="215">
        <f t="shared" si="3"/>
        <v>0</v>
      </c>
      <c r="G13" s="211" t="str">
        <f t="shared" si="4"/>
        <v>Landmine</v>
      </c>
      <c r="H13" s="123"/>
      <c r="I13" s="327" t="s">
        <v>318</v>
      </c>
      <c r="J13" s="72">
        <v>206</v>
      </c>
      <c r="K13" s="71">
        <v>73</v>
      </c>
      <c r="L13" s="76">
        <v>32.5</v>
      </c>
      <c r="M13" s="73">
        <v>4.45</v>
      </c>
      <c r="N13" s="74">
        <f>IFERROR(((J13*200)/(M13^4))*(1+((K13-AVERAGE($K$2:$K$59))/AVERAGE($K$2:$K$59)))*(1+((L13-35.5)/35.5)*0.15),0)</f>
        <v>103.53124502697557</v>
      </c>
      <c r="O13" s="311">
        <v>9.875</v>
      </c>
      <c r="P13" s="71">
        <v>1.9189000000000001</v>
      </c>
      <c r="Q13" s="76">
        <v>1.71</v>
      </c>
      <c r="R13" s="71">
        <v>9.0399999999999991</v>
      </c>
      <c r="S13" s="313">
        <v>0.23180000000000001</v>
      </c>
      <c r="T13" s="313">
        <v>0.41670000000000001</v>
      </c>
      <c r="U13" s="313">
        <v>0.21149999999999999</v>
      </c>
      <c r="V13" s="71">
        <v>11.03</v>
      </c>
      <c r="W13" s="314">
        <v>0.94010000000000005</v>
      </c>
      <c r="X13" s="290">
        <v>1</v>
      </c>
      <c r="Y13" s="315">
        <f>ROUND(MIN(20,MAX(0,(R13/10)*20))+MIN(20,MAX(0,(N13/120)*20))+MIN(20,MAX(0,(P13/4)*20))+MIN(15,MAX(0,(1-(Q13/15))*15))+MIN(15,MAX(0,(S13/0.3)*15))+MIN(10,MAX(0,(T13/0.65)*10)),1)</f>
        <v>76.2</v>
      </c>
      <c r="Z13" s="316">
        <f>ROUND(MIN(34,MAX(0,(P13/3.2)*34))+MIN(15,MAX(0,((O13-8.5)/2.5)*15))+MIN(24,MAX(0,(U13/0.22)*24))+MIN(14,MAX(0,(W13/0.85)*14))+IF(ISNUMBER(AA13),MAX(0,30-((INT(AA13)-1)*32+ROUND(MOD(AA13,1)*100,0))*0.07),IF(LOWER(AA13)="udfa",3,12)),1)</f>
        <v>92.4</v>
      </c>
      <c r="AA13" s="329">
        <v>2.15</v>
      </c>
      <c r="AB13" s="330" t="s">
        <v>103</v>
      </c>
      <c r="AC13" s="182">
        <f>IF(AB13="","1.00",IFERROR(VLOOKUP(AB13,'WR Model Page'!$A:$F,6,FALSE()),1))</f>
        <v>-1</v>
      </c>
      <c r="AD13" s="456">
        <f>IF(AND(LOWER(AA13)="udfa",OR(AB13="N/A",AB13="")),-999,ROUND((MIN(IF(AF13&gt;83,99,96),MAX(0,AG13+Z13*0.38))+MAX(0,IFERROR(VALUE(AC13),0))+IF(ISNUMBER(AA13),IF(((INT(AA13)-1)*32+ROUND(MOD(AA13,1)*100,0))&lt;=96,MAX(0,(1-((INT(AA13)-1)*32+ROUND(MOD(AA13,1)*100,0))/96)*2),MAX(0,(1-((INT(AA13)-1)*32+ROUND(MOD(AA13,1)*100,0))/128)*0.5)),0)+MIN(1.5,MAX(0,(P13-2.5)*1.25)))/107*100,1))</f>
        <v>90.7</v>
      </c>
      <c r="AE13" s="294" t="str">
        <f t="shared" si="0"/>
        <v>League Winner</v>
      </c>
      <c r="AF13" s="295">
        <f t="shared" si="1"/>
        <v>62.714375048214364</v>
      </c>
      <c r="AG13" s="295">
        <f t="shared" si="2"/>
        <v>72.900000000000006</v>
      </c>
      <c r="AH13" s="123"/>
      <c r="AI13" s="123"/>
      <c r="AJ13" s="123"/>
      <c r="AK13" s="123"/>
      <c r="AL13" s="123"/>
    </row>
    <row r="14" spans="1:38" ht="15.75" customHeight="1" x14ac:dyDescent="0.3">
      <c r="A14" s="211" t="s">
        <v>115</v>
      </c>
      <c r="B14" s="212">
        <v>9</v>
      </c>
      <c r="C14" s="213" t="s">
        <v>187</v>
      </c>
      <c r="D14" s="212">
        <v>7</v>
      </c>
      <c r="E14" s="214">
        <f>IFERROR(VLOOKUP(A14,Vacancy_Calculator!$A$4:$D$35,3,FALSE()),0)</f>
        <v>0</v>
      </c>
      <c r="F14" s="215">
        <f t="shared" si="3"/>
        <v>0</v>
      </c>
      <c r="G14" s="211" t="str">
        <f t="shared" si="4"/>
        <v>Landmine</v>
      </c>
      <c r="H14" s="123"/>
      <c r="I14" s="334" t="s">
        <v>44</v>
      </c>
      <c r="J14" s="72">
        <v>198</v>
      </c>
      <c r="K14" s="71">
        <v>76</v>
      </c>
      <c r="L14" s="94">
        <v>38.5</v>
      </c>
      <c r="M14" s="73">
        <v>4.37</v>
      </c>
      <c r="N14" s="74">
        <f>IFERROR(((J14*200)/(M14^4))*(1+((K14-AVERAGE($K$2:$K$59))/AVERAGE($K$2:$K$59)))*(1+((L14-35.5)/35.5)*0.15),0)</f>
        <v>114.25765520110784</v>
      </c>
      <c r="O14" s="311">
        <v>9</v>
      </c>
      <c r="P14" s="71">
        <v>2.57</v>
      </c>
      <c r="Q14" s="76">
        <v>3.6</v>
      </c>
      <c r="R14" s="99">
        <v>8.9</v>
      </c>
      <c r="S14" s="335">
        <v>0.27</v>
      </c>
      <c r="T14" s="313">
        <v>0.38900000000000001</v>
      </c>
      <c r="U14" s="335">
        <v>0.22700000000000001</v>
      </c>
      <c r="V14" s="71">
        <v>13.8</v>
      </c>
      <c r="W14" s="336">
        <v>0.75</v>
      </c>
      <c r="X14" s="290">
        <v>1</v>
      </c>
      <c r="Y14" s="315">
        <f>ROUND(MIN(20,MAX(0,(R14/10)*20))+MIN(20,MAX(0,(N14/120)*20))+MIN(20,MAX(0,(P14/4)*20))+MIN(15,MAX(0,(1-(Q14/15))*15))+MIN(15,MAX(0,(S14/0.3)*15))+MIN(10,MAX(0,(T14/0.65)*10)),1)</f>
        <v>80.599999999999994</v>
      </c>
      <c r="Z14" s="316">
        <f>ROUND(MIN(34,MAX(0,(P14/3.2)*34))+MIN(15,MAX(0,((O14-8.5)/2.5)*15))+MIN(24,MAX(0,(U14/0.22)*24))+MIN(14,MAX(0,(W14/0.85)*14))+IF(ISNUMBER(AA14),MAX(0,30-((INT(AA14)-1)*32+ROUND(MOD(AA14,1)*100,0))*0.07),IF(LOWER(AA14)="udfa",3,12)),1)</f>
        <v>90.8</v>
      </c>
      <c r="AA14" s="331">
        <v>3.19</v>
      </c>
      <c r="AB14" s="337" t="s">
        <v>96</v>
      </c>
      <c r="AC14" s="182">
        <f>IF(AB14="","1.00",IFERROR(VLOOKUP(AB14,'WR Model Page'!$A:$F,6,FALSE()),1))</f>
        <v>-1</v>
      </c>
      <c r="AD14" s="456">
        <f>IF(AND(LOWER(AA14)="udfa",OR(AB14="N/A",AB14="")),-999,ROUND((MIN(IF(AF14&gt;83,99,96),MAX(0,AG14+Z14*0.38))+MAX(0,IFERROR(VALUE(AC14),0))+IF(ISNUMBER(AA14),IF(((INT(AA14)-1)*32+ROUND(MOD(AA14,1)*100,0))&lt;=96,MAX(0,(1-((INT(AA14)-1)*32+ROUND(MOD(AA14,1)*100,0))/96)*2),MAX(0,(1-((INT(AA14)-1)*32+ROUND(MOD(AA14,1)*100,0))/128)*0.5)),0)+MIN(1.5,MAX(0,(P14-2.5)*1.25)))/107*100,1))</f>
        <v>90.1</v>
      </c>
      <c r="AE14" s="294" t="str">
        <f t="shared" si="0"/>
        <v>League Winner</v>
      </c>
      <c r="AF14" s="295">
        <f t="shared" si="1"/>
        <v>66.925291839065665</v>
      </c>
      <c r="AG14" s="295">
        <f t="shared" si="2"/>
        <v>80.5</v>
      </c>
      <c r="AH14" s="123"/>
      <c r="AI14" s="123"/>
      <c r="AJ14" s="123"/>
      <c r="AK14" s="123"/>
      <c r="AL14" s="123"/>
    </row>
    <row r="15" spans="1:38" ht="15.75" customHeight="1" x14ac:dyDescent="0.3">
      <c r="A15" s="211" t="s">
        <v>111</v>
      </c>
      <c r="B15" s="212">
        <v>8.5</v>
      </c>
      <c r="C15" s="213" t="s">
        <v>201</v>
      </c>
      <c r="D15" s="212">
        <v>7</v>
      </c>
      <c r="E15" s="214">
        <f>IFERROR(VLOOKUP(A15,Vacancy_Calculator!$A$4:$D$35,3,FALSE()),0)</f>
        <v>0</v>
      </c>
      <c r="F15" s="215">
        <f t="shared" si="3"/>
        <v>-1</v>
      </c>
      <c r="G15" s="211" t="str">
        <f t="shared" si="4"/>
        <v>Landmine</v>
      </c>
      <c r="H15" s="123"/>
      <c r="I15" s="327" t="s">
        <v>322</v>
      </c>
      <c r="J15" s="72">
        <v>218</v>
      </c>
      <c r="K15" s="71">
        <v>77</v>
      </c>
      <c r="L15" s="76">
        <v>33.5</v>
      </c>
      <c r="M15" s="73">
        <v>4.6100000000000003</v>
      </c>
      <c r="N15" s="74">
        <f>IFERROR(((J15*200)/(M15^4))*(1+((K15-AVERAGE($K$2:$K$59))/AVERAGE($K$2:$K$59)))*(1+((L15-35.5)/35.5)*0.15),0)</f>
        <v>100.76728526056554</v>
      </c>
      <c r="O15" s="311">
        <v>9</v>
      </c>
      <c r="P15" s="71">
        <v>2.0871</v>
      </c>
      <c r="Q15" s="76">
        <v>1.92</v>
      </c>
      <c r="R15" s="71">
        <v>7.5</v>
      </c>
      <c r="S15" s="313">
        <v>0.25090000000000001</v>
      </c>
      <c r="T15" s="313">
        <v>0.5</v>
      </c>
      <c r="U15" s="313">
        <v>0.22700000000000001</v>
      </c>
      <c r="V15" s="71">
        <v>13.69</v>
      </c>
      <c r="W15" s="314">
        <v>0.93110000000000004</v>
      </c>
      <c r="X15" s="290">
        <v>1</v>
      </c>
      <c r="Y15" s="315">
        <f>ROUND(MIN(20,MAX(0,(R15/10)*20))+MIN(20,MAX(0,(N15/120)*20))+MIN(20,MAX(0,(P15/4)*20))+MIN(15,MAX(0,(1-(Q15/15))*15))+MIN(15,MAX(0,(S15/0.3)*15))+MIN(10,MAX(0,(T15/0.65)*10)),1)</f>
        <v>75.5</v>
      </c>
      <c r="Z15" s="316">
        <f>ROUND(MIN(34,MAX(0,(P15/3.2)*34))+MIN(15,MAX(0,((O15-8.5)/2.5)*15))+MIN(24,MAX(0,(U15/0.22)*24))+MIN(14,MAX(0,(W15/0.85)*14))+IF(ISNUMBER(AA15),MAX(0,30-((INT(AA15)-1)*32+ROUND(MOD(AA15,1)*100,0))*0.07),IF(LOWER(AA15)="udfa",3,12)),1)</f>
        <v>88</v>
      </c>
      <c r="AA15" s="329">
        <v>3.1</v>
      </c>
      <c r="AB15" s="330" t="s">
        <v>139</v>
      </c>
      <c r="AC15" s="182">
        <f>IF(AB15="","1.00",IFERROR(VLOOKUP(AB15,'WR Model Page'!$A:$F,6,FALSE()),1))</f>
        <v>-1</v>
      </c>
      <c r="AD15" s="456">
        <f>IF(AND(LOWER(AA15)="udfa",OR(AB15="N/A",AB15="")),-999,ROUND((MIN(IF(AF15&gt;83,99,96),MAX(0,AG15+Z15*0.38))+MAX(0,IFERROR(VALUE(AC15),0))+IF(ISNUMBER(AA15),IF(((INT(AA15)-1)*32+ROUND(MOD(AA15,1)*100,0))&lt;=96,MAX(0,(1-((INT(AA15)-1)*32+ROUND(MOD(AA15,1)*100,0))/96)*2),MAX(0,(1-((INT(AA15)-1)*32+ROUND(MOD(AA15,1)*100,0))/128)*0.5)),0)+MIN(1.5,MAX(0,(P15-2.5)*1.25)))/107*100,1))</f>
        <v>90.1</v>
      </c>
      <c r="AE15" s="294" t="str">
        <f t="shared" si="0"/>
        <v>League Winner</v>
      </c>
      <c r="AF15" s="295">
        <f t="shared" si="1"/>
        <v>64.440994656067147</v>
      </c>
      <c r="AG15" s="295">
        <f t="shared" si="2"/>
        <v>76.400000000000006</v>
      </c>
      <c r="AH15" s="123"/>
      <c r="AI15" s="123"/>
      <c r="AJ15" s="123"/>
      <c r="AK15" s="123"/>
      <c r="AL15" s="123"/>
    </row>
    <row r="16" spans="1:38" ht="15.75" customHeight="1" x14ac:dyDescent="0.3">
      <c r="A16" s="211" t="s">
        <v>118</v>
      </c>
      <c r="B16" s="212">
        <v>7</v>
      </c>
      <c r="C16" s="213" t="s">
        <v>187</v>
      </c>
      <c r="D16" s="212">
        <v>7.5</v>
      </c>
      <c r="E16" s="214">
        <f>IFERROR(VLOOKUP(A16,Vacancy_Calculator!$A$4:$D$35,3,FALSE()),0)</f>
        <v>6</v>
      </c>
      <c r="F16" s="215">
        <f t="shared" si="3"/>
        <v>1</v>
      </c>
      <c r="G16" s="211" t="str">
        <f t="shared" si="4"/>
        <v>Neutral</v>
      </c>
      <c r="H16" s="123"/>
      <c r="I16" s="327" t="s">
        <v>319</v>
      </c>
      <c r="J16" s="72">
        <v>192</v>
      </c>
      <c r="K16" s="71">
        <v>72</v>
      </c>
      <c r="L16" s="76">
        <v>41</v>
      </c>
      <c r="M16" s="73">
        <v>4.4000000000000004</v>
      </c>
      <c r="N16" s="74">
        <f>IFERROR(((J16*200)/(M16^4))*(1+((K16-AVERAGE($K$2:$K$59))/AVERAGE($K$2:$K$59)))*(1+((L16-35.5)/35.5)*0.15),0)</f>
        <v>103.19579948594051</v>
      </c>
      <c r="O16" s="311">
        <v>10</v>
      </c>
      <c r="P16" s="71">
        <v>2.7374999999999998</v>
      </c>
      <c r="Q16" s="76">
        <v>5.13</v>
      </c>
      <c r="R16" s="71">
        <v>9.7100000000000009</v>
      </c>
      <c r="S16" s="313">
        <v>0.33379999999999999</v>
      </c>
      <c r="T16" s="313">
        <v>0.55259999999999998</v>
      </c>
      <c r="U16" s="313">
        <v>0.2893</v>
      </c>
      <c r="V16" s="71">
        <v>10.64</v>
      </c>
      <c r="W16" s="314">
        <v>0.94440000000000002</v>
      </c>
      <c r="X16" s="290">
        <v>0.85</v>
      </c>
      <c r="Y16" s="315">
        <f>ROUND(MIN(20,MAX(0,(R16/10)*20))+MIN(20,MAX(0,(N16/120)*20))+MIN(20,MAX(0,(P16/4)*20))+MIN(15,MAX(0,(1-(Q16/15))*15))+MIN(15,MAX(0,(S16/0.3)*15))+MIN(10,MAX(0,(T16/0.65)*10)),1)</f>
        <v>83.7</v>
      </c>
      <c r="Z16" s="316">
        <f>ROUND(MIN(34,MAX(0,(P16/3.2)*34))+MIN(15,MAX(0,((O16-8.5)/2.5)*15))+MIN(24,MAX(0,(U16/0.22)*24))+MIN(14,MAX(0,(W16/0.85)*14))+IF(ISNUMBER(AA16),MAX(0,30-((INT(AA16)-1)*32+ROUND(MOD(AA16,1)*100,0))*0.07),IF(LOWER(AA16)="udfa",3,12)),1)</f>
        <v>97.3</v>
      </c>
      <c r="AA16" s="329">
        <v>4.29</v>
      </c>
      <c r="AB16" s="330" t="s">
        <v>99</v>
      </c>
      <c r="AC16" s="182">
        <f>IF(AB16="","1.00",IFERROR(VLOOKUP(AB16,'WR Model Page'!$A:$F,6,FALSE()),1))</f>
        <v>0</v>
      </c>
      <c r="AD16" s="456">
        <f>IF(AND(LOWER(AA16)="udfa",OR(AB16="N/A",AB16="")),-999,ROUND((MIN(IF(AF16&gt;83,99,96),MAX(0,AG16+Z16*0.38))+MAX(0,IFERROR(VALUE(AC16),0))+IF(ISNUMBER(AA16),IF(((INT(AA16)-1)*32+ROUND(MOD(AA16,1)*100,0))&lt;=96,MAX(0,(1-((INT(AA16)-1)*32+ROUND(MOD(AA16,1)*100,0))/96)*2),MAX(0,(1-((INT(AA16)-1)*32+ROUND(MOD(AA16,1)*100,0))/128)*0.5)),0)+MIN(1.5,MAX(0,(P16-2.5)*1.25)))/107*100,1))</f>
        <v>90</v>
      </c>
      <c r="AE16" s="294" t="str">
        <f t="shared" si="0"/>
        <v>League Winner</v>
      </c>
      <c r="AF16" s="295">
        <f t="shared" si="1"/>
        <v>63.463971159772633</v>
      </c>
      <c r="AG16" s="295">
        <f t="shared" si="2"/>
        <v>74.5</v>
      </c>
      <c r="AH16" s="123"/>
      <c r="AI16" s="123"/>
      <c r="AJ16" s="123"/>
      <c r="AK16" s="123"/>
      <c r="AL16" s="123"/>
    </row>
    <row r="17" spans="1:38" ht="15.75" customHeight="1" x14ac:dyDescent="0.3">
      <c r="A17" s="211" t="s">
        <v>121</v>
      </c>
      <c r="B17" s="212">
        <v>7</v>
      </c>
      <c r="C17" s="213" t="s">
        <v>197</v>
      </c>
      <c r="D17" s="212">
        <v>7.5</v>
      </c>
      <c r="E17" s="214">
        <f>IFERROR(VLOOKUP(A17,Vacancy_Calculator!$A$4:$D$35,3,FALSE()),0)</f>
        <v>4</v>
      </c>
      <c r="F17" s="215">
        <f t="shared" si="3"/>
        <v>1</v>
      </c>
      <c r="G17" s="211" t="str">
        <f t="shared" si="4"/>
        <v>Neutral</v>
      </c>
      <c r="H17" s="123"/>
      <c r="I17" s="327" t="s">
        <v>320</v>
      </c>
      <c r="J17" s="72">
        <v>210</v>
      </c>
      <c r="K17" s="71">
        <v>75</v>
      </c>
      <c r="L17" s="76">
        <v>33</v>
      </c>
      <c r="M17" s="97">
        <v>4.45</v>
      </c>
      <c r="N17" s="74">
        <f>IFERROR(((J17*200)/(M17^4))*(1+((K17-AVERAGE($K$2:$K$59))/AVERAGE($K$2:$K$59)))*(1+((L17-35.5)/35.5)*0.15),0)</f>
        <v>108.66513526601302</v>
      </c>
      <c r="O17" s="311">
        <v>10</v>
      </c>
      <c r="P17" s="71">
        <v>2.5737000000000001</v>
      </c>
      <c r="Q17" s="76">
        <v>4.09</v>
      </c>
      <c r="R17" s="328">
        <v>7.1</v>
      </c>
      <c r="S17" s="313">
        <v>0.25600000000000001</v>
      </c>
      <c r="T17" s="313">
        <v>0.49120000000000003</v>
      </c>
      <c r="U17" s="313">
        <v>0.23649999999999999</v>
      </c>
      <c r="V17" s="71">
        <v>11.61</v>
      </c>
      <c r="W17" s="314">
        <v>0.94540000000000002</v>
      </c>
      <c r="X17" s="290">
        <v>1</v>
      </c>
      <c r="Y17" s="315">
        <f>ROUND(MIN(20,MAX(0,(R17/10)*20))+MIN(20,MAX(0,(N17/120)*20))+MIN(20,MAX(0,(P17/4)*20))+MIN(15,MAX(0,(1-(Q17/15))*15))+MIN(15,MAX(0,(S17/0.3)*15))+MIN(10,MAX(0,(T17/0.65)*10)),1)</f>
        <v>76.400000000000006</v>
      </c>
      <c r="Z17" s="316">
        <f>ROUND(MIN(34,MAX(0,(P17/3.2)*34))+MIN(15,MAX(0,((O17-8.5)/2.5)*15))+MIN(24,MAX(0,(U17/0.22)*24))+MIN(14,MAX(0,(W17/0.85)*14))+IF(ISNUMBER(AA17),MAX(0,30-((INT(AA17)-1)*32+ROUND(MOD(AA17,1)*100,0))*0.07),IF(LOWER(AA17)="udfa",3,12)),1)</f>
        <v>96.3</v>
      </c>
      <c r="AA17" s="329">
        <v>4.1900000000000004</v>
      </c>
      <c r="AB17" s="333" t="s">
        <v>97</v>
      </c>
      <c r="AC17" s="182">
        <f>IF(AB17="","1.00",IFERROR(VLOOKUP(AB17,'WR Model Page'!$A:$F,6,FALSE()),1))</f>
        <v>0</v>
      </c>
      <c r="AD17" s="456">
        <f>IF(AND(LOWER(AA17)="udfa",OR(AB17="N/A",AB17="")),-999,ROUND((MIN(IF(AF17&gt;83,99,96),MAX(0,AG17+Z17*0.38))+MAX(0,IFERROR(VALUE(AC17),0))+IF(ISNUMBER(AA17),IF(((INT(AA17)-1)*32+ROUND(MOD(AA17,1)*100,0))&lt;=96,MAX(0,(1-((INT(AA17)-1)*32+ROUND(MOD(AA17,1)*100,0))/96)*2),MAX(0,(1-((INT(AA17)-1)*32+ROUND(MOD(AA17,1)*100,0))/128)*0.5)),0)+MIN(1.5,MAX(0,(P17-2.5)*1.25)))/107*100,1))</f>
        <v>89.9</v>
      </c>
      <c r="AE17" s="294" t="str">
        <f t="shared" si="0"/>
        <v>League Winner</v>
      </c>
      <c r="AF17" s="295">
        <f t="shared" si="1"/>
        <v>62.808781312375785</v>
      </c>
      <c r="AG17" s="295">
        <f t="shared" si="2"/>
        <v>73.099999999999994</v>
      </c>
      <c r="AH17" s="123"/>
      <c r="AI17" s="123"/>
      <c r="AJ17" s="123"/>
      <c r="AK17" s="123"/>
      <c r="AL17" s="123"/>
    </row>
    <row r="18" spans="1:38" ht="15.75" customHeight="1" x14ac:dyDescent="0.3">
      <c r="A18" s="211" t="s">
        <v>124</v>
      </c>
      <c r="B18" s="212">
        <v>8</v>
      </c>
      <c r="C18" s="213" t="s">
        <v>187</v>
      </c>
      <c r="D18" s="212">
        <v>7</v>
      </c>
      <c r="E18" s="214">
        <f>IFERROR(VLOOKUP(A18,Vacancy_Calculator!$A$4:$D$35,3,FALSE()),0)</f>
        <v>6</v>
      </c>
      <c r="F18" s="215">
        <f t="shared" si="3"/>
        <v>1</v>
      </c>
      <c r="G18" s="211" t="str">
        <f t="shared" si="4"/>
        <v>Neutral</v>
      </c>
      <c r="H18" s="123"/>
      <c r="I18" s="327" t="s">
        <v>323</v>
      </c>
      <c r="J18" s="72">
        <v>204</v>
      </c>
      <c r="K18" s="71">
        <v>75</v>
      </c>
      <c r="L18" s="76">
        <v>41.5</v>
      </c>
      <c r="M18" s="73">
        <v>4.34</v>
      </c>
      <c r="N18" s="74">
        <f>IFERROR(((J18*200)/(M18^4))*(1+((K18-AVERAGE($K$2:$K$59))/AVERAGE($K$2:$K$59)))*(1+((L18-35.5)/35.5)*0.15),0)</f>
        <v>120.91140681392443</v>
      </c>
      <c r="O18" s="311">
        <v>9.25</v>
      </c>
      <c r="P18" s="99">
        <v>2.41</v>
      </c>
      <c r="Q18" s="94">
        <v>4.2</v>
      </c>
      <c r="R18" s="71">
        <v>9.9499999999999993</v>
      </c>
      <c r="S18" s="335">
        <v>0.38</v>
      </c>
      <c r="T18" s="335">
        <v>0.57999999999999996</v>
      </c>
      <c r="U18" s="335">
        <v>0.32</v>
      </c>
      <c r="V18" s="99">
        <v>14.5</v>
      </c>
      <c r="W18" s="336">
        <v>0.85</v>
      </c>
      <c r="X18" s="290">
        <v>0.7</v>
      </c>
      <c r="Y18" s="315">
        <f>ROUND(MIN(20,MAX(0,(R18/10)*20))+MIN(20,MAX(0,(N18/120)*20))+MIN(20,MAX(0,(P18/4)*20))+MIN(15,MAX(0,(1-(Q18/15))*15))+MIN(15,MAX(0,(S18/0.3)*15))+MIN(10,MAX(0,(T18/0.65)*10)),1)</f>
        <v>86.7</v>
      </c>
      <c r="Z18" s="316">
        <f>ROUND(MIN(34,MAX(0,(P18/3.2)*34))+MIN(15,MAX(0,((O18-8.5)/2.5)*15))+MIN(24,MAX(0,(U18/0.22)*24))+MIN(14,MAX(0,(W18/0.85)*14))+IF(ISNUMBER(AA18),MAX(0,30-((INT(AA18)-1)*32+ROUND(MOD(AA18,1)*100,0))*0.07),IF(LOWER(AA18)="udfa",3,12)),1)</f>
        <v>88.6</v>
      </c>
      <c r="AA18" s="329">
        <v>4.4000000000000004</v>
      </c>
      <c r="AB18" s="330" t="s">
        <v>138</v>
      </c>
      <c r="AC18" s="182">
        <f>IF(AB18="","1.00",IFERROR(VLOOKUP(AB18,'WR Model Page'!$A:$F,6,FALSE()),1))</f>
        <v>-1</v>
      </c>
      <c r="AD18" s="456">
        <f>IF(AND(LOWER(AA18)="udfa",OR(AB18="N/A",AB18="")),-999,ROUND((MIN(IF(AF18&gt;83,99,96),MAX(0,AG18+Z18*0.38))+MAX(0,IFERROR(VALUE(AC18),0))+IF(ISNUMBER(AA18),IF(((INT(AA18)-1)*32+ROUND(MOD(AA18,1)*100,0))&lt;=96,MAX(0,(1-((INT(AA18)-1)*32+ROUND(MOD(AA18,1)*100,0))/96)*2),MAX(0,(1-((INT(AA18)-1)*32+ROUND(MOD(AA18,1)*100,0))/128)*0.5)),0)+MIN(1.5,MAX(0,(P18-2.5)*1.25)))/107*100,1))</f>
        <v>89.7</v>
      </c>
      <c r="AE18" s="294" t="str">
        <f t="shared" si="0"/>
        <v>League Winner</v>
      </c>
      <c r="AF18" s="295">
        <f t="shared" si="1"/>
        <v>60.218376815570927</v>
      </c>
      <c r="AG18" s="295">
        <f t="shared" si="2"/>
        <v>63.6</v>
      </c>
      <c r="AH18" s="123"/>
      <c r="AI18" s="123"/>
      <c r="AJ18" s="123"/>
      <c r="AK18" s="123"/>
      <c r="AL18" s="123"/>
    </row>
    <row r="19" spans="1:38" ht="15.75" customHeight="1" x14ac:dyDescent="0.3">
      <c r="A19" s="211" t="s">
        <v>127</v>
      </c>
      <c r="B19" s="212">
        <v>6.5</v>
      </c>
      <c r="C19" s="213" t="s">
        <v>187</v>
      </c>
      <c r="D19" s="212">
        <v>7.5</v>
      </c>
      <c r="E19" s="214">
        <f>IFERROR(VLOOKUP(A19,Vacancy_Calculator!$A$4:$D$35,3,FALSE()),0)</f>
        <v>0</v>
      </c>
      <c r="F19" s="215">
        <f t="shared" si="3"/>
        <v>-1</v>
      </c>
      <c r="G19" s="211" t="str">
        <f t="shared" si="4"/>
        <v>Landmine</v>
      </c>
      <c r="H19" s="123"/>
      <c r="I19" s="327" t="s">
        <v>325</v>
      </c>
      <c r="J19" s="340">
        <v>196</v>
      </c>
      <c r="K19" s="99">
        <v>72</v>
      </c>
      <c r="L19" s="94">
        <v>37</v>
      </c>
      <c r="M19" s="97">
        <v>4.46</v>
      </c>
      <c r="N19" s="74">
        <f>IFERROR(((J19*200)/(M19^4))*(1+((K19-AVERAGE($K$2:$K$59))/AVERAGE($K$2:$K$59)))*(1+((L19-35.5)/35.5)*0.15),0)</f>
        <v>98.141964785706662</v>
      </c>
      <c r="O19" s="341">
        <v>9.25</v>
      </c>
      <c r="P19" s="71">
        <v>1.8865000000000001</v>
      </c>
      <c r="Q19" s="76">
        <v>7.41</v>
      </c>
      <c r="R19" s="328">
        <v>8.1</v>
      </c>
      <c r="S19" s="313">
        <v>0.22559999999999999</v>
      </c>
      <c r="T19" s="313">
        <v>0.57140000000000002</v>
      </c>
      <c r="U19" s="313">
        <v>0.25340000000000001</v>
      </c>
      <c r="V19" s="71">
        <v>9.7899999999999991</v>
      </c>
      <c r="W19" s="314">
        <v>0.93120000000000003</v>
      </c>
      <c r="X19" s="290">
        <v>0.85</v>
      </c>
      <c r="Y19" s="315">
        <f>ROUND(MIN(20,MAX(0,(R19/10)*20))+MIN(20,MAX(0,(N19/120)*20))+MIN(20,MAX(0,(P19/4)*20))+MIN(15,MAX(0,(1-(Q19/15))*15))+MIN(15,MAX(0,(S19/0.3)*15))+MIN(10,MAX(0,(T19/0.65)*10)),1)</f>
        <v>69.7</v>
      </c>
      <c r="Z19" s="316">
        <f>ROUND(MIN(34,MAX(0,(P19/3.2)*34))+MIN(15,MAX(0,((O19-8.5)/2.5)*15))+MIN(24,MAX(0,(U19/0.22)*24))+MIN(14,MAX(0,(W19/0.85)*14))+IF(ISNUMBER(AA19),MAX(0,30-((INT(AA19)-1)*32+ROUND(MOD(AA19,1)*100,0))*0.07),IF(LOWER(AA19)="udfa",3,12)),1)</f>
        <v>90.9</v>
      </c>
      <c r="AA19" s="342">
        <v>1.24</v>
      </c>
      <c r="AB19" s="343" t="s">
        <v>109</v>
      </c>
      <c r="AC19" s="182">
        <f>IF(AB19="","1.00",IFERROR(VLOOKUP(AB19,'WR Model Page'!$A:$F,6,FALSE()),1))</f>
        <v>-1</v>
      </c>
      <c r="AD19" s="456">
        <f>IF(AND(LOWER(AA19)="udfa",OR(AB19="N/A",AB19="")),-999,ROUND((MIN(IF(AF19&gt;83,99,96),MAX(0,AG19+Z19*0.38))+MAX(0,IFERROR(VALUE(AC19),0))+IF(ISNUMBER(AA19),IF(((INT(AA19)-1)*32+ROUND(MOD(AA19,1)*100,0))&lt;=96,MAX(0,(1-((INT(AA19)-1)*32+ROUND(MOD(AA19,1)*100,0))/96)*2),MAX(0,(1-((INT(AA19)-1)*32+ROUND(MOD(AA19,1)*100,0))/128)*0.5)),0)+MIN(1.5,MAX(0,(P19-2.5)*1.25)))/107*100,1))</f>
        <v>87.3</v>
      </c>
      <c r="AE19" s="294" t="str">
        <f t="shared" si="0"/>
        <v>WR1 Upside</v>
      </c>
      <c r="AF19" s="295">
        <f t="shared" si="1"/>
        <v>57.381803528306698</v>
      </c>
      <c r="AG19" s="295">
        <f t="shared" si="2"/>
        <v>57.4</v>
      </c>
      <c r="AH19" s="123"/>
      <c r="AI19" s="123"/>
      <c r="AJ19" s="123"/>
      <c r="AK19" s="123"/>
      <c r="AL19" s="123"/>
    </row>
    <row r="20" spans="1:38" ht="15.75" customHeight="1" x14ac:dyDescent="0.3">
      <c r="A20" s="211" t="s">
        <v>123</v>
      </c>
      <c r="B20" s="212">
        <v>7</v>
      </c>
      <c r="C20" s="213" t="s">
        <v>187</v>
      </c>
      <c r="D20" s="212">
        <v>7</v>
      </c>
      <c r="E20" s="214">
        <f>IFERROR(VLOOKUP(A20,Vacancy_Calculator!$A$4:$D$35,3,FALSE()),0)</f>
        <v>8</v>
      </c>
      <c r="F20" s="215">
        <f t="shared" si="3"/>
        <v>2</v>
      </c>
      <c r="G20" s="211" t="str">
        <f t="shared" si="4"/>
        <v>Workhorse Situation</v>
      </c>
      <c r="H20" s="123"/>
      <c r="I20" s="168" t="s">
        <v>324</v>
      </c>
      <c r="J20" s="286">
        <v>190</v>
      </c>
      <c r="K20" s="286">
        <v>73</v>
      </c>
      <c r="L20" s="286">
        <v>35</v>
      </c>
      <c r="M20" s="288">
        <v>4.4400000000000004</v>
      </c>
      <c r="N20" s="149">
        <f>IFERROR(((J20*200)/(M20^4))*(1+((K20-AVERAGE($K$2:$K$59))/AVERAGE($K$2:$K$59)))*(1+((L20-35.5)/35.5)*0.15),0)</f>
        <v>97.384046721148252</v>
      </c>
      <c r="O20" s="301">
        <v>9</v>
      </c>
      <c r="P20" s="286">
        <v>2.5499999999999998</v>
      </c>
      <c r="Q20" s="286">
        <v>8.5</v>
      </c>
      <c r="R20" s="286">
        <v>7.5</v>
      </c>
      <c r="S20" s="459">
        <v>0.28000000000000003</v>
      </c>
      <c r="T20" s="459">
        <v>0.4</v>
      </c>
      <c r="U20" s="459">
        <v>0.16300000000000001</v>
      </c>
      <c r="V20" s="286">
        <v>15.5</v>
      </c>
      <c r="W20" s="460">
        <v>0.75</v>
      </c>
      <c r="X20" s="339">
        <v>1</v>
      </c>
      <c r="Y20" s="325">
        <f>ROUND(MIN(20,MAX(0,(R20/10)*20))+MIN(20,MAX(0,(N20/120)*20))+MIN(20,MAX(0,(P20/4)*20))+MIN(15,MAX(0,(1-(Q20/15))*15))+MIN(15,MAX(0,(S20/0.3)*15))+MIN(10,MAX(0,(T20/0.65)*10)),1)</f>
        <v>70.599999999999994</v>
      </c>
      <c r="Z20" s="82">
        <f>ROUND(MIN(34,MAX(0,(P20/3.2)*34))+MIN(15,MAX(0,((O20-8.5)/2.5)*15))+MIN(24,MAX(0,(U20/0.22)*24))+MIN(14,MAX(0,(W20/0.85)*14))+IF(ISNUMBER(AA20),MAX(0,30-((INT(AA20)-1)*32+ROUND(MOD(AA20,1)*100,0))*0.07),IF(LOWER(AA20)="udfa",3,12)),1)</f>
        <v>76.3</v>
      </c>
      <c r="AA20" s="84">
        <v>6.39</v>
      </c>
      <c r="AB20" s="85" t="s">
        <v>140</v>
      </c>
      <c r="AC20" s="326">
        <f>IF(AB20="","1.00",IFERROR(VLOOKUP(AB20,'WR Model Page'!$A:$F,6,FALSE()),1))</f>
        <v>0</v>
      </c>
      <c r="AD20" s="456">
        <f>IF(AND(LOWER(AA20)="udfa",OR(AB20="N/A",AB20="")),-999,ROUND((MIN(IF(AF20&gt;83,99,96),MAX(0,AG20+Z20*0.38))+MAX(0,IFERROR(VALUE(AC20),0))+IF(ISNUMBER(AA20),IF(((INT(AA20)-1)*32+ROUND(MOD(AA20,1)*100,0))&lt;=96,MAX(0,(1-((INT(AA20)-1)*32+ROUND(MOD(AA20,1)*100,0))/96)*2),MAX(0,(1-((INT(AA20)-1)*32+ROUND(MOD(AA20,1)*100,0))/128)*0.5)),0)+MIN(1.5,MAX(0,(P20-2.5)*1.25)))/107*100,1))</f>
        <v>87.2</v>
      </c>
      <c r="AE20" s="294" t="str">
        <f t="shared" si="0"/>
        <v>WR1 Upside</v>
      </c>
      <c r="AF20" s="295">
        <f t="shared" si="1"/>
        <v>60.293718062837527</v>
      </c>
      <c r="AG20" s="295">
        <f t="shared" si="2"/>
        <v>64.2</v>
      </c>
      <c r="AH20" s="123"/>
      <c r="AI20" s="123"/>
      <c r="AJ20" s="123"/>
      <c r="AK20" s="123"/>
      <c r="AL20" s="123"/>
    </row>
    <row r="21" spans="1:38" ht="15.75" customHeight="1" x14ac:dyDescent="0.3">
      <c r="A21" s="211" t="s">
        <v>131</v>
      </c>
      <c r="B21" s="212">
        <v>7.5</v>
      </c>
      <c r="C21" s="213" t="s">
        <v>197</v>
      </c>
      <c r="D21" s="212">
        <v>8</v>
      </c>
      <c r="E21" s="214">
        <f>IFERROR(VLOOKUP(A21,Vacancy_Calculator!$A$4:$D$35,3,FALSE()),0)</f>
        <v>10</v>
      </c>
      <c r="F21" s="215">
        <f t="shared" si="3"/>
        <v>3</v>
      </c>
      <c r="G21" s="211" t="str">
        <f t="shared" si="4"/>
        <v>Workhorse Situation</v>
      </c>
      <c r="H21" s="123"/>
      <c r="I21" s="327" t="s">
        <v>326</v>
      </c>
      <c r="J21" s="72">
        <v>200</v>
      </c>
      <c r="K21" s="71">
        <v>76</v>
      </c>
      <c r="L21" s="76">
        <v>37</v>
      </c>
      <c r="M21" s="73">
        <v>4.47</v>
      </c>
      <c r="N21" s="74">
        <f>IFERROR(((J21*200)/(M21^4))*(1+((K21-AVERAGE($K$2:$K$59))/AVERAGE($K$2:$K$59)))*(1+((L21-35.5)/35.5)*0.15),0)</f>
        <v>104.76569797477637</v>
      </c>
      <c r="O21" s="311">
        <v>10.5</v>
      </c>
      <c r="P21" s="71">
        <v>2.0206</v>
      </c>
      <c r="Q21" s="76">
        <v>5.71</v>
      </c>
      <c r="R21" s="71">
        <v>9.69</v>
      </c>
      <c r="S21" s="313">
        <v>0.1825</v>
      </c>
      <c r="T21" s="313">
        <v>0.4783</v>
      </c>
      <c r="U21" s="313">
        <v>0.1593</v>
      </c>
      <c r="V21" s="71">
        <v>12.03</v>
      </c>
      <c r="W21" s="314">
        <v>0.94320000000000004</v>
      </c>
      <c r="X21" s="290">
        <v>1</v>
      </c>
      <c r="Y21" s="315">
        <f>ROUND(MIN(20,MAX(0,(R21/10)*20))+MIN(20,MAX(0,(N21/120)*20))+MIN(20,MAX(0,(P21/4)*20))+MIN(15,MAX(0,(1-(Q21/15))*15))+MIN(15,MAX(0,(S21/0.3)*15))+MIN(10,MAX(0,(T21/0.65)*10)),1)</f>
        <v>72.7</v>
      </c>
      <c r="Z21" s="316">
        <f>ROUND(MIN(34,MAX(0,(P21/3.2)*34))+MIN(15,MAX(0,((O21-8.5)/2.5)*15))+MIN(24,MAX(0,(U21/0.22)*24))+MIN(14,MAX(0,(W21/0.85)*14))+IF(ISNUMBER(AA21),MAX(0,30-((INT(AA21)-1)*32+ROUND(MOD(AA21,1)*100,0))*0.07),IF(LOWER(AA21)="udfa",3,12)),1)</f>
        <v>89.2</v>
      </c>
      <c r="AA21" s="331">
        <v>3.16</v>
      </c>
      <c r="AB21" s="337" t="s">
        <v>97</v>
      </c>
      <c r="AC21" s="182">
        <f>IF(AB21="","1.00",IFERROR(VLOOKUP(AB21,'WR Model Page'!$A:$F,6,FALSE()),1))</f>
        <v>0</v>
      </c>
      <c r="AD21" s="456">
        <f>IF(AND(LOWER(AA21)="udfa",OR(AB21="N/A",AB21="")),-999,ROUND((MIN(IF(AF21&gt;83,99,96),MAX(0,AG21+Z21*0.38))+MAX(0,IFERROR(VALUE(AC21),0))+IF(ISNUMBER(AA21),IF(((INT(AA21)-1)*32+ROUND(MOD(AA21,1)*100,0))&lt;=96,MAX(0,(1-((INT(AA21)-1)*32+ROUND(MOD(AA21,1)*100,0))/96)*2),MAX(0,(1-((INT(AA21)-1)*32+ROUND(MOD(AA21,1)*100,0))/128)*0.5)),0)+MIN(1.5,MAX(0,(P21-2.5)*1.25)))/107*100,1))</f>
        <v>86.7</v>
      </c>
      <c r="AE21" s="294" t="str">
        <f t="shared" si="0"/>
        <v>WR1 Upside</v>
      </c>
      <c r="AF21" s="295">
        <f t="shared" si="1"/>
        <v>58.462305149960024</v>
      </c>
      <c r="AG21" s="295">
        <f t="shared" si="2"/>
        <v>58.5</v>
      </c>
      <c r="AH21" s="123"/>
      <c r="AI21" s="123"/>
      <c r="AJ21" s="123"/>
      <c r="AK21" s="123"/>
      <c r="AL21" s="123"/>
    </row>
    <row r="22" spans="1:38" ht="15.75" customHeight="1" x14ac:dyDescent="0.3">
      <c r="A22" s="211" t="s">
        <v>92</v>
      </c>
      <c r="B22" s="212">
        <v>7.5</v>
      </c>
      <c r="C22" s="213" t="s">
        <v>201</v>
      </c>
      <c r="D22" s="212">
        <v>7</v>
      </c>
      <c r="E22" s="214">
        <f>IFERROR(VLOOKUP(A22,Vacancy_Calculator!$A$4:$D$35,3,FALSE()),0)</f>
        <v>0</v>
      </c>
      <c r="F22" s="215">
        <f t="shared" si="3"/>
        <v>-1</v>
      </c>
      <c r="G22" s="211" t="str">
        <f t="shared" si="4"/>
        <v>Landmine</v>
      </c>
      <c r="H22" s="123"/>
      <c r="I22" s="327" t="s">
        <v>327</v>
      </c>
      <c r="J22" s="340">
        <v>205</v>
      </c>
      <c r="K22" s="99">
        <v>76</v>
      </c>
      <c r="L22" s="94">
        <v>36</v>
      </c>
      <c r="M22" s="73">
        <v>4.3899999999999997</v>
      </c>
      <c r="N22" s="74">
        <f>IFERROR(((J22*200)/(M22^4))*(1+((K22-AVERAGE($K$2:$K$59))/AVERAGE($K$2:$K$59)))*(1+((L22-35.5)/35.5)*0.15),0)</f>
        <v>114.94435800201418</v>
      </c>
      <c r="O22" s="341">
        <v>9.5</v>
      </c>
      <c r="P22" s="71">
        <v>1.8825000000000001</v>
      </c>
      <c r="Q22" s="76">
        <v>5.29</v>
      </c>
      <c r="R22" s="71">
        <v>9.4499999999999993</v>
      </c>
      <c r="S22" s="313">
        <v>0.22020000000000001</v>
      </c>
      <c r="T22" s="313">
        <v>0.33329999999999999</v>
      </c>
      <c r="U22" s="313">
        <v>0.19769999999999999</v>
      </c>
      <c r="V22" s="71">
        <v>13.19</v>
      </c>
      <c r="W22" s="314">
        <v>0.95630000000000004</v>
      </c>
      <c r="X22" s="290">
        <v>1</v>
      </c>
      <c r="Y22" s="315">
        <f>ROUND(MIN(20,MAX(0,(R22/10)*20))+MIN(20,MAX(0,(N22/120)*20))+MIN(20,MAX(0,(P22/4)*20))+MIN(15,MAX(0,(1-(Q22/15))*15))+MIN(15,MAX(0,(S22/0.3)*15))+MIN(10,MAX(0,(T22/0.65)*10)),1)</f>
        <v>73.3</v>
      </c>
      <c r="Z22" s="316">
        <f>ROUND(MIN(34,MAX(0,(P22/3.2)*34))+MIN(15,MAX(0,((O22-8.5)/2.5)*15))+MIN(24,MAX(0,(U22/0.22)*24))+MIN(14,MAX(0,(W22/0.85)*14))+IF(ISNUMBER(AA22),MAX(0,30-((INT(AA22)-1)*32+ROUND(MOD(AA22,1)*100,0))*0.07),IF(LOWER(AA22)="udfa",3,12)),1)</f>
        <v>86.3</v>
      </c>
      <c r="AA22" s="329">
        <v>3.11</v>
      </c>
      <c r="AB22" s="330" t="s">
        <v>133</v>
      </c>
      <c r="AC22" s="182">
        <f>IF(AB22="","1.00",IFERROR(VLOOKUP(AB22,'WR Model Page'!$A:$F,6,FALSE()),1))</f>
        <v>1</v>
      </c>
      <c r="AD22" s="456">
        <f>IF(AND(LOWER(AA22)="udfa",OR(AB22="N/A",AB22="")),-999,ROUND((MIN(IF(AF22&gt;83,99,96),MAX(0,AG22+Z22*0.38))+MAX(0,IFERROR(VALUE(AC22),0))+IF(ISNUMBER(AA22),IF(((INT(AA22)-1)*32+ROUND(MOD(AA22,1)*100,0))&lt;=96,MAX(0,(1-((INT(AA22)-1)*32+ROUND(MOD(AA22,1)*100,0))/96)*2),MAX(0,(1-((INT(AA22)-1)*32+ROUND(MOD(AA22,1)*100,0))/128)*0.5)),0)+MIN(1.5,MAX(0,(P22-2.5)*1.25)))/107*100,1))</f>
        <v>86.3</v>
      </c>
      <c r="AE22" s="294" t="str">
        <f t="shared" si="0"/>
        <v>WR1 Upside</v>
      </c>
      <c r="AF22" s="295">
        <f t="shared" si="1"/>
        <v>58.056956824389651</v>
      </c>
      <c r="AG22" s="295">
        <f t="shared" si="2"/>
        <v>58.1</v>
      </c>
      <c r="AH22" s="123"/>
      <c r="AI22" s="123"/>
      <c r="AJ22" s="123"/>
      <c r="AK22" s="123"/>
      <c r="AL22" s="123"/>
    </row>
    <row r="23" spans="1:38" ht="15.75" customHeight="1" x14ac:dyDescent="0.3">
      <c r="A23" s="211" t="s">
        <v>89</v>
      </c>
      <c r="B23" s="212">
        <v>5.5</v>
      </c>
      <c r="C23" s="213" t="s">
        <v>197</v>
      </c>
      <c r="D23" s="212">
        <v>7</v>
      </c>
      <c r="E23" s="214">
        <f>IFERROR(VLOOKUP(A23,Vacancy_Calculator!$A$4:$D$35,3,FALSE()),0)</f>
        <v>2</v>
      </c>
      <c r="F23" s="215">
        <f t="shared" si="3"/>
        <v>0</v>
      </c>
      <c r="G23" s="211" t="str">
        <f t="shared" si="4"/>
        <v>Landmine</v>
      </c>
      <c r="H23" s="123"/>
      <c r="I23" s="327" t="s">
        <v>328</v>
      </c>
      <c r="J23" s="72">
        <v>179</v>
      </c>
      <c r="K23" s="71">
        <v>70</v>
      </c>
      <c r="L23" s="76">
        <v>36.5</v>
      </c>
      <c r="M23" s="73">
        <v>4.49</v>
      </c>
      <c r="N23" s="74">
        <f>IFERROR(((J23*200)/(M23^4))*(1+((K23-AVERAGE($K$2:$K$59))/AVERAGE($K$2:$K$59)))*(1+((L23-35.5)/35.5)*0.15),0)</f>
        <v>84.656170525473499</v>
      </c>
      <c r="O23" s="311">
        <v>9.5</v>
      </c>
      <c r="P23" s="71">
        <v>2.2826</v>
      </c>
      <c r="Q23" s="76">
        <v>3.23</v>
      </c>
      <c r="R23" s="71">
        <v>6.45</v>
      </c>
      <c r="S23" s="313">
        <v>0.2989</v>
      </c>
      <c r="T23" s="313">
        <v>0.60609999999999997</v>
      </c>
      <c r="U23" s="313">
        <v>0.27750000000000002</v>
      </c>
      <c r="V23" s="71">
        <v>8.7899999999999991</v>
      </c>
      <c r="W23" s="314">
        <v>0.93940000000000001</v>
      </c>
      <c r="X23" s="290">
        <v>1</v>
      </c>
      <c r="Y23" s="315">
        <f>ROUND(MIN(20,MAX(0,(R23/10)*20))+MIN(20,MAX(0,(N23/120)*20))+MIN(20,MAX(0,(P23/4)*20))+MIN(15,MAX(0,(1-(Q23/15))*15))+MIN(15,MAX(0,(S23/0.3)*15))+MIN(10,MAX(0,(T23/0.65)*10)),1)</f>
        <v>74.5</v>
      </c>
      <c r="Z23" s="316">
        <f>ROUND(MIN(34,MAX(0,(P23/3.2)*34))+MIN(15,MAX(0,((O23-8.5)/2.5)*15))+MIN(24,MAX(0,(U23/0.22)*24))+MIN(14,MAX(0,(W23/0.85)*14))+IF(ISNUMBER(AA23),MAX(0,30-((INT(AA23)-1)*32+ROUND(MOD(AA23,1)*100,0))*0.07),IF(LOWER(AA23)="udfa",3,12)),1)</f>
        <v>85.9</v>
      </c>
      <c r="AA23" s="329">
        <v>6.17</v>
      </c>
      <c r="AB23" s="330" t="s">
        <v>133</v>
      </c>
      <c r="AC23" s="182">
        <f>IF(AB23="","1.00",IFERROR(VLOOKUP(AB23,'WR Model Page'!$A:$F,6,FALSE()),1))</f>
        <v>1</v>
      </c>
      <c r="AD23" s="456">
        <f>IF(AND(LOWER(AA23)="udfa",OR(AB23="N/A",AB23="")),-999,ROUND((MIN(IF(AF23&gt;83,99,96),MAX(0,AG23+Z23*0.38))+MAX(0,IFERROR(VALUE(AC23),0))+IF(ISNUMBER(AA23),IF(((INT(AA23)-1)*32+ROUND(MOD(AA23,1)*100,0))&lt;=96,MAX(0,(1-((INT(AA23)-1)*32+ROUND(MOD(AA23,1)*100,0))/96)*2),MAX(0,(1-((INT(AA23)-1)*32+ROUND(MOD(AA23,1)*100,0))/128)*0.5)),0)+MIN(1.5,MAX(0,(P23-2.5)*1.25)))/107*100,1))</f>
        <v>83</v>
      </c>
      <c r="AE23" s="294" t="str">
        <f t="shared" si="0"/>
        <v>WR1 Upside</v>
      </c>
      <c r="AF23" s="295">
        <f t="shared" si="1"/>
        <v>55.195682606775534</v>
      </c>
      <c r="AG23" s="295">
        <f t="shared" si="2"/>
        <v>55.2</v>
      </c>
      <c r="AH23" s="123"/>
      <c r="AI23" s="123"/>
      <c r="AJ23" s="123"/>
      <c r="AK23" s="123"/>
      <c r="AL23" s="123"/>
    </row>
    <row r="24" spans="1:38" ht="15.75" customHeight="1" x14ac:dyDescent="0.3">
      <c r="A24" s="211" t="s">
        <v>133</v>
      </c>
      <c r="B24" s="212">
        <v>7</v>
      </c>
      <c r="C24" s="213" t="s">
        <v>187</v>
      </c>
      <c r="D24" s="212">
        <v>8</v>
      </c>
      <c r="E24" s="214">
        <f>IFERROR(VLOOKUP(A24,Vacancy_Calculator!$A$4:$D$35,3,FALSE()),0)</f>
        <v>6</v>
      </c>
      <c r="F24" s="215">
        <f t="shared" si="3"/>
        <v>1</v>
      </c>
      <c r="G24" s="211" t="str">
        <f t="shared" si="4"/>
        <v>Neutral</v>
      </c>
      <c r="H24" s="123"/>
      <c r="I24" s="327" t="s">
        <v>329</v>
      </c>
      <c r="J24" s="72">
        <v>187</v>
      </c>
      <c r="K24" s="71">
        <v>75</v>
      </c>
      <c r="L24" s="94">
        <v>35.5</v>
      </c>
      <c r="M24" s="73">
        <v>4.57</v>
      </c>
      <c r="N24" s="74">
        <f>IFERROR(((J24*200)/(M24^4))*(1+((K24-AVERAGE($K$2:$K$59))/AVERAGE($K$2:$K$59)))*(1+((L24-35.5)/35.5)*0.15),0)</f>
        <v>87.922453873759167</v>
      </c>
      <c r="O24" s="311">
        <v>9.25</v>
      </c>
      <c r="P24" s="71">
        <v>1.7915000000000001</v>
      </c>
      <c r="Q24" s="76">
        <v>4.5999999999999996</v>
      </c>
      <c r="R24" s="328">
        <v>8.25</v>
      </c>
      <c r="S24" s="313">
        <v>0.2329</v>
      </c>
      <c r="T24" s="313">
        <v>0.48649999999999999</v>
      </c>
      <c r="U24" s="313">
        <v>0.21179999999999999</v>
      </c>
      <c r="V24" s="71">
        <v>15.33</v>
      </c>
      <c r="W24" s="314">
        <v>0.96150000000000002</v>
      </c>
      <c r="X24" s="290">
        <v>1</v>
      </c>
      <c r="Y24" s="315">
        <f>ROUND(MIN(20,MAX(0,(R24/10)*20))+MIN(20,MAX(0,(N24/120)*20))+MIN(20,MAX(0,(P24/4)*20))+MIN(15,MAX(0,(1-(Q24/15))*15))+MIN(15,MAX(0,(S24/0.3)*15))+MIN(10,MAX(0,(T24/0.65)*10)),1)</f>
        <v>69.599999999999994</v>
      </c>
      <c r="Z24" s="316">
        <f>ROUND(MIN(34,MAX(0,(P24/3.2)*34))+MIN(15,MAX(0,((O24-8.5)/2.5)*15))+MIN(24,MAX(0,(U24/0.22)*24))+MIN(14,MAX(0,(W24/0.85)*14))+IF(ISNUMBER(AA24),MAX(0,30-((INT(AA24)-1)*32+ROUND(MOD(AA24,1)*100,0))*0.07),IF(LOWER(AA24)="udfa",3,12)),1)</f>
        <v>80.599999999999994</v>
      </c>
      <c r="AA24" s="329">
        <v>5.15</v>
      </c>
      <c r="AB24" s="330" t="s">
        <v>90</v>
      </c>
      <c r="AC24" s="182">
        <f>IF(AB24="","1.00",IFERROR(VLOOKUP(AB24,'WR Model Page'!$A:$F,6,FALSE()),1))</f>
        <v>-1</v>
      </c>
      <c r="AD24" s="456">
        <f>IF(AND(LOWER(AA24)="udfa",OR(AB24="N/A",AB24="")),-999,ROUND((MIN(IF(AF24&gt;83,99,96),MAX(0,AG24+Z24*0.38))+MAX(0,IFERROR(VALUE(AC24),0))+IF(ISNUMBER(AA24),IF(((INT(AA24)-1)*32+ROUND(MOD(AA24,1)*100,0))&lt;=96,MAX(0,(1-((INT(AA24)-1)*32+ROUND(MOD(AA24,1)*100,0))/96)*2),MAX(0,(1-((INT(AA24)-1)*32+ROUND(MOD(AA24,1)*100,0))/128)*0.5)),0)+MIN(1.5,MAX(0,(P24-2.5)*1.25)))/107*100,1))</f>
        <v>82.7</v>
      </c>
      <c r="AE24" s="294" t="str">
        <f t="shared" si="0"/>
        <v>WR2 Upside</v>
      </c>
      <c r="AF24" s="295">
        <f t="shared" si="1"/>
        <v>57.929493861494429</v>
      </c>
      <c r="AG24" s="295">
        <f t="shared" si="2"/>
        <v>57.9</v>
      </c>
      <c r="AH24" s="123"/>
      <c r="AI24" s="123"/>
      <c r="AJ24" s="123"/>
      <c r="AK24" s="123"/>
      <c r="AL24" s="123"/>
    </row>
    <row r="25" spans="1:38" ht="15.75" customHeight="1" x14ac:dyDescent="0.3">
      <c r="A25" s="211" t="s">
        <v>137</v>
      </c>
      <c r="B25" s="212">
        <v>8</v>
      </c>
      <c r="C25" s="213" t="s">
        <v>187</v>
      </c>
      <c r="D25" s="212">
        <v>7.5</v>
      </c>
      <c r="E25" s="214">
        <f>IFERROR(VLOOKUP(A25,Vacancy_Calculator!$A$4:$D$35,3,FALSE()),0)</f>
        <v>4</v>
      </c>
      <c r="F25" s="215">
        <f t="shared" si="3"/>
        <v>1</v>
      </c>
      <c r="G25" s="211" t="str">
        <f t="shared" si="4"/>
        <v>Neutral</v>
      </c>
      <c r="H25" s="123"/>
      <c r="I25" s="327" t="s">
        <v>358</v>
      </c>
      <c r="J25" s="72">
        <v>194</v>
      </c>
      <c r="K25" s="71">
        <v>76</v>
      </c>
      <c r="L25" s="94">
        <v>36.5</v>
      </c>
      <c r="M25" s="97">
        <v>4.51</v>
      </c>
      <c r="N25" s="74">
        <f>IFERROR(((J25*200)/(M25^4))*(1+((K25-AVERAGE($K$2:$K$59))/AVERAGE($K$2:$K$59)))*(1+((L25-35.5)/35.5)*0.15),0)</f>
        <v>97.859291403275691</v>
      </c>
      <c r="O25" s="311">
        <v>9.75</v>
      </c>
      <c r="P25" s="71">
        <v>2.7025000000000001</v>
      </c>
      <c r="Q25" s="76">
        <v>6.21</v>
      </c>
      <c r="R25" s="71">
        <v>8.85</v>
      </c>
      <c r="S25" s="313">
        <v>0.2505</v>
      </c>
      <c r="T25" s="313">
        <v>0.3846</v>
      </c>
      <c r="U25" s="313">
        <v>0.19639999999999999</v>
      </c>
      <c r="V25" s="71">
        <v>11.8</v>
      </c>
      <c r="W25" s="314">
        <v>0.94830000000000003</v>
      </c>
      <c r="X25" s="290">
        <v>1</v>
      </c>
      <c r="Y25" s="315">
        <f>ROUND(MIN(20,MAX(0,(R25/10)*20))+MIN(20,MAX(0,(N25/120)*20))+MIN(20,MAX(0,(P25/4)*20))+MIN(15,MAX(0,(1-(Q25/15))*15))+MIN(15,MAX(0,(S25/0.3)*15))+MIN(10,MAX(0,(T25/0.65)*10)),1)</f>
        <v>74.8</v>
      </c>
      <c r="Z25" s="316">
        <f>ROUND(MIN(34,MAX(0,(P25/3.2)*34))+MIN(15,MAX(0,((O25-8.5)/2.5)*15))+MIN(24,MAX(0,(U25/0.22)*24))+MIN(14,MAX(0,(W25/0.85)*14))+IF(ISNUMBER(AA25),MAX(0,30-((INT(AA25)-1)*32+ROUND(MOD(AA25,1)*100,0))*0.07),IF(LOWER(AA25)="udfa",3,12)),1)</f>
        <v>74.599999999999994</v>
      </c>
      <c r="AA25" s="338" t="s">
        <v>95</v>
      </c>
      <c r="AB25" s="330" t="s">
        <v>95</v>
      </c>
      <c r="AC25" s="182">
        <f>IF(AB25="","1.00",IFERROR(VLOOKUP(AB25,'WR Model Page'!$A:$F,6,FALSE()),1))</f>
        <v>1</v>
      </c>
      <c r="AD25" s="456">
        <f>IF(AND(LOWER(AA25)="udfa",OR(AB25="N/A",AB25="")),-999,ROUND((MIN(IF(AF25&gt;83,99,96),MAX(0,AG25+Z25*0.38))+MAX(0,IFERROR(VALUE(AC25),0))+IF(ISNUMBER(AA25),IF(((INT(AA25)-1)*32+ROUND(MOD(AA25,1)*100,0))&lt;=96,MAX(0,(1-((INT(AA25)-1)*32+ROUND(MOD(AA25,1)*100,0))/96)*2),MAX(0,(1-((INT(AA25)-1)*32+ROUND(MOD(AA25,1)*100,0))/128)*0.5)),0)+MIN(1.5,MAX(0,(P25-2.5)*1.25)))/107*100,1))</f>
        <v>82.1</v>
      </c>
      <c r="AE25" s="294" t="str">
        <f t="shared" si="0"/>
        <v>WR2 Upside</v>
      </c>
      <c r="AF25" s="295">
        <f t="shared" si="1"/>
        <v>58.15696580804822</v>
      </c>
      <c r="AG25" s="295">
        <f t="shared" si="2"/>
        <v>58.2</v>
      </c>
      <c r="AH25" s="123"/>
      <c r="AI25" s="123"/>
      <c r="AJ25" s="123"/>
      <c r="AK25" s="123"/>
      <c r="AL25" s="123"/>
    </row>
    <row r="26" spans="1:38" ht="15.75" customHeight="1" x14ac:dyDescent="0.3">
      <c r="A26" s="211" t="s">
        <v>114</v>
      </c>
      <c r="B26" s="212">
        <v>6.5</v>
      </c>
      <c r="C26" s="213" t="s">
        <v>201</v>
      </c>
      <c r="D26" s="212">
        <v>6.5</v>
      </c>
      <c r="E26" s="214">
        <f>IFERROR(VLOOKUP(A26,Vacancy_Calculator!$A$4:$D$35,3,FALSE()),0)</f>
        <v>2</v>
      </c>
      <c r="F26" s="215">
        <f t="shared" si="3"/>
        <v>0</v>
      </c>
      <c r="G26" s="211" t="str">
        <f t="shared" si="4"/>
        <v>Landmine</v>
      </c>
      <c r="H26" s="123"/>
      <c r="I26" s="327" t="s">
        <v>330</v>
      </c>
      <c r="J26" s="72">
        <v>187</v>
      </c>
      <c r="K26" s="71">
        <v>72</v>
      </c>
      <c r="L26" s="76">
        <v>39.5</v>
      </c>
      <c r="M26" s="73">
        <v>4.41</v>
      </c>
      <c r="N26" s="74">
        <f>IFERROR(((J26*200)/(M26^4))*(1+((K26-AVERAGE($K$2:$K$59))/AVERAGE($K$2:$K$59)))*(1+((L26-35.5)/35.5)*0.15),0)</f>
        <v>98.982934465042064</v>
      </c>
      <c r="O26" s="311">
        <v>9.25</v>
      </c>
      <c r="P26" s="71">
        <v>2.1364000000000001</v>
      </c>
      <c r="Q26" s="76">
        <v>5.23</v>
      </c>
      <c r="R26" s="71">
        <v>8.17</v>
      </c>
      <c r="S26" s="313">
        <v>0.20960000000000001</v>
      </c>
      <c r="T26" s="313">
        <v>0.53120000000000001</v>
      </c>
      <c r="U26" s="313">
        <v>0.1825</v>
      </c>
      <c r="V26" s="71">
        <v>9.15</v>
      </c>
      <c r="W26" s="314">
        <v>0.94930000000000003</v>
      </c>
      <c r="X26" s="290">
        <v>1</v>
      </c>
      <c r="Y26" s="315">
        <f>ROUND(MIN(20,MAX(0,(R26/10)*20))+MIN(20,MAX(0,(N26/120)*20))+MIN(20,MAX(0,(P26/4)*20))+MIN(15,MAX(0,(1-(Q26/15))*15))+MIN(15,MAX(0,(S26/0.3)*15))+MIN(10,MAX(0,(T26/0.65)*10)),1)</f>
        <v>71.900000000000006</v>
      </c>
      <c r="Z26" s="316">
        <f>ROUND(MIN(34,MAX(0,(P26/3.2)*34))+MIN(15,MAX(0,((O26-8.5)/2.5)*15))+MIN(24,MAX(0,(U26/0.22)*24))+MIN(14,MAX(0,(W26/0.85)*14))+IF(ISNUMBER(AA26),MAX(0,30-((INT(AA26)-1)*32+ROUND(MOD(AA26,1)*100,0))*0.07),IF(LOWER(AA26)="udfa",3,12)),1)</f>
        <v>86.1</v>
      </c>
      <c r="AA26" s="331">
        <v>3.07</v>
      </c>
      <c r="AB26" s="337" t="s">
        <v>143</v>
      </c>
      <c r="AC26" s="182">
        <f>IF(AB26="","1.00",IFERROR(VLOOKUP(AB26,'WR Model Page'!$A:$F,6,FALSE()),1))</f>
        <v>-1</v>
      </c>
      <c r="AD26" s="456">
        <f>IF(AND(LOWER(AA26)="udfa",OR(AB26="N/A",AB26="")),-999,ROUND((MIN(IF(AF26&gt;83,99,96),MAX(0,AG26+Z26*0.38))+MAX(0,IFERROR(VALUE(AC26),0))+IF(ISNUMBER(AA26),IF(((INT(AA26)-1)*32+ROUND(MOD(AA26,1)*100,0))&lt;=96,MAX(0,(1-((INT(AA26)-1)*32+ROUND(MOD(AA26,1)*100,0))/96)*2),MAX(0,(1-((INT(AA26)-1)*32+ROUND(MOD(AA26,1)*100,0))/128)*0.5)),0)+MIN(1.5,MAX(0,(P26-2.5)*1.25)))/107*100,1))</f>
        <v>80.900000000000006</v>
      </c>
      <c r="AE26" s="294" t="str">
        <f t="shared" si="0"/>
        <v>WR2 Upside</v>
      </c>
      <c r="AF26" s="295">
        <f t="shared" si="1"/>
        <v>53.300563334568288</v>
      </c>
      <c r="AG26" s="295">
        <f t="shared" si="2"/>
        <v>53.3</v>
      </c>
      <c r="AH26" s="123"/>
      <c r="AI26" s="123"/>
      <c r="AJ26" s="123"/>
      <c r="AK26" s="123"/>
      <c r="AL26" s="123"/>
    </row>
    <row r="27" spans="1:38" ht="15.75" customHeight="1" x14ac:dyDescent="0.3">
      <c r="A27" s="211" t="s">
        <v>138</v>
      </c>
      <c r="B27" s="212">
        <v>7</v>
      </c>
      <c r="C27" s="213" t="s">
        <v>187</v>
      </c>
      <c r="D27" s="212">
        <v>7.5</v>
      </c>
      <c r="E27" s="214">
        <f>IFERROR(VLOOKUP(A27,Vacancy_Calculator!$A$4:$D$35,3,FALSE()),0)</f>
        <v>0</v>
      </c>
      <c r="F27" s="215">
        <f t="shared" si="3"/>
        <v>-1</v>
      </c>
      <c r="G27" s="211" t="str">
        <f t="shared" si="4"/>
        <v>Landmine</v>
      </c>
      <c r="H27" s="123"/>
      <c r="I27" s="327" t="s">
        <v>321</v>
      </c>
      <c r="J27" s="72">
        <v>0</v>
      </c>
      <c r="K27" s="71">
        <v>75</v>
      </c>
      <c r="L27" s="76">
        <v>37</v>
      </c>
      <c r="M27" s="73">
        <v>4.6399999999999997</v>
      </c>
      <c r="N27" s="74">
        <f>IFERROR(((J27*200)/(M27^4))*(1+((K27-AVERAGE($K$2:$K$59))/AVERAGE($K$2:$K$59)))*(1+((L27-35.5)/35.5)*0.15),0)</f>
        <v>0</v>
      </c>
      <c r="O27" s="311">
        <v>9.75</v>
      </c>
      <c r="P27" s="71">
        <v>2.4708999999999999</v>
      </c>
      <c r="Q27" s="76">
        <v>6.83</v>
      </c>
      <c r="R27" s="328">
        <v>7.8</v>
      </c>
      <c r="S27" s="313">
        <v>0.27200000000000002</v>
      </c>
      <c r="T27" s="313">
        <v>0.65710000000000002</v>
      </c>
      <c r="U27" s="313">
        <v>0.2218</v>
      </c>
      <c r="V27" s="71">
        <v>13.44</v>
      </c>
      <c r="W27" s="314">
        <v>0.93179999999999996</v>
      </c>
      <c r="X27" s="290">
        <v>1</v>
      </c>
      <c r="Y27" s="315">
        <f>ROUND(MIN(20,MAX(0,(R27/10)*20))+MIN(20,MAX(0,(N27/120)*20))+MIN(20,MAX(0,(P27/4)*20))+MIN(15,MAX(0,(1-(Q27/15))*15))+MIN(15,MAX(0,(S27/0.3)*15))+MIN(10,MAX(0,(T27/0.65)*10)),1)</f>
        <v>59.7</v>
      </c>
      <c r="Z27" s="316">
        <f>ROUND(MIN(34,MAX(0,(P27/3.2)*34))+MIN(15,MAX(0,((O27-8.5)/2.5)*15))+MIN(24,MAX(0,(U27/0.22)*24))+MIN(14,MAX(0,(W27/0.85)*14))+IF(ISNUMBER(AA27),MAX(0,30-((INT(AA27)-1)*32+ROUND(MOD(AA27,1)*100,0))*0.07),IF(LOWER(AA27)="udfa",3,12)),1)</f>
        <v>74.8</v>
      </c>
      <c r="AA27" s="338" t="s">
        <v>95</v>
      </c>
      <c r="AB27" s="330" t="s">
        <v>89</v>
      </c>
      <c r="AC27" s="182">
        <f>IF(AB27="","1.00",IFERROR(VLOOKUP(AB27,'WR Model Page'!$A:$F,6,FALSE()),1))</f>
        <v>0</v>
      </c>
      <c r="AD27" s="456">
        <f>IF(AND(LOWER(AA27)="udfa",OR(AB27="N/A",AB27="")),-999,ROUND((MIN(IF(AF27&gt;83,99,96),MAX(0,AG27+Z27*0.38))+MAX(0,IFERROR(VALUE(AC27),0))+IF(ISNUMBER(AA27),IF(((INT(AA27)-1)*32+ROUND(MOD(AA27,1)*100,0))&lt;=96,MAX(0,(1-((INT(AA27)-1)*32+ROUND(MOD(AA27,1)*100,0))/96)*2),MAX(0,(1-((INT(AA27)-1)*32+ROUND(MOD(AA27,1)*100,0))/128)*0.5)),0)+MIN(1.5,MAX(0,(P27-2.5)*1.25)))/107*100,1))</f>
        <v>80.3</v>
      </c>
      <c r="AE27" s="294" t="str">
        <f t="shared" si="0"/>
        <v>WR2 Upside</v>
      </c>
      <c r="AF27" s="295">
        <f t="shared" si="1"/>
        <v>57.493754761904761</v>
      </c>
      <c r="AG27" s="295">
        <f t="shared" si="2"/>
        <v>57.5</v>
      </c>
      <c r="AH27" s="123"/>
      <c r="AI27" s="123"/>
      <c r="AJ27" s="123"/>
      <c r="AK27" s="123"/>
      <c r="AL27" s="123"/>
    </row>
    <row r="28" spans="1:38" ht="15.75" customHeight="1" x14ac:dyDescent="0.3">
      <c r="A28" s="211" t="s">
        <v>139</v>
      </c>
      <c r="B28" s="212">
        <v>5.5</v>
      </c>
      <c r="C28" s="213" t="s">
        <v>197</v>
      </c>
      <c r="D28" s="212">
        <v>6.5</v>
      </c>
      <c r="E28" s="214">
        <f>IFERROR(VLOOKUP(A28,Vacancy_Calculator!$A$4:$D$35,3,FALSE()),0)</f>
        <v>2</v>
      </c>
      <c r="F28" s="215">
        <f t="shared" si="3"/>
        <v>-1</v>
      </c>
      <c r="G28" s="211" t="str">
        <f t="shared" si="4"/>
        <v>Landmine</v>
      </c>
      <c r="H28" s="123"/>
      <c r="I28" s="327" t="s">
        <v>331</v>
      </c>
      <c r="J28" s="72">
        <v>216</v>
      </c>
      <c r="K28" s="71">
        <v>77</v>
      </c>
      <c r="L28" s="76">
        <v>42</v>
      </c>
      <c r="M28" s="73">
        <v>4.3099999999999996</v>
      </c>
      <c r="N28" s="74">
        <f>IFERROR(((J28*200)/(M28^4))*(1+((K28-AVERAGE($K$2:$K$59))/AVERAGE($K$2:$K$59)))*(1+((L28-35.5)/35.5)*0.15),0)</f>
        <v>135.4141581324956</v>
      </c>
      <c r="O28" s="311">
        <v>9.75</v>
      </c>
      <c r="P28" s="71">
        <v>2.1629</v>
      </c>
      <c r="Q28" s="76">
        <v>5.17</v>
      </c>
      <c r="R28" s="71">
        <v>10</v>
      </c>
      <c r="S28" s="313">
        <v>0.1676</v>
      </c>
      <c r="T28" s="313">
        <v>0.3846</v>
      </c>
      <c r="U28" s="313">
        <v>0.1721</v>
      </c>
      <c r="V28" s="71">
        <v>15</v>
      </c>
      <c r="W28" s="314">
        <v>0.9526</v>
      </c>
      <c r="X28" s="290">
        <v>1</v>
      </c>
      <c r="Y28" s="315">
        <f>ROUND(MIN(20,MAX(0,(R28/10)*20))+MIN(20,MAX(0,(N28/120)*20))+MIN(20,MAX(0,(P28/4)*20))+MIN(15,MAX(0,(1-(Q28/15))*15))+MIN(15,MAX(0,(S28/0.3)*15))+MIN(10,MAX(0,(T28/0.65)*10)),1)</f>
        <v>74.900000000000006</v>
      </c>
      <c r="Z28" s="316">
        <f>ROUND(MIN(34,MAX(0,(P28/3.2)*34))+MIN(15,MAX(0,((O28-8.5)/2.5)*15))+MIN(24,MAX(0,(U28/0.22)*24))+MIN(14,MAX(0,(W28/0.85)*14))+IF(ISNUMBER(AA28),MAX(0,30-((INT(AA28)-1)*32+ROUND(MOD(AA28,1)*100,0))*0.07),IF(LOWER(AA28)="udfa",3,12)),1)</f>
        <v>66.3</v>
      </c>
      <c r="AA28" s="338" t="s">
        <v>95</v>
      </c>
      <c r="AB28" s="344" t="s">
        <v>123</v>
      </c>
      <c r="AC28" s="182">
        <f>IF(AB28="","1.00",IFERROR(VLOOKUP(AB28,'WR Model Page'!$A:$F,6,FALSE()),1))</f>
        <v>2</v>
      </c>
      <c r="AD28" s="456">
        <f>IF(AND(LOWER(AA28)="udfa",OR(AB28="N/A",AB28="")),-999,ROUND((MIN(IF(AF28&gt;83,99,96),MAX(0,AG28+Z28*0.38))+MAX(0,IFERROR(VALUE(AC28),0))+IF(ISNUMBER(AA28),IF(((INT(AA28)-1)*32+ROUND(MOD(AA28,1)*100,0))&lt;=96,MAX(0,(1-((INT(AA28)-1)*32+ROUND(MOD(AA28,1)*100,0))/96)*2),MAX(0,(1-((INT(AA28)-1)*32+ROUND(MOD(AA28,1)*100,0))/128)*0.5)),0)+MIN(1.5,MAX(0,(P28-2.5)*1.25)))/107*100,1))</f>
        <v>80.2</v>
      </c>
      <c r="AE28" s="294" t="str">
        <f t="shared" si="0"/>
        <v>WR2 Upside</v>
      </c>
      <c r="AF28" s="295">
        <f t="shared" si="1"/>
        <v>58.5527119047619</v>
      </c>
      <c r="AG28" s="295">
        <f t="shared" si="2"/>
        <v>58.6</v>
      </c>
      <c r="AH28" s="123"/>
      <c r="AI28" s="123"/>
      <c r="AJ28" s="123"/>
      <c r="AK28" s="123"/>
      <c r="AL28" s="123"/>
    </row>
    <row r="29" spans="1:38" ht="15.75" customHeight="1" x14ac:dyDescent="0.3">
      <c r="A29" s="211" t="s">
        <v>101</v>
      </c>
      <c r="B29" s="212">
        <v>6.5</v>
      </c>
      <c r="C29" s="213" t="s">
        <v>197</v>
      </c>
      <c r="D29" s="212">
        <v>7</v>
      </c>
      <c r="E29" s="214">
        <f>IFERROR(VLOOKUP(A29,Vacancy_Calculator!$A$4:$D$35,3,FALSE()),0)</f>
        <v>4</v>
      </c>
      <c r="F29" s="215">
        <f t="shared" si="3"/>
        <v>0</v>
      </c>
      <c r="G29" s="211" t="str">
        <f t="shared" si="4"/>
        <v>Landmine</v>
      </c>
      <c r="H29" s="123"/>
      <c r="I29" s="327" t="s">
        <v>332</v>
      </c>
      <c r="J29" s="72">
        <v>191</v>
      </c>
      <c r="K29" s="328">
        <v>73</v>
      </c>
      <c r="L29" s="76">
        <v>35</v>
      </c>
      <c r="M29" s="73">
        <v>4.57</v>
      </c>
      <c r="N29" s="74">
        <f>IFERROR(((J29*200)/(M29^4))*(1+((K29-AVERAGE($K$2:$K$59))/AVERAGE($K$2:$K$59)))*(1+((L29-35.5)/35.5)*0.15),0)</f>
        <v>87.223731830519185</v>
      </c>
      <c r="O29" s="311">
        <v>9</v>
      </c>
      <c r="P29" s="99">
        <v>3.15</v>
      </c>
      <c r="Q29" s="94">
        <v>4.8</v>
      </c>
      <c r="R29" s="328">
        <v>7.85</v>
      </c>
      <c r="S29" s="335">
        <v>0.32</v>
      </c>
      <c r="T29" s="335">
        <v>0.5</v>
      </c>
      <c r="U29" s="335">
        <v>0.28000000000000003</v>
      </c>
      <c r="V29" s="99">
        <v>12</v>
      </c>
      <c r="W29" s="336">
        <v>0.8</v>
      </c>
      <c r="X29" s="290">
        <v>0.7</v>
      </c>
      <c r="Y29" s="315">
        <f>ROUND(MIN(20,MAX(0,(R29/10)*20))+MIN(20,MAX(0,(N29/120)*20))+MIN(20,MAX(0,(P29/4)*20))+MIN(15,MAX(0,(1-(Q29/15))*15))+MIN(15,MAX(0,(S29/0.3)*15))+MIN(10,MAX(0,(T29/0.65)*10)),1)</f>
        <v>78.900000000000006</v>
      </c>
      <c r="Z29" s="316">
        <f>ROUND(MIN(34,MAX(0,(P29/3.2)*34))+MIN(15,MAX(0,((O29-8.5)/2.5)*15))+MIN(24,MAX(0,(U29/0.22)*24))+MIN(14,MAX(0,(W29/0.85)*14))+IF(ISNUMBER(AA29),MAX(0,30-((INT(AA29)-1)*32+ROUND(MOD(AA29,1)*100,0))*0.07),IF(LOWER(AA29)="udfa",3,12)),1)</f>
        <v>76.599999999999994</v>
      </c>
      <c r="AA29" s="338" t="s">
        <v>95</v>
      </c>
      <c r="AB29" s="344" t="s">
        <v>121</v>
      </c>
      <c r="AC29" s="182">
        <f>IF(AB29="","1.00",IFERROR(VLOOKUP(AB29,'WR Model Page'!$A:$F,6,FALSE()),1))</f>
        <v>1</v>
      </c>
      <c r="AD29" s="456">
        <f>IF(AND(LOWER(AA29)="udfa",OR(AB29="N/A",AB29="")),-999,ROUND((MIN(IF(AF29&gt;83,99,96),MAX(0,AG29+Z29*0.38))+MAX(0,IFERROR(VALUE(AC29),0))+IF(ISNUMBER(AA29),IF(((INT(AA29)-1)*32+ROUND(MOD(AA29,1)*100,0))&lt;=96,MAX(0,(1-((INT(AA29)-1)*32+ROUND(MOD(AA29,1)*100,0))/96)*2),MAX(0,(1-((INT(AA29)-1)*32+ROUND(MOD(AA29,1)*100,0))/128)*0.5)),0)+MIN(1.5,MAX(0,(P29-2.5)*1.25)))/107*100,1))</f>
        <v>79.900000000000006</v>
      </c>
      <c r="AE29" s="294" t="str">
        <f t="shared" si="0"/>
        <v>WR2 Upside</v>
      </c>
      <c r="AF29" s="295">
        <f t="shared" si="1"/>
        <v>54.60238435678027</v>
      </c>
      <c r="AG29" s="295">
        <f t="shared" si="2"/>
        <v>54.6</v>
      </c>
      <c r="AH29" s="123"/>
      <c r="AI29" s="123"/>
      <c r="AJ29" s="123"/>
      <c r="AK29" s="123"/>
      <c r="AL29" s="123"/>
    </row>
    <row r="30" spans="1:38" ht="15.75" customHeight="1" x14ac:dyDescent="0.3">
      <c r="A30" s="211" t="s">
        <v>120</v>
      </c>
      <c r="B30" s="212">
        <v>9</v>
      </c>
      <c r="C30" s="213" t="s">
        <v>201</v>
      </c>
      <c r="D30" s="212">
        <v>7.5</v>
      </c>
      <c r="E30" s="214">
        <f>IFERROR(VLOOKUP(A30,Vacancy_Calculator!$A$4:$D$35,3,FALSE()),0)</f>
        <v>2</v>
      </c>
      <c r="F30" s="215">
        <f t="shared" si="3"/>
        <v>0</v>
      </c>
      <c r="G30" s="211" t="str">
        <f t="shared" si="4"/>
        <v>Landmine</v>
      </c>
      <c r="H30" s="123"/>
      <c r="I30" s="327" t="s">
        <v>333</v>
      </c>
      <c r="J30" s="340">
        <v>195</v>
      </c>
      <c r="K30" s="99">
        <v>73</v>
      </c>
      <c r="L30" s="94">
        <v>37.5</v>
      </c>
      <c r="M30" s="97">
        <v>4.38</v>
      </c>
      <c r="N30" s="74">
        <f>IFERROR(((J30*200)/(M30^4))*(1+((K30-AVERAGE($K$2:$K$59))/AVERAGE($K$2:$K$59)))*(1+((L30-35.5)/35.5)*0.15),0)</f>
        <v>106.65407020514668</v>
      </c>
      <c r="O30" s="341">
        <v>9.25</v>
      </c>
      <c r="P30" s="71">
        <v>1.9038999999999999</v>
      </c>
      <c r="Q30" s="76">
        <v>2.88</v>
      </c>
      <c r="R30" s="312">
        <v>9.1</v>
      </c>
      <c r="S30" s="313">
        <v>0.1648</v>
      </c>
      <c r="T30" s="313">
        <v>0.625</v>
      </c>
      <c r="U30" s="313">
        <v>0.1444</v>
      </c>
      <c r="V30" s="71">
        <v>14.15</v>
      </c>
      <c r="W30" s="314">
        <v>0.94420000000000004</v>
      </c>
      <c r="X30" s="290">
        <v>1</v>
      </c>
      <c r="Y30" s="315">
        <f>ROUND(MIN(20,MAX(0,(R30/10)*20))+MIN(20,MAX(0,(N30/120)*20))+MIN(20,MAX(0,(P30/4)*20))+MIN(15,MAX(0,(1-(Q30/15))*15))+MIN(15,MAX(0,(S30/0.3)*15))+MIN(10,MAX(0,(T30/0.65)*10)),1)</f>
        <v>75.5</v>
      </c>
      <c r="Z30" s="316">
        <f>ROUND(MIN(34,MAX(0,(P30/3.2)*34))+MIN(15,MAX(0,((O30-8.5)/2.5)*15))+MIN(24,MAX(0,(U30/0.22)*24))+MIN(14,MAX(0,(W30/0.85)*14))+IF(ISNUMBER(AA30),MAX(0,30-((INT(AA30)-1)*32+ROUND(MOD(AA30,1)*100,0))*0.07),IF(LOWER(AA30)="udfa",3,12)),1)</f>
        <v>70.8</v>
      </c>
      <c r="AA30" s="329">
        <v>6.35</v>
      </c>
      <c r="AB30" s="330" t="s">
        <v>89</v>
      </c>
      <c r="AC30" s="182">
        <f>IF(AB30="","1.00",IFERROR(VLOOKUP(AB30,'WR Model Page'!$A:$F,6,FALSE()),1))</f>
        <v>0</v>
      </c>
      <c r="AD30" s="456">
        <f>IF(AND(LOWER(AA30)="udfa",OR(AB30="N/A",AB30="")),-999,ROUND((MIN(IF(AF30&gt;83,99,96),MAX(0,AG30+Z30*0.38))+MAX(0,IFERROR(VALUE(AC30),0))+IF(ISNUMBER(AA30),IF(((INT(AA30)-1)*32+ROUND(MOD(AA30,1)*100,0))&lt;=96,MAX(0,(1-((INT(AA30)-1)*32+ROUND(MOD(AA30,1)*100,0))/96)*2),MAX(0,(1-((INT(AA30)-1)*32+ROUND(MOD(AA30,1)*100,0))/128)*0.5)),0)+MIN(1.5,MAX(0,(P30-2.5)*1.25)))/107*100,1))</f>
        <v>78.599999999999994</v>
      </c>
      <c r="AE30" s="294" t="str">
        <f t="shared" si="0"/>
        <v>WR2 Upside</v>
      </c>
      <c r="AF30" s="295">
        <f t="shared" si="1"/>
        <v>57.20187314919216</v>
      </c>
      <c r="AG30" s="295">
        <f t="shared" si="2"/>
        <v>57.2</v>
      </c>
      <c r="AH30" s="123"/>
      <c r="AI30" s="123"/>
      <c r="AJ30" s="123"/>
      <c r="AK30" s="123"/>
      <c r="AL30" s="123"/>
    </row>
    <row r="31" spans="1:38" ht="15.75" customHeight="1" x14ac:dyDescent="0.3">
      <c r="A31" s="211" t="s">
        <v>103</v>
      </c>
      <c r="B31" s="212">
        <v>7.5</v>
      </c>
      <c r="C31" s="213" t="s">
        <v>201</v>
      </c>
      <c r="D31" s="212">
        <v>7.5</v>
      </c>
      <c r="E31" s="214">
        <f>IFERROR(VLOOKUP(A31,Vacancy_Calculator!$A$4:$D$35,3,FALSE()),0)</f>
        <v>0</v>
      </c>
      <c r="F31" s="215">
        <f t="shared" si="3"/>
        <v>-1</v>
      </c>
      <c r="G31" s="211" t="str">
        <f t="shared" si="4"/>
        <v>Landmine</v>
      </c>
      <c r="H31" s="123"/>
      <c r="I31" s="327" t="s">
        <v>334</v>
      </c>
      <c r="J31" s="340">
        <v>210</v>
      </c>
      <c r="K31" s="99">
        <v>75</v>
      </c>
      <c r="L31" s="94">
        <v>35</v>
      </c>
      <c r="M31" s="97">
        <v>4.55</v>
      </c>
      <c r="N31" s="74">
        <f>IFERROR(((J31*200)/(M31^4))*(1+((K31-AVERAGE($K$2:$K$59))/AVERAGE($K$2:$K$59)))*(1+((L31-35.5)/35.5)*0.15),0)</f>
        <v>100.2716608061594</v>
      </c>
      <c r="O31" s="341">
        <v>9.6199999999999992</v>
      </c>
      <c r="P31" s="71">
        <v>1.8583000000000001</v>
      </c>
      <c r="Q31" s="76">
        <v>3.21</v>
      </c>
      <c r="R31" s="328">
        <v>8.1</v>
      </c>
      <c r="S31" s="313">
        <v>0.23150000000000001</v>
      </c>
      <c r="T31" s="313">
        <v>0.51429999999999998</v>
      </c>
      <c r="U31" s="313">
        <v>0.254</v>
      </c>
      <c r="V31" s="71">
        <v>13.12</v>
      </c>
      <c r="W31" s="314">
        <v>0.94010000000000005</v>
      </c>
      <c r="X31" s="290">
        <v>1</v>
      </c>
      <c r="Y31" s="315">
        <f>ROUND(MIN(20,MAX(0,(R31/10)*20))+MIN(20,MAX(0,(N31/120)*20))+MIN(20,MAX(0,(P31/4)*20))+MIN(15,MAX(0,(1-(Q31/15))*15))+MIN(15,MAX(0,(S31/0.3)*15))+MIN(10,MAX(0,(T31/0.65)*10)),1)</f>
        <v>73.5</v>
      </c>
      <c r="Z31" s="316">
        <f>ROUND(MIN(34,MAX(0,(P31/3.2)*34))+MIN(15,MAX(0,((O31-8.5)/2.5)*15))+MIN(24,MAX(0,(U31/0.22)*24))+MIN(14,MAX(0,(W31/0.85)*14))+IF(ISNUMBER(AA31),MAX(0,30-((INT(AA31)-1)*32+ROUND(MOD(AA31,1)*100,0))*0.07),IF(LOWER(AA31)="udfa",3,12)),1)</f>
        <v>67.5</v>
      </c>
      <c r="AA31" s="338" t="s">
        <v>95</v>
      </c>
      <c r="AB31" s="344" t="s">
        <v>115</v>
      </c>
      <c r="AC31" s="182">
        <f>IF(AB31="","1.00",IFERROR(VLOOKUP(AB31,'WR Model Page'!$A:$F,6,FALSE()),1))</f>
        <v>0</v>
      </c>
      <c r="AD31" s="456">
        <f>IF(AND(LOWER(AA31)="udfa",OR(AB31="N/A",AB31="")),-999,ROUND((MIN(IF(AF31&gt;83,99,96),MAX(0,AG31+Z31*0.38))+MAX(0,IFERROR(VALUE(AC31),0))+IF(ISNUMBER(AA31),IF(((INT(AA31)-1)*32+ROUND(MOD(AA31,1)*100,0))&lt;=96,MAX(0,(1-((INT(AA31)-1)*32+ROUND(MOD(AA31,1)*100,0))/96)*2),MAX(0,(1-((INT(AA31)-1)*32+ROUND(MOD(AA31,1)*100,0))/128)*0.5)),0)+MIN(1.5,MAX(0,(P31-2.5)*1.25)))/107*100,1))</f>
        <v>78</v>
      </c>
      <c r="AE31" s="294" t="str">
        <f t="shared" si="0"/>
        <v>WR2 Upside</v>
      </c>
      <c r="AF31" s="295">
        <f t="shared" si="1"/>
        <v>57.770644499406927</v>
      </c>
      <c r="AG31" s="295">
        <f t="shared" si="2"/>
        <v>57.8</v>
      </c>
      <c r="AH31" s="123"/>
      <c r="AI31" s="123"/>
      <c r="AJ31" s="123"/>
      <c r="AK31" s="123"/>
      <c r="AL31" s="123"/>
    </row>
    <row r="32" spans="1:38" ht="15.75" customHeight="1" x14ac:dyDescent="0.3">
      <c r="A32" s="211" t="s">
        <v>140</v>
      </c>
      <c r="B32" s="212">
        <v>5.5</v>
      </c>
      <c r="C32" s="213" t="s">
        <v>187</v>
      </c>
      <c r="D32" s="212">
        <v>7</v>
      </c>
      <c r="E32" s="214">
        <f>IFERROR(VLOOKUP(A32,Vacancy_Calculator!$A$4:$D$35,3,FALSE()),0)</f>
        <v>2</v>
      </c>
      <c r="F32" s="215">
        <f t="shared" si="3"/>
        <v>0</v>
      </c>
      <c r="G32" s="211" t="str">
        <f t="shared" si="4"/>
        <v>Landmine</v>
      </c>
      <c r="H32" s="123"/>
      <c r="I32" s="327" t="s">
        <v>360</v>
      </c>
      <c r="J32" s="340">
        <v>185</v>
      </c>
      <c r="K32" s="99">
        <v>70</v>
      </c>
      <c r="L32" s="94">
        <v>36.5</v>
      </c>
      <c r="M32" s="97">
        <v>4.45</v>
      </c>
      <c r="N32" s="74">
        <f>IFERROR(((J32*200)/(M32^4))*(1+((K32-AVERAGE($K$2:$K$59))/AVERAGE($K$2:$K$59)))*(1+((L32-35.5)/35.5)*0.15),0)</f>
        <v>90.682322924561163</v>
      </c>
      <c r="O32" s="341">
        <v>9.1199999999999992</v>
      </c>
      <c r="P32" s="99">
        <v>3.12</v>
      </c>
      <c r="Q32" s="94">
        <v>3.2</v>
      </c>
      <c r="R32" s="328">
        <v>8.65</v>
      </c>
      <c r="S32" s="335">
        <v>0.35</v>
      </c>
      <c r="T32" s="335">
        <v>0.57999999999999996</v>
      </c>
      <c r="U32" s="335">
        <v>0.28000000000000003</v>
      </c>
      <c r="V32" s="99">
        <v>10.5</v>
      </c>
      <c r="W32" s="336">
        <v>0.82</v>
      </c>
      <c r="X32" s="290">
        <v>0.55000000000000004</v>
      </c>
      <c r="Y32" s="315">
        <f>ROUND(MIN(20,MAX(0,(R32/10)*20))+MIN(20,MAX(0,(N32/120)*20))+MIN(20,MAX(0,(P32/4)*20))+MIN(15,MAX(0,(1-(Q32/15))*15))+MIN(15,MAX(0,(S32/0.3)*15))+MIN(10,MAX(0,(T32/0.65)*10)),1)</f>
        <v>83.7</v>
      </c>
      <c r="Z32" s="316">
        <f>ROUND(MIN(34,MAX(0,(P32/3.2)*34))+MIN(15,MAX(0,((O32-8.5)/2.5)*15))+MIN(24,MAX(0,(U32/0.22)*24))+MIN(14,MAX(0,(W32/0.85)*14))+IF(ISNUMBER(AA32),MAX(0,30-((INT(AA32)-1)*32+ROUND(MOD(AA32,1)*100,0))*0.07),IF(LOWER(AA32)="udfa",3,12)),1)</f>
        <v>77.400000000000006</v>
      </c>
      <c r="AA32" s="338" t="s">
        <v>95</v>
      </c>
      <c r="AB32" s="330" t="s">
        <v>95</v>
      </c>
      <c r="AC32" s="182">
        <f>IF(AB32="","1.00",IFERROR(VLOOKUP(AB32,'WR Model Page'!$A:$F,6,FALSE()),1))</f>
        <v>1</v>
      </c>
      <c r="AD32" s="456">
        <f>IF(AND(LOWER(AA32)="udfa",OR(AB32="N/A",AB32="")),-999,ROUND((MIN(IF(AF32&gt;83,99,96),MAX(0,AG32+Z32*0.38))+MAX(0,IFERROR(VALUE(AC32),0))+IF(ISNUMBER(AA32),IF(((INT(AA32)-1)*32+ROUND(MOD(AA32,1)*100,0))&lt;=96,MAX(0,(1-((INT(AA32)-1)*32+ROUND(MOD(AA32,1)*100,0))/96)*2),MAX(0,(1-((INT(AA32)-1)*32+ROUND(MOD(AA32,1)*100,0))/128)*0.5)),0)+MIN(1.5,MAX(0,(P32-2.5)*1.25)))/107*100,1))</f>
        <v>77.8</v>
      </c>
      <c r="AE32" s="294" t="str">
        <f t="shared" si="0"/>
        <v>WR2 Upside</v>
      </c>
      <c r="AF32" s="295">
        <f t="shared" si="1"/>
        <v>52.089885503932734</v>
      </c>
      <c r="AG32" s="295">
        <f t="shared" si="2"/>
        <v>52.1</v>
      </c>
      <c r="AH32" s="123"/>
      <c r="AI32" s="123"/>
      <c r="AJ32" s="123"/>
      <c r="AK32" s="123"/>
      <c r="AL32" s="123"/>
    </row>
    <row r="33" spans="1:38" ht="15.75" customHeight="1" x14ac:dyDescent="0.3">
      <c r="A33" s="211" t="s">
        <v>141</v>
      </c>
      <c r="B33" s="212">
        <v>8.5</v>
      </c>
      <c r="C33" s="213" t="s">
        <v>187</v>
      </c>
      <c r="D33" s="212">
        <v>7</v>
      </c>
      <c r="E33" s="214">
        <f>IFERROR(VLOOKUP(A33,Vacancy_Calculator!$A$4:$D$35,3,FALSE()),0)</f>
        <v>0</v>
      </c>
      <c r="F33" s="215">
        <f t="shared" si="3"/>
        <v>-1</v>
      </c>
      <c r="G33" s="211" t="str">
        <f t="shared" si="4"/>
        <v>Landmine</v>
      </c>
      <c r="H33" s="123"/>
      <c r="I33" s="327" t="s">
        <v>335</v>
      </c>
      <c r="J33" s="72">
        <v>177</v>
      </c>
      <c r="K33" s="71">
        <v>69</v>
      </c>
      <c r="L33" s="76">
        <v>38</v>
      </c>
      <c r="M33" s="73">
        <v>4.3499999999999996</v>
      </c>
      <c r="N33" s="74">
        <f>IFERROR(((J33*200)/(M33^4))*(1+((K33-AVERAGE($K$2:$K$59))/AVERAGE($K$2:$K$59)))*(1+((L33-35.5)/35.5)*0.15),0)</f>
        <v>94.252009175105286</v>
      </c>
      <c r="O33" s="311">
        <v>9</v>
      </c>
      <c r="P33" s="71">
        <v>2.0628000000000002</v>
      </c>
      <c r="Q33" s="76">
        <v>2.99</v>
      </c>
      <c r="R33" s="71">
        <v>8.9499999999999993</v>
      </c>
      <c r="S33" s="313">
        <v>0.18940000000000001</v>
      </c>
      <c r="T33" s="313">
        <v>0.38890000000000002</v>
      </c>
      <c r="U33" s="313">
        <v>0.19769999999999999</v>
      </c>
      <c r="V33" s="71">
        <v>4.97</v>
      </c>
      <c r="W33" s="314">
        <v>0.94230000000000003</v>
      </c>
      <c r="X33" s="290">
        <v>1</v>
      </c>
      <c r="Y33" s="315">
        <f>ROUND(MIN(20,MAX(0,(R33/10)*20))+MIN(20,MAX(0,(N33/120)*20))+MIN(20,MAX(0,(P33/4)*20))+MIN(15,MAX(0,(1-(Q33/15))*15))+MIN(15,MAX(0,(S33/0.3)*15))+MIN(10,MAX(0,(T33/0.65)*10)),1)</f>
        <v>71.400000000000006</v>
      </c>
      <c r="Z33" s="316">
        <f>ROUND(MIN(34,MAX(0,(P33/3.2)*34))+MIN(15,MAX(0,((O33-8.5)/2.5)*15))+MIN(24,MAX(0,(U33/0.22)*24))+MIN(14,MAX(0,(W33/0.85)*14))+IF(ISNUMBER(AA33),MAX(0,30-((INT(AA33)-1)*32+ROUND(MOD(AA33,1)*100,0))*0.07),IF(LOWER(AA33)="udfa",3,12)),1)</f>
        <v>85</v>
      </c>
      <c r="AA33" s="329">
        <v>3.15</v>
      </c>
      <c r="AB33" s="333" t="s">
        <v>93</v>
      </c>
      <c r="AC33" s="182">
        <f>IF(AB33="","1.00",IFERROR(VLOOKUP(AB33,'WR Model Page'!$A:$F,6,FALSE()),1))</f>
        <v>-1</v>
      </c>
      <c r="AD33" s="456">
        <f>IF(AND(LOWER(AA33)="udfa",OR(AB33="N/A",AB33="")),-999,ROUND((MIN(IF(AF33&gt;83,99,96),MAX(0,AG33+Z33*0.38))+MAX(0,IFERROR(VALUE(AC33),0))+IF(ISNUMBER(AA33),IF(((INT(AA33)-1)*32+ROUND(MOD(AA33,1)*100,0))&lt;=96,MAX(0,(1-((INT(AA33)-1)*32+ROUND(MOD(AA33,1)*100,0))/96)*2),MAX(0,(1-((INT(AA33)-1)*32+ROUND(MOD(AA33,1)*100,0))/128)*0.5)),0)+MIN(1.5,MAX(0,(P33-2.5)*1.25)))/107*100,1))</f>
        <v>77.2</v>
      </c>
      <c r="AE33" s="294" t="str">
        <f t="shared" si="0"/>
        <v>WR2 Upside</v>
      </c>
      <c r="AF33" s="295">
        <f t="shared" si="1"/>
        <v>50.038280994804758</v>
      </c>
      <c r="AG33" s="295">
        <f t="shared" si="2"/>
        <v>50</v>
      </c>
      <c r="AH33" s="123"/>
      <c r="AI33" s="123"/>
      <c r="AJ33" s="123"/>
      <c r="AK33" s="123"/>
      <c r="AL33" s="123"/>
    </row>
    <row r="34" spans="1:38" ht="15.75" customHeight="1" x14ac:dyDescent="0.3">
      <c r="A34" s="211" t="s">
        <v>126</v>
      </c>
      <c r="B34" s="212">
        <v>8</v>
      </c>
      <c r="C34" s="213" t="s">
        <v>187</v>
      </c>
      <c r="D34" s="212">
        <v>7.5</v>
      </c>
      <c r="E34" s="214">
        <f>IFERROR(VLOOKUP(A34,Vacancy_Calculator!$A$4:$D$35,3,FALSE()),0)</f>
        <v>4</v>
      </c>
      <c r="F34" s="215">
        <f t="shared" si="3"/>
        <v>1</v>
      </c>
      <c r="G34" s="211" t="str">
        <f t="shared" si="4"/>
        <v>Neutral</v>
      </c>
      <c r="H34" s="123"/>
      <c r="I34" s="327" t="s">
        <v>357</v>
      </c>
      <c r="J34" s="340">
        <v>220</v>
      </c>
      <c r="K34" s="99">
        <v>74</v>
      </c>
      <c r="L34" s="94">
        <v>35.5</v>
      </c>
      <c r="M34" s="97">
        <v>4.5199999999999996</v>
      </c>
      <c r="N34" s="74">
        <f>IFERROR(((J34*200)/(M34^4))*(1+((K34-AVERAGE($K$2:$K$59))/AVERAGE($K$2:$K$59)))*(1+((L34-35.5)/35.5)*0.15),0)</f>
        <v>106.65037631562974</v>
      </c>
      <c r="O34" s="341">
        <v>9.6199999999999992</v>
      </c>
      <c r="P34" s="71">
        <v>1.9267000000000001</v>
      </c>
      <c r="Q34" s="76">
        <v>1.85</v>
      </c>
      <c r="R34" s="328">
        <v>8.4499999999999993</v>
      </c>
      <c r="S34" s="313">
        <v>0.20580000000000001</v>
      </c>
      <c r="T34" s="313">
        <v>0.52780000000000005</v>
      </c>
      <c r="U34" s="313">
        <v>0.14929999999999999</v>
      </c>
      <c r="V34" s="71">
        <v>14.14</v>
      </c>
      <c r="W34" s="314">
        <v>0.94589999999999996</v>
      </c>
      <c r="X34" s="290">
        <v>1</v>
      </c>
      <c r="Y34" s="315">
        <f>ROUND(MIN(20,MAX(0,(R34/10)*20))+MIN(20,MAX(0,(N34/120)*20))+MIN(20,MAX(0,(P34/4)*20))+MIN(15,MAX(0,(1-(Q34/15))*15))+MIN(15,MAX(0,(S34/0.3)*15))+MIN(10,MAX(0,(T34/0.65)*10)),1)</f>
        <v>75.900000000000006</v>
      </c>
      <c r="Z34" s="316">
        <f>ROUND(MIN(34,MAX(0,(P34/3.2)*34))+MIN(15,MAX(0,((O34-8.5)/2.5)*15))+MIN(24,MAX(0,(U34/0.22)*24))+MIN(14,MAX(0,(W34/0.85)*14))+IF(ISNUMBER(AA34),MAX(0,30-((INT(AA34)-1)*32+ROUND(MOD(AA34,1)*100,0))*0.07),IF(LOWER(AA34)="udfa",3,12)),1)</f>
        <v>60.5</v>
      </c>
      <c r="AA34" s="338" t="s">
        <v>95</v>
      </c>
      <c r="AB34" s="330" t="s">
        <v>95</v>
      </c>
      <c r="AC34" s="182">
        <f>IF(AB34="","1.00",IFERROR(VLOOKUP(AB34,'WR Model Page'!$A:$F,6,FALSE()),1))</f>
        <v>1</v>
      </c>
      <c r="AD34" s="456">
        <f>IF(AND(LOWER(AA34)="udfa",OR(AB34="N/A",AB34="")),-999,ROUND((MIN(IF(AF34&gt;83,99,96),MAX(0,AG34+Z34*0.38))+MAX(0,IFERROR(VALUE(AC34),0))+IF(ISNUMBER(AA34),IF(((INT(AA34)-1)*32+ROUND(MOD(AA34,1)*100,0))&lt;=96,MAX(0,(1-((INT(AA34)-1)*32+ROUND(MOD(AA34,1)*100,0))/96)*2),MAX(0,(1-((INT(AA34)-1)*32+ROUND(MOD(AA34,1)*100,0))/128)*0.5)),0)+MIN(1.5,MAX(0,(P34-2.5)*1.25)))/107*100,1))</f>
        <v>76.3</v>
      </c>
      <c r="AE34" s="294" t="str">
        <f t="shared" ref="AE34:AE65" si="5">IF(AD34=-999,"",IF(AD34&gt;=95,"Elite",IF(AD34&gt;=89,"League Winner",IF(AD34&gt;=83,"WR1 Upside",IF(AD34&gt;=74,"WR2 Upside",IF(AD34&gt;=62,"Flex Play",IF(AD34&gt;=48,"Waiver Wire","Cut")))))))</f>
        <v>WR2 Upside</v>
      </c>
      <c r="AF34" s="295">
        <f t="shared" ref="AF34:AF63" si="6">IF(ISNUMBER(AA34),15*EXP(-0.016*((INT(AA34)-1)*32+ROUND(MOD(AA34,1)*100,0)-1)),IF(LOWER(AA34)="UDFA",0.5,0))+MAX(MIN(R34/10,1),0)*12+MAX(MIN(N34/120,1),0)*7+IF(O34&gt;=10,3,IF(O34&gt;=9.625,1.5,IF(O34&gt;=9,0.5,0)))+MIN(26,MAX(0,(P34/4)*26))+MAX(-5,-(Q34/10)*10.4)+MIN(11.7,MAX(0,(S34/0.35)*11.7))*X34+MIN(9.1,MAX(0,(T34/0.65)*9.1))*X34+MIN(9.1,MAX(0,(U34/0.26)*9.1))*X34+MIN(5.2,MAX(0,((V34-8)/8)*5.2))*X34+MIN(7.8,MAX(0,(V34-7)/9*7.8))*X34</f>
        <v>57.634121951745072</v>
      </c>
      <c r="AG34" s="295">
        <f t="shared" ref="AG34:AG65" si="7">ROUND(IF(AF34&gt;60,60+SQRT(AF34-60)*7.8,AF34),1)</f>
        <v>57.6</v>
      </c>
      <c r="AH34" s="123"/>
      <c r="AI34" s="123"/>
      <c r="AJ34" s="123"/>
      <c r="AK34" s="123"/>
      <c r="AL34" s="123"/>
    </row>
    <row r="35" spans="1:38" ht="15.75" customHeight="1" x14ac:dyDescent="0.3">
      <c r="A35" s="211" t="s">
        <v>142</v>
      </c>
      <c r="B35" s="212">
        <v>6</v>
      </c>
      <c r="C35" s="213" t="s">
        <v>201</v>
      </c>
      <c r="D35" s="212">
        <v>6.5</v>
      </c>
      <c r="E35" s="214">
        <f>IFERROR(VLOOKUP(A35,Vacancy_Calculator!$A$4:$D$35,3,FALSE()),0)</f>
        <v>0</v>
      </c>
      <c r="F35" s="215">
        <f t="shared" si="3"/>
        <v>-1</v>
      </c>
      <c r="G35" s="211" t="str">
        <f t="shared" si="4"/>
        <v>Landmine</v>
      </c>
      <c r="H35" s="123"/>
      <c r="I35" s="327" t="s">
        <v>336</v>
      </c>
      <c r="J35" s="72">
        <v>192</v>
      </c>
      <c r="K35" s="71">
        <v>72</v>
      </c>
      <c r="L35" s="94">
        <v>39.5</v>
      </c>
      <c r="M35" s="73">
        <v>4.54</v>
      </c>
      <c r="N35" s="74">
        <f>IFERROR(((J35*200)/(M35^4))*(1+((K35-AVERAGE($K$2:$K$59))/AVERAGE($K$2:$K$59)))*(1+((L35-35.5)/35.5)*0.15),0)</f>
        <v>90.479646144444246</v>
      </c>
      <c r="O35" s="311">
        <v>8.375</v>
      </c>
      <c r="P35" s="71">
        <v>2.42</v>
      </c>
      <c r="Q35" s="76">
        <v>5.1100000000000003</v>
      </c>
      <c r="R35" s="328">
        <v>9.25</v>
      </c>
      <c r="S35" s="313">
        <v>0.3075</v>
      </c>
      <c r="T35" s="313">
        <v>0.52</v>
      </c>
      <c r="U35" s="313">
        <v>0.29530000000000001</v>
      </c>
      <c r="V35" s="71">
        <v>8.65</v>
      </c>
      <c r="W35" s="314">
        <v>0.94530000000000003</v>
      </c>
      <c r="X35" s="290">
        <v>1</v>
      </c>
      <c r="Y35" s="315">
        <f>ROUND(MIN(20,MAX(0,(R35/10)*20))+MIN(20,MAX(0,(N35/120)*20))+MIN(20,MAX(0,(P35/4)*20))+MIN(15,MAX(0,(1-(Q35/15))*15))+MIN(15,MAX(0,(S35/0.3)*15))+MIN(10,MAX(0,(T35/0.65)*10)),1)</f>
        <v>78.599999999999994</v>
      </c>
      <c r="Z35" s="316">
        <f>ROUND(MIN(34,MAX(0,(P35/3.2)*34))+MIN(15,MAX(0,((O35-8.5)/2.5)*15))+MIN(24,MAX(0,(U35/0.22)*24))+MIN(14,MAX(0,(W35/0.85)*14))+IF(ISNUMBER(AA35),MAX(0,30-((INT(AA35)-1)*32+ROUND(MOD(AA35,1)*100,0))*0.07),IF(LOWER(AA35)="udfa",3,12)),1)</f>
        <v>66.7</v>
      </c>
      <c r="AA35" s="345" t="s">
        <v>95</v>
      </c>
      <c r="AB35" s="337" t="s">
        <v>90</v>
      </c>
      <c r="AC35" s="182">
        <f>IF(AB35="","1.00",IFERROR(VLOOKUP(AB35,'WR Model Page'!$A:$F,6,FALSE()),1))</f>
        <v>-1</v>
      </c>
      <c r="AD35" s="456">
        <f>IF(AND(LOWER(AA35)="udfa",OR(AB35="N/A",AB35="")),-999,ROUND((MIN(IF(AF35&gt;83,99,96),MAX(0,AG35+Z35*0.38))+MAX(0,IFERROR(VALUE(AC35),0))+IF(ISNUMBER(AA35),IF(((INT(AA35)-1)*32+ROUND(MOD(AA35,1)*100,0))&lt;=96,MAX(0,(1-((INT(AA35)-1)*32+ROUND(MOD(AA35,1)*100,0))/96)*2),MAX(0,(1-((INT(AA35)-1)*32+ROUND(MOD(AA35,1)*100,0))/128)*0.5)),0)+MIN(1.5,MAX(0,(P35-2.5)*1.25)))/107*100,1))</f>
        <v>76.099999999999994</v>
      </c>
      <c r="AE35" s="294" t="str">
        <f t="shared" si="5"/>
        <v>WR2 Upside</v>
      </c>
      <c r="AF35" s="295">
        <f t="shared" si="6"/>
        <v>56.119765072711637</v>
      </c>
      <c r="AG35" s="295">
        <f t="shared" si="7"/>
        <v>56.1</v>
      </c>
      <c r="AH35" s="123"/>
      <c r="AI35" s="123"/>
      <c r="AJ35" s="123"/>
      <c r="AK35" s="123"/>
      <c r="AL35" s="123"/>
    </row>
    <row r="36" spans="1:38" ht="15.75" customHeight="1" x14ac:dyDescent="0.3">
      <c r="A36" s="211" t="s">
        <v>143</v>
      </c>
      <c r="B36" s="212">
        <v>8</v>
      </c>
      <c r="C36" s="213" t="s">
        <v>187</v>
      </c>
      <c r="D36" s="212">
        <v>7.5</v>
      </c>
      <c r="E36" s="214">
        <f>IFERROR(VLOOKUP(A36,Vacancy_Calculator!$A$4:$D$35,3,FALSE()),0)</f>
        <v>0</v>
      </c>
      <c r="F36" s="215">
        <f t="shared" si="3"/>
        <v>-1</v>
      </c>
      <c r="G36" s="211" t="str">
        <f t="shared" si="4"/>
        <v>Landmine</v>
      </c>
      <c r="H36" s="123"/>
      <c r="I36" s="327" t="s">
        <v>337</v>
      </c>
      <c r="J36" s="340">
        <v>195</v>
      </c>
      <c r="K36" s="99">
        <v>73</v>
      </c>
      <c r="L36" s="94">
        <v>35</v>
      </c>
      <c r="M36" s="97">
        <v>4.54</v>
      </c>
      <c r="N36" s="74">
        <f>IFERROR(((J36*200)/(M36^4))*(1+((K36-AVERAGE($K$2:$K$59))/AVERAGE($K$2:$K$59)))*(1+((L36-35.5)/35.5)*0.15),0)</f>
        <v>91.427595208649663</v>
      </c>
      <c r="O36" s="341">
        <v>9.1199999999999992</v>
      </c>
      <c r="P36" s="71">
        <v>1.8163</v>
      </c>
      <c r="Q36" s="76">
        <v>1.69</v>
      </c>
      <c r="R36" s="328">
        <v>7.6</v>
      </c>
      <c r="S36" s="313">
        <v>0.2399</v>
      </c>
      <c r="T36" s="313">
        <v>0.52380000000000004</v>
      </c>
      <c r="U36" s="313">
        <v>0.2001</v>
      </c>
      <c r="V36" s="71">
        <v>9.77</v>
      </c>
      <c r="W36" s="314">
        <v>0.92349999999999999</v>
      </c>
      <c r="X36" s="290">
        <v>1</v>
      </c>
      <c r="Y36" s="315">
        <f>ROUND(MIN(20,MAX(0,(R36/10)*20))+MIN(20,MAX(0,(N36/120)*20))+MIN(20,MAX(0,(P36/4)*20))+MIN(15,MAX(0,(1-(Q36/15))*15))+MIN(15,MAX(0,(S36/0.3)*15))+MIN(10,MAX(0,(T36/0.65)*10)),1)</f>
        <v>72.900000000000006</v>
      </c>
      <c r="Z36" s="316">
        <f>ROUND(MIN(34,MAX(0,(P36/3.2)*34))+MIN(15,MAX(0,((O36-8.5)/2.5)*15))+MIN(24,MAX(0,(U36/0.22)*24))+MIN(14,MAX(0,(W36/0.85)*14))+IF(ISNUMBER(AA36),MAX(0,30-((INT(AA36)-1)*32+ROUND(MOD(AA36,1)*100,0))*0.07),IF(LOWER(AA36)="udfa",3,12)),1)</f>
        <v>75.5</v>
      </c>
      <c r="AA36" s="329">
        <v>6.31</v>
      </c>
      <c r="AB36" s="330" t="s">
        <v>127</v>
      </c>
      <c r="AC36" s="182">
        <f>IF(AB36="","1.00",IFERROR(VLOOKUP(AB36,'WR Model Page'!$A:$F,6,FALSE()),1))</f>
        <v>-1</v>
      </c>
      <c r="AD36" s="456">
        <f>IF(AND(LOWER(AA36)="udfa",OR(AB36="N/A",AB36="")),-999,ROUND((MIN(IF(AF36&gt;83,99,96),MAX(0,AG36+Z36*0.38))+MAX(0,IFERROR(VALUE(AC36),0))+IF(ISNUMBER(AA36),IF(((INT(AA36)-1)*32+ROUND(MOD(AA36,1)*100,0))&lt;=96,MAX(0,(1-((INT(AA36)-1)*32+ROUND(MOD(AA36,1)*100,0))/96)*2),MAX(0,(1-((INT(AA36)-1)*32+ROUND(MOD(AA36,1)*100,0))/128)*0.5)),0)+MIN(1.5,MAX(0,(P36-2.5)*1.25)))/107*100,1))</f>
        <v>75</v>
      </c>
      <c r="AE36" s="294" t="str">
        <f t="shared" si="5"/>
        <v>WR2 Upside</v>
      </c>
      <c r="AF36" s="295">
        <f t="shared" si="6"/>
        <v>51.626530681965164</v>
      </c>
      <c r="AG36" s="295">
        <f t="shared" si="7"/>
        <v>51.6</v>
      </c>
      <c r="AH36" s="123"/>
      <c r="AI36" s="123"/>
      <c r="AJ36" s="123"/>
      <c r="AK36" s="123"/>
      <c r="AL36" s="123"/>
    </row>
    <row r="37" spans="1:38" ht="18.75" customHeight="1" x14ac:dyDescent="0.3">
      <c r="A37" s="123"/>
      <c r="B37" s="123"/>
      <c r="C37" s="123"/>
      <c r="D37" s="123"/>
      <c r="E37" s="123"/>
      <c r="F37" s="123"/>
      <c r="G37" s="123"/>
      <c r="H37" s="123"/>
      <c r="I37" s="327" t="s">
        <v>359</v>
      </c>
      <c r="J37" s="340">
        <v>190</v>
      </c>
      <c r="K37" s="99">
        <v>71</v>
      </c>
      <c r="L37" s="94">
        <v>33.5</v>
      </c>
      <c r="M37" s="97">
        <v>4.55</v>
      </c>
      <c r="N37" s="74">
        <f>IFERROR(((J37*200)/(M37^4))*(1+((K37-AVERAGE($K$2:$K$59))/AVERAGE($K$2:$K$59)))*(1+((L37-35.5)/35.5)*0.15),0)</f>
        <v>85.337988982730195</v>
      </c>
      <c r="O37" s="341">
        <v>9.1</v>
      </c>
      <c r="P37" s="71">
        <v>1.9730000000000001</v>
      </c>
      <c r="Q37" s="76">
        <v>2.93</v>
      </c>
      <c r="R37" s="328">
        <v>8.25</v>
      </c>
      <c r="S37" s="313">
        <v>0.2571</v>
      </c>
      <c r="T37" s="313">
        <v>0.72</v>
      </c>
      <c r="U37" s="313">
        <v>0.2853</v>
      </c>
      <c r="V37" s="71">
        <v>8.15</v>
      </c>
      <c r="W37" s="314">
        <v>0.95950000000000002</v>
      </c>
      <c r="X37" s="290">
        <v>1</v>
      </c>
      <c r="Y37" s="315">
        <f>ROUND(MIN(20,MAX(0,(R37/10)*20))+MIN(20,MAX(0,(N37/120)*20))+MIN(20,MAX(0,(P37/4)*20))+MIN(15,MAX(0,(1-(Q37/15))*15))+MIN(15,MAX(0,(S37/0.3)*15))+MIN(10,MAX(0,(T37/0.65)*10)),1)</f>
        <v>75.5</v>
      </c>
      <c r="Z37" s="316">
        <f>ROUND(MIN(34,MAX(0,(P37/3.2)*34))+MIN(15,MAX(0,((O37-8.5)/2.5)*15))+MIN(24,MAX(0,(U37/0.22)*24))+MIN(14,MAX(0,(W37/0.85)*14))+IF(ISNUMBER(AA37),MAX(0,30-((INT(AA37)-1)*32+ROUND(MOD(AA37,1)*100,0))*0.07),IF(LOWER(AA37)="udfa",3,12)),1)</f>
        <v>65.599999999999994</v>
      </c>
      <c r="AA37" s="338" t="s">
        <v>95</v>
      </c>
      <c r="AB37" s="330" t="s">
        <v>95</v>
      </c>
      <c r="AC37" s="182">
        <f>IF(AB37="","1.00",IFERROR(VLOOKUP(AB37,'WR Model Page'!$A:$F,6,FALSE()),1))</f>
        <v>1</v>
      </c>
      <c r="AD37" s="456">
        <f>IF(AND(LOWER(AA37)="udfa",OR(AB37="N/A",AB37="")),-999,ROUND((MIN(IF(AF37&gt;83,99,96),MAX(0,AG37+Z37*0.38))+MAX(0,IFERROR(VALUE(AC37),0))+IF(ISNUMBER(AA37),IF(((INT(AA37)-1)*32+ROUND(MOD(AA37,1)*100,0))&lt;=96,MAX(0,(1-((INT(AA37)-1)*32+ROUND(MOD(AA37,1)*100,0))/96)*2),MAX(0,(1-((INT(AA37)-1)*32+ROUND(MOD(AA37,1)*100,0))/128)*0.5)),0)+MIN(1.5,MAX(0,(P37-2.5)*1.25)))/107*100,1))</f>
        <v>74.2</v>
      </c>
      <c r="AE37" s="294" t="str">
        <f t="shared" si="5"/>
        <v>WR2 Upside</v>
      </c>
      <c r="AF37" s="295">
        <f t="shared" si="6"/>
        <v>53.544001738278318</v>
      </c>
      <c r="AG37" s="295">
        <f t="shared" si="7"/>
        <v>53.5</v>
      </c>
      <c r="AH37" s="123"/>
      <c r="AI37" s="123"/>
      <c r="AJ37" s="123"/>
      <c r="AK37" s="123"/>
      <c r="AL37" s="123"/>
    </row>
    <row r="38" spans="1:38" ht="18.75" customHeight="1" x14ac:dyDescent="0.3">
      <c r="A38" s="11" t="s">
        <v>254</v>
      </c>
      <c r="B38" s="11"/>
      <c r="C38" s="11"/>
      <c r="D38" s="11"/>
      <c r="E38" s="11"/>
      <c r="F38" s="11"/>
      <c r="G38" s="11"/>
      <c r="H38" s="123"/>
      <c r="I38" s="327" t="s">
        <v>338</v>
      </c>
      <c r="J38" s="340">
        <v>183</v>
      </c>
      <c r="K38" s="99">
        <v>71</v>
      </c>
      <c r="L38" s="94">
        <v>34</v>
      </c>
      <c r="M38" s="97">
        <v>4.49</v>
      </c>
      <c r="N38" s="74">
        <f>IFERROR(((J38*200)/(M38^4))*(1+((K38-AVERAGE($K$2:$K$59))/AVERAGE($K$2:$K$59)))*(1+((L38-35.5)/35.5)*0.15),0)</f>
        <v>86.860929950585941</v>
      </c>
      <c r="O38" s="341">
        <v>8.75</v>
      </c>
      <c r="P38" s="71">
        <v>2.0621</v>
      </c>
      <c r="Q38" s="76">
        <v>2.94</v>
      </c>
      <c r="R38" s="328">
        <v>7.4</v>
      </c>
      <c r="S38" s="313">
        <v>0.17280000000000001</v>
      </c>
      <c r="T38" s="313">
        <v>0.375</v>
      </c>
      <c r="U38" s="313">
        <v>0.15060000000000001</v>
      </c>
      <c r="V38" s="71">
        <v>11.87</v>
      </c>
      <c r="W38" s="314">
        <v>0.93759999999999999</v>
      </c>
      <c r="X38" s="290">
        <v>1</v>
      </c>
      <c r="Y38" s="315">
        <f>ROUND(MIN(20,MAX(0,(R38/10)*20))+MIN(20,MAX(0,(N38/120)*20))+MIN(20,MAX(0,(P38/4)*20))+MIN(15,MAX(0,(1-(Q38/15))*15))+MIN(15,MAX(0,(S38/0.3)*15))+MIN(10,MAX(0,(T38/0.65)*10)),1)</f>
        <v>66.099999999999994</v>
      </c>
      <c r="Z38" s="316">
        <f>ROUND(MIN(34,MAX(0,(P38/3.2)*34))+MIN(15,MAX(0,((O38-8.5)/2.5)*15))+MIN(24,MAX(0,(U38/0.22)*24))+MIN(14,MAX(0,(W38/0.85)*14))+IF(ISNUMBER(AA38),MAX(0,30-((INT(AA38)-1)*32+ROUND(MOD(AA38,1)*100,0))*0.07),IF(LOWER(AA38)="udfa",3,12)),1)</f>
        <v>71.5</v>
      </c>
      <c r="AA38" s="329">
        <v>6.16</v>
      </c>
      <c r="AB38" s="330" t="s">
        <v>123</v>
      </c>
      <c r="AC38" s="182">
        <f>IF(AB38="","1.00",IFERROR(VLOOKUP(AB38,'WR Model Page'!$A:$F,6,FALSE()),1))</f>
        <v>2</v>
      </c>
      <c r="AD38" s="456">
        <f>IF(AND(LOWER(AA38)="udfa",OR(AB38="N/A",AB38="")),-999,ROUND((MIN(IF(AF38&gt;83,99,96),MAX(0,AG38+Z38*0.38))+MAX(0,IFERROR(VALUE(AC38),0))+IF(ISNUMBER(AA38),IF(((INT(AA38)-1)*32+ROUND(MOD(AA38,1)*100,0))&lt;=96,MAX(0,(1-((INT(AA38)-1)*32+ROUND(MOD(AA38,1)*100,0))/96)*2),MAX(0,(1-((INT(AA38)-1)*32+ROUND(MOD(AA38,1)*100,0))/128)*0.5)),0)+MIN(1.5,MAX(0,(P38-2.5)*1.25)))/107*100,1))</f>
        <v>72.3</v>
      </c>
      <c r="AE38" s="294" t="str">
        <f t="shared" si="5"/>
        <v>Flex Play</v>
      </c>
      <c r="AF38" s="295">
        <f t="shared" si="6"/>
        <v>48.238712329352929</v>
      </c>
      <c r="AG38" s="295">
        <f t="shared" si="7"/>
        <v>48.2</v>
      </c>
      <c r="AH38" s="123"/>
      <c r="AI38" s="123"/>
      <c r="AJ38" s="123"/>
      <c r="AK38" s="123"/>
      <c r="AL38" s="123"/>
    </row>
    <row r="39" spans="1:38" ht="18.75" customHeight="1" x14ac:dyDescent="0.3">
      <c r="A39" s="266" t="s">
        <v>255</v>
      </c>
      <c r="B39" s="267" t="s">
        <v>256</v>
      </c>
      <c r="C39" s="8" t="s">
        <v>257</v>
      </c>
      <c r="D39" s="8"/>
      <c r="E39" s="8"/>
      <c r="F39" s="8"/>
      <c r="G39" s="8"/>
      <c r="H39" s="123"/>
      <c r="I39" s="327" t="s">
        <v>361</v>
      </c>
      <c r="J39" s="340">
        <v>182</v>
      </c>
      <c r="K39" s="99">
        <v>68</v>
      </c>
      <c r="L39" s="94">
        <v>36</v>
      </c>
      <c r="M39" s="97">
        <v>4.45</v>
      </c>
      <c r="N39" s="74">
        <f>IFERROR(((J39*200)/(M39^4))*(1+((K39-AVERAGE($K$2:$K$59))/AVERAGE($K$2:$K$59)))*(1+((L39-35.5)/35.5)*0.15),0)</f>
        <v>86.480569986838319</v>
      </c>
      <c r="O39" s="341">
        <v>8.75</v>
      </c>
      <c r="P39" s="99">
        <v>2.4500000000000002</v>
      </c>
      <c r="Q39" s="94">
        <v>4.2</v>
      </c>
      <c r="R39" s="328">
        <v>8.15</v>
      </c>
      <c r="S39" s="335">
        <v>0.3</v>
      </c>
      <c r="T39" s="335">
        <v>0.55000000000000004</v>
      </c>
      <c r="U39" s="335">
        <v>0.25</v>
      </c>
      <c r="V39" s="99">
        <v>12</v>
      </c>
      <c r="W39" s="336">
        <v>0.82</v>
      </c>
      <c r="X39" s="290">
        <v>0.7</v>
      </c>
      <c r="Y39" s="315">
        <f>ROUND(MIN(20,MAX(0,(R39/10)*20))+MIN(20,MAX(0,(N39/120)*20))+MIN(20,MAX(0,(P39/4)*20))+MIN(15,MAX(0,(1-(Q39/15))*15))+MIN(15,MAX(0,(S39/0.3)*15))+MIN(10,MAX(0,(T39/0.65)*10)),1)</f>
        <v>77.2</v>
      </c>
      <c r="Z39" s="316">
        <f>ROUND(MIN(34,MAX(0,(P39/3.2)*34))+MIN(15,MAX(0,((O39-8.5)/2.5)*15))+MIN(24,MAX(0,(U39/0.22)*24))+MIN(14,MAX(0,(W39/0.85)*14))+IF(ISNUMBER(AA39),MAX(0,30-((INT(AA39)-1)*32+ROUND(MOD(AA39,1)*100,0))*0.07),IF(LOWER(AA39)="udfa",3,12)),1)</f>
        <v>68</v>
      </c>
      <c r="AA39" s="345" t="s">
        <v>95</v>
      </c>
      <c r="AB39" s="332" t="s">
        <v>95</v>
      </c>
      <c r="AC39" s="182">
        <f>IF(AB39="","1.00",IFERROR(VLOOKUP(AB39,'WR Model Page'!$A:$F,6,FALSE()),1))</f>
        <v>1</v>
      </c>
      <c r="AD39" s="456">
        <f>IF(AND(LOWER(AA39)="udfa",OR(AB39="N/A",AB39="")),-999,ROUND((MIN(IF(AF39&gt;83,99,96),MAX(0,AG39+Z39*0.38))+MAX(0,IFERROR(VALUE(AC39),0))+IF(ISNUMBER(AA39),IF(((INT(AA39)-1)*32+ROUND(MOD(AA39,1)*100,0))&lt;=96,MAX(0,(1-((INT(AA39)-1)*32+ROUND(MOD(AA39,1)*100,0))/96)*2),MAX(0,(1-((INT(AA39)-1)*32+ROUND(MOD(AA39,1)*100,0))/128)*0.5)),0)+MIN(1.5,MAX(0,(P39-2.5)*1.25)))/107*100,1))</f>
        <v>72.099999999999994</v>
      </c>
      <c r="AE39" s="294" t="str">
        <f t="shared" si="5"/>
        <v>Flex Play</v>
      </c>
      <c r="AF39" s="295">
        <f t="shared" si="6"/>
        <v>50.270033249232235</v>
      </c>
      <c r="AG39" s="295">
        <f t="shared" si="7"/>
        <v>50.3</v>
      </c>
      <c r="AH39" s="123"/>
      <c r="AI39" s="123"/>
      <c r="AJ39" s="123"/>
      <c r="AK39" s="123"/>
      <c r="AL39" s="123"/>
    </row>
    <row r="40" spans="1:38" ht="18.75" customHeight="1" x14ac:dyDescent="0.3">
      <c r="A40" s="266" t="s">
        <v>258</v>
      </c>
      <c r="B40" s="268" t="s">
        <v>259</v>
      </c>
      <c r="C40" s="8" t="s">
        <v>260</v>
      </c>
      <c r="D40" s="8"/>
      <c r="E40" s="8"/>
      <c r="F40" s="8"/>
      <c r="G40" s="8"/>
      <c r="H40" s="123"/>
      <c r="I40" s="327" t="s">
        <v>339</v>
      </c>
      <c r="J40" s="340">
        <v>185</v>
      </c>
      <c r="K40" s="99">
        <v>71</v>
      </c>
      <c r="L40" s="94">
        <v>36.5</v>
      </c>
      <c r="M40" s="73">
        <v>4.54</v>
      </c>
      <c r="N40" s="74">
        <f>IFERROR(((J40*200)/(M40^4))*(1+((K40-AVERAGE($K$2:$K$59))/AVERAGE($K$2:$K$59)))*(1+((L40-35.5)/35.5)*0.15),0)</f>
        <v>84.898414100621437</v>
      </c>
      <c r="O40" s="341">
        <v>8.75</v>
      </c>
      <c r="P40" s="71">
        <v>1.9327000000000001</v>
      </c>
      <c r="Q40" s="76">
        <v>3.81</v>
      </c>
      <c r="R40" s="328">
        <v>8.6999999999999993</v>
      </c>
      <c r="S40" s="313">
        <v>0.2555</v>
      </c>
      <c r="T40" s="313">
        <v>0.57140000000000002</v>
      </c>
      <c r="U40" s="313">
        <v>0.18379999999999999</v>
      </c>
      <c r="V40" s="71">
        <v>11.47</v>
      </c>
      <c r="W40" s="314">
        <v>0.9466</v>
      </c>
      <c r="X40" s="290">
        <v>1</v>
      </c>
      <c r="Y40" s="315">
        <f>ROUND(MIN(20,MAX(0,(R40/10)*20))+MIN(20,MAX(0,(N40/120)*20))+MIN(20,MAX(0,(P40/4)*20))+MIN(15,MAX(0,(1-(Q40/15))*15))+MIN(15,MAX(0,(S40/0.3)*15))+MIN(10,MAX(0,(T40/0.65)*10)),1)</f>
        <v>74</v>
      </c>
      <c r="Z40" s="316">
        <f>ROUND(MIN(34,MAX(0,(P40/3.2)*34))+MIN(15,MAX(0,((O40-8.5)/2.5)*15))+MIN(24,MAX(0,(U40/0.22)*24))+MIN(14,MAX(0,(W40/0.85)*14))+IF(ISNUMBER(AA40),MAX(0,30-((INT(AA40)-1)*32+ROUND(MOD(AA40,1)*100,0))*0.07),IF(LOWER(AA40)="udfa",3,12)),1)</f>
        <v>59.1</v>
      </c>
      <c r="AA40" s="338" t="s">
        <v>95</v>
      </c>
      <c r="AB40" s="344" t="s">
        <v>93</v>
      </c>
      <c r="AC40" s="182">
        <f>IF(AB40="","1.00",IFERROR(VLOOKUP(AB40,'WR Model Page'!$A:$F,6,FALSE()),1))</f>
        <v>-1</v>
      </c>
      <c r="AD40" s="456">
        <f>IF(AND(LOWER(AA40)="udfa",OR(AB40="N/A",AB40="")),-999,ROUND((MIN(IF(AF40&gt;83,99,96),MAX(0,AG40+Z40*0.38))+MAX(0,IFERROR(VALUE(AC40),0))+IF(ISNUMBER(AA40),IF(((INT(AA40)-1)*32+ROUND(MOD(AA40,1)*100,0))&lt;=96,MAX(0,(1-((INT(AA40)-1)*32+ROUND(MOD(AA40,1)*100,0))/96)*2),MAX(0,(1-((INT(AA40)-1)*32+ROUND(MOD(AA40,1)*100,0))/128)*0.5)),0)+MIN(1.5,MAX(0,(P40-2.5)*1.25)))/107*100,1))</f>
        <v>71.099999999999994</v>
      </c>
      <c r="AE40" s="294" t="str">
        <f t="shared" si="5"/>
        <v>Flex Play</v>
      </c>
      <c r="AF40" s="295">
        <f t="shared" si="6"/>
        <v>53.595657489202921</v>
      </c>
      <c r="AG40" s="295">
        <f t="shared" si="7"/>
        <v>53.6</v>
      </c>
      <c r="AH40" s="123"/>
      <c r="AI40" s="123"/>
      <c r="AJ40" s="123"/>
      <c r="AK40" s="123"/>
      <c r="AL40" s="123"/>
    </row>
    <row r="41" spans="1:38" ht="18.75" customHeight="1" x14ac:dyDescent="0.3">
      <c r="A41" s="266" t="s">
        <v>261</v>
      </c>
      <c r="B41" s="269" t="s">
        <v>262</v>
      </c>
      <c r="C41" s="8" t="s">
        <v>263</v>
      </c>
      <c r="D41" s="8"/>
      <c r="E41" s="8"/>
      <c r="F41" s="8"/>
      <c r="G41" s="8"/>
      <c r="H41" s="123"/>
      <c r="I41" s="327" t="s">
        <v>340</v>
      </c>
      <c r="J41" s="72">
        <v>177</v>
      </c>
      <c r="K41" s="312">
        <v>73</v>
      </c>
      <c r="L41" s="310">
        <v>36</v>
      </c>
      <c r="M41" s="73">
        <v>4.4000000000000004</v>
      </c>
      <c r="N41" s="74">
        <f>IFERROR(((J41*200)/(M41^4))*(1+((K41-AVERAGE($K$2:$K$59))/AVERAGE($K$2:$K$59)))*(1+((L41-35.5)/35.5)*0.15),0)</f>
        <v>94.463429176882741</v>
      </c>
      <c r="O41" s="311">
        <v>9</v>
      </c>
      <c r="P41" s="71">
        <v>1.8149999999999999</v>
      </c>
      <c r="Q41" s="76">
        <v>7.69</v>
      </c>
      <c r="R41" s="328">
        <v>8.8000000000000007</v>
      </c>
      <c r="S41" s="313">
        <v>0.16520000000000001</v>
      </c>
      <c r="T41" s="313">
        <v>0.47370000000000001</v>
      </c>
      <c r="U41" s="313">
        <v>0.1827</v>
      </c>
      <c r="V41" s="71">
        <v>10.93</v>
      </c>
      <c r="W41" s="314">
        <v>0.92479999999999996</v>
      </c>
      <c r="X41" s="290">
        <v>1</v>
      </c>
      <c r="Y41" s="315">
        <f>ROUND(MIN(20,MAX(0,(R41/10)*20))+MIN(20,MAX(0,(N41/120)*20))+MIN(20,MAX(0,(P41/4)*20))+MIN(15,MAX(0,(1-(Q41/15))*15))+MIN(15,MAX(0,(S41/0.3)*15))+MIN(10,MAX(0,(T41/0.65)*10)),1)</f>
        <v>65.3</v>
      </c>
      <c r="Z41" s="316">
        <f>ROUND(MIN(34,MAX(0,(P41/3.2)*34))+MIN(15,MAX(0,((O41-8.5)/2.5)*15))+MIN(24,MAX(0,(U41/0.22)*24))+MIN(14,MAX(0,(W41/0.85)*14))+IF(ISNUMBER(AA41),MAX(0,30-((INT(AA41)-1)*32+ROUND(MOD(AA41,1)*100,0))*0.07),IF(LOWER(AA41)="udfa",3,12)),1)</f>
        <v>72.900000000000006</v>
      </c>
      <c r="AA41" s="329">
        <v>6.3</v>
      </c>
      <c r="AB41" s="330" t="s">
        <v>138</v>
      </c>
      <c r="AC41" s="182">
        <f>IF(AB41="","1.00",IFERROR(VLOOKUP(AB41,'WR Model Page'!$A:$F,6,FALSE()),1))</f>
        <v>-1</v>
      </c>
      <c r="AD41" s="456">
        <f>IF(AND(LOWER(AA41)="udfa",OR(AB41="N/A",AB41="")),-999,ROUND((MIN(IF(AF41&gt;83,99,96),MAX(0,AG41+Z41*0.38))+MAX(0,IFERROR(VALUE(AC41),0))+IF(ISNUMBER(AA41),IF(((INT(AA41)-1)*32+ROUND(MOD(AA41,1)*100,0))&lt;=96,MAX(0,(1-((INT(AA41)-1)*32+ROUND(MOD(AA41,1)*100,0))/96)*2),MAX(0,(1-((INT(AA41)-1)*32+ROUND(MOD(AA41,1)*100,0))/128)*0.5)),0)+MIN(1.5,MAX(0,(P41-2.5)*1.25)))/107*100,1))</f>
        <v>70.7</v>
      </c>
      <c r="AE41" s="294" t="str">
        <f t="shared" si="5"/>
        <v>Flex Play</v>
      </c>
      <c r="AF41" s="295">
        <f t="shared" si="6"/>
        <v>47.956162752659111</v>
      </c>
      <c r="AG41" s="295">
        <f t="shared" si="7"/>
        <v>48</v>
      </c>
      <c r="AH41" s="123"/>
      <c r="AI41" s="123"/>
      <c r="AJ41" s="123"/>
      <c r="AK41" s="123"/>
      <c r="AL41" s="123"/>
    </row>
    <row r="42" spans="1:38" ht="18.75" customHeight="1" x14ac:dyDescent="0.3">
      <c r="A42" s="266" t="s">
        <v>264</v>
      </c>
      <c r="B42" s="270" t="s">
        <v>265</v>
      </c>
      <c r="C42" s="8" t="s">
        <v>266</v>
      </c>
      <c r="D42" s="8"/>
      <c r="E42" s="8"/>
      <c r="F42" s="8"/>
      <c r="G42" s="8"/>
      <c r="H42" s="123"/>
      <c r="I42" s="285" t="s">
        <v>341</v>
      </c>
      <c r="J42" s="286">
        <v>203</v>
      </c>
      <c r="K42" s="286">
        <v>71</v>
      </c>
      <c r="L42" s="286">
        <v>42</v>
      </c>
      <c r="M42" s="288">
        <v>4.45</v>
      </c>
      <c r="N42" s="173">
        <f>IFERROR(((J42*200)/(M42^4))*(1+((K42-AVERAGE($K$2:$K$59))/AVERAGE($K$2:$K$59)))*(1+((L42-35.5)/35.5)*0.15),0)</f>
        <v>103.26259176435262</v>
      </c>
      <c r="O42" s="289">
        <v>9</v>
      </c>
      <c r="P42" s="286">
        <v>1.84</v>
      </c>
      <c r="Q42" s="286">
        <v>3.5</v>
      </c>
      <c r="R42" s="286">
        <v>9.4499999999999993</v>
      </c>
      <c r="S42" s="234">
        <v>0.18</v>
      </c>
      <c r="T42" s="234">
        <v>0.55000000000000004</v>
      </c>
      <c r="U42" s="234">
        <v>0.17699999999999999</v>
      </c>
      <c r="V42" s="191">
        <v>7.5</v>
      </c>
      <c r="W42" s="235">
        <v>0.65</v>
      </c>
      <c r="X42" s="290">
        <v>1</v>
      </c>
      <c r="Y42" s="291">
        <f>ROUND(MIN(20,MAX(0,(R42/10)*20))+MIN(20,MAX(0,(N42/120)*20))+MIN(20,MAX(0,(P42/4)*20))+MIN(15,MAX(0,(1-(Q42/15))*15))+MIN(15,MAX(0,(S42/0.3)*15))+MIN(10,MAX(0,(T42/0.65)*10)),1)</f>
        <v>74.3</v>
      </c>
      <c r="Z42" s="82">
        <f>ROUND(MIN(34,MAX(0,(P42/3.2)*34))+MIN(15,MAX(0,((O42-8.5)/2.5)*15))+MIN(24,MAX(0,(U42/0.22)*24))+MIN(14,MAX(0,(W42/0.85)*14))+IF(ISNUMBER(AA42),MAX(0,30-((INT(AA42)-1)*32+ROUND(MOD(AA42,1)*100,0))*0.07),IF(LOWER(AA42)="udfa",3,12)),1)</f>
        <v>70.8</v>
      </c>
      <c r="AA42" s="98">
        <v>5.4</v>
      </c>
      <c r="AB42" s="292" t="s">
        <v>111</v>
      </c>
      <c r="AC42" s="293">
        <f>IF(AB42="","1.00",IFERROR(VLOOKUP(AB42,'WR Model Page'!$A:$F,6,FALSE()),1))</f>
        <v>-1</v>
      </c>
      <c r="AD42" s="456">
        <f>IF(AND(LOWER(AA42)="udfa",OR(AB42="N/A",AB42="")),-999,ROUND((MIN(IF(AF42&gt;83,99,96),MAX(0,AG42+Z42*0.38))+MAX(0,IFERROR(VALUE(AC42),0))+IF(ISNUMBER(AA42),IF(((INT(AA42)-1)*32+ROUND(MOD(AA42,1)*100,0))&lt;=96,MAX(0,(1-((INT(AA42)-1)*32+ROUND(MOD(AA42,1)*100,0))/96)*2),MAX(0,(1-((INT(AA42)-1)*32+ROUND(MOD(AA42,1)*100,0))/128)*0.5)),0)+MIN(1.5,MAX(0,(P42-2.5)*1.25)))/107*100,1))</f>
        <v>69.599999999999994</v>
      </c>
      <c r="AE42" s="294" t="str">
        <f t="shared" si="5"/>
        <v>Flex Play</v>
      </c>
      <c r="AF42" s="295">
        <f t="shared" si="6"/>
        <v>47.56583526579341</v>
      </c>
      <c r="AG42" s="295">
        <f t="shared" si="7"/>
        <v>47.6</v>
      </c>
      <c r="AH42" s="123"/>
      <c r="AI42" s="123"/>
      <c r="AJ42" s="123"/>
      <c r="AK42" s="123"/>
      <c r="AL42" s="123"/>
    </row>
    <row r="43" spans="1:38" ht="18.75" customHeight="1" x14ac:dyDescent="0.3">
      <c r="A43" s="266" t="s">
        <v>267</v>
      </c>
      <c r="B43" s="271" t="s">
        <v>268</v>
      </c>
      <c r="C43" s="8" t="s">
        <v>269</v>
      </c>
      <c r="D43" s="8"/>
      <c r="E43" s="8"/>
      <c r="F43" s="8"/>
      <c r="G43" s="8"/>
      <c r="H43" s="123"/>
      <c r="I43" s="327" t="s">
        <v>342</v>
      </c>
      <c r="J43" s="346">
        <v>215</v>
      </c>
      <c r="K43" s="328">
        <v>75</v>
      </c>
      <c r="L43" s="347">
        <v>34.5</v>
      </c>
      <c r="M43" s="348">
        <v>4.58</v>
      </c>
      <c r="N43" s="74">
        <f>IFERROR(((J43*200)/(M43^4))*(1+((K43-AVERAGE($K$2:$K$59))/AVERAGE($K$2:$K$59)))*(1+((L43-35.5)/35.5)*0.15),0)</f>
        <v>99.783930594157624</v>
      </c>
      <c r="O43" s="349">
        <v>9.75</v>
      </c>
      <c r="P43" s="71">
        <v>2.1545000000000001</v>
      </c>
      <c r="Q43" s="76">
        <v>5.77</v>
      </c>
      <c r="R43" s="328">
        <v>7.45</v>
      </c>
      <c r="S43" s="313">
        <v>7.6700000000000004E-2</v>
      </c>
      <c r="T43" s="313">
        <v>0.41670000000000001</v>
      </c>
      <c r="U43" s="313">
        <v>6.3E-2</v>
      </c>
      <c r="V43" s="71">
        <v>13.12</v>
      </c>
      <c r="W43" s="314">
        <v>0.93179999999999996</v>
      </c>
      <c r="X43" s="290">
        <v>1</v>
      </c>
      <c r="Y43" s="315">
        <f>ROUND(MIN(20,MAX(0,(R43/10)*20))+MIN(20,MAX(0,(N43/120)*20))+MIN(20,MAX(0,(P43/4)*20))+MIN(15,MAX(0,(1-(Q43/15))*15))+MIN(15,MAX(0,(S43/0.3)*15))+MIN(10,MAX(0,(T43/0.65)*10)),1)</f>
        <v>61.8</v>
      </c>
      <c r="Z43" s="316">
        <f>ROUND(MIN(34,MAX(0,(P43/3.2)*34))+MIN(15,MAX(0,((O43-8.5)/2.5)*15))+MIN(24,MAX(0,(U43/0.22)*24))+MIN(14,MAX(0,(W43/0.85)*14))+IF(ISNUMBER(AA43),MAX(0,30-((INT(AA43)-1)*32+ROUND(MOD(AA43,1)*100,0))*0.07),IF(LOWER(AA43)="udfa",3,12)),1)</f>
        <v>71.5</v>
      </c>
      <c r="AA43" s="329">
        <v>4.4400000000000004</v>
      </c>
      <c r="AB43" s="330" t="s">
        <v>107</v>
      </c>
      <c r="AC43" s="182">
        <f>IF(AB43="","1.00",IFERROR(VLOOKUP(AB43,'WR Model Page'!$A:$F,6,FALSE()),1))</f>
        <v>-1</v>
      </c>
      <c r="AD43" s="456">
        <f>IF(AND(LOWER(AA43)="udfa",OR(AB43="N/A",AB43="")),-999,ROUND((MIN(IF(AF43&gt;83,99,96),MAX(0,AG43+Z43*0.38))+MAX(0,IFERROR(VALUE(AC43),0))+IF(ISNUMBER(AA43),IF(((INT(AA43)-1)*32+ROUND(MOD(AA43,1)*100,0))&lt;=96,MAX(0,(1-((INT(AA43)-1)*32+ROUND(MOD(AA43,1)*100,0))/96)*2),MAX(0,(1-((INT(AA43)-1)*32+ROUND(MOD(AA43,1)*100,0))/128)*0.5)),0)+MIN(1.5,MAX(0,(P43-2.5)*1.25)))/107*100,1))</f>
        <v>68.5</v>
      </c>
      <c r="AE43" s="294" t="str">
        <f t="shared" si="5"/>
        <v>Flex Play</v>
      </c>
      <c r="AF43" s="295">
        <f t="shared" si="6"/>
        <v>46.122383814808458</v>
      </c>
      <c r="AG43" s="295">
        <f t="shared" si="7"/>
        <v>46.1</v>
      </c>
      <c r="AH43" s="123"/>
      <c r="AI43" s="123"/>
      <c r="AJ43" s="123"/>
      <c r="AK43" s="123"/>
      <c r="AL43" s="123"/>
    </row>
    <row r="44" spans="1:38" ht="18.75" customHeight="1" x14ac:dyDescent="0.3">
      <c r="A44" s="266" t="s">
        <v>270</v>
      </c>
      <c r="B44" s="272" t="s">
        <v>271</v>
      </c>
      <c r="C44" s="8" t="s">
        <v>272</v>
      </c>
      <c r="D44" s="8"/>
      <c r="E44" s="8"/>
      <c r="F44" s="8"/>
      <c r="G44" s="8"/>
      <c r="H44" s="123"/>
      <c r="I44" s="327" t="s">
        <v>363</v>
      </c>
      <c r="J44" s="340">
        <v>225</v>
      </c>
      <c r="K44" s="99">
        <v>77</v>
      </c>
      <c r="L44" s="94">
        <v>34</v>
      </c>
      <c r="M44" s="97">
        <v>4.6500000000000004</v>
      </c>
      <c r="N44" s="74">
        <f>IFERROR(((J44*200)/(M44^4))*(1+((K44-AVERAGE($K$2:$K$59))/AVERAGE($K$2:$K$59)))*(1+((L44-35.5)/35.5)*0.15),0)</f>
        <v>100.68431784428955</v>
      </c>
      <c r="O44" s="341">
        <v>10.119999999999999</v>
      </c>
      <c r="P44" s="99">
        <v>1.88</v>
      </c>
      <c r="Q44" s="94">
        <v>5.5</v>
      </c>
      <c r="R44" s="328">
        <v>7.2</v>
      </c>
      <c r="S44" s="335">
        <v>0.38</v>
      </c>
      <c r="T44" s="335">
        <v>0.57999999999999996</v>
      </c>
      <c r="U44" s="335">
        <v>0.3</v>
      </c>
      <c r="V44" s="99">
        <v>11</v>
      </c>
      <c r="W44" s="336">
        <v>0.85</v>
      </c>
      <c r="X44" s="290">
        <v>0.55000000000000004</v>
      </c>
      <c r="Y44" s="315">
        <f>ROUND(MIN(20,MAX(0,(R44/10)*20))+MIN(20,MAX(0,(N44/120)*20))+MIN(20,MAX(0,(P44/4)*20))+MIN(15,MAX(0,(1-(Q44/15))*15))+MIN(15,MAX(0,(S44/0.3)*15))+MIN(10,MAX(0,(T44/0.65)*10)),1)</f>
        <v>74</v>
      </c>
      <c r="Z44" s="316">
        <f>ROUND(MIN(34,MAX(0,(P44/3.2)*34))+MIN(15,MAX(0,((O44-8.5)/2.5)*15))+MIN(24,MAX(0,(U44/0.22)*24))+MIN(14,MAX(0,(W44/0.85)*14))+IF(ISNUMBER(AA44),MAX(0,30-((INT(AA44)-1)*32+ROUND(MOD(AA44,1)*100,0))*0.07),IF(LOWER(AA44)="udfa",3,12)),1)</f>
        <v>70.7</v>
      </c>
      <c r="AA44" s="338" t="s">
        <v>95</v>
      </c>
      <c r="AB44" s="330" t="s">
        <v>95</v>
      </c>
      <c r="AC44" s="182">
        <f>IF(AB44="","1.00",IFERROR(VLOOKUP(AB44,'WR Model Page'!$A:$F,6,FALSE()),1))</f>
        <v>1</v>
      </c>
      <c r="AD44" s="456">
        <f>IF(AND(LOWER(AA44)="udfa",OR(AB44="N/A",AB44="")),-999,ROUND((MIN(IF(AF44&gt;83,99,96),MAX(0,AG44+Z44*0.38))+MAX(0,IFERROR(VALUE(AC44),0))+IF(ISNUMBER(AA44),IF(((INT(AA44)-1)*32+ROUND(MOD(AA44,1)*100,0))&lt;=96,MAX(0,(1-((INT(AA44)-1)*32+ROUND(MOD(AA44,1)*100,0))/96)*2),MAX(0,(1-((INT(AA44)-1)*32+ROUND(MOD(AA44,1)*100,0))/128)*0.5)),0)+MIN(1.5,MAX(0,(P44-2.5)*1.25)))/107*100,1))</f>
        <v>67.3</v>
      </c>
      <c r="AE44" s="294" t="str">
        <f t="shared" si="5"/>
        <v>Flex Play</v>
      </c>
      <c r="AF44" s="295">
        <f t="shared" si="6"/>
        <v>44.118418540916892</v>
      </c>
      <c r="AG44" s="295">
        <f t="shared" si="7"/>
        <v>44.1</v>
      </c>
      <c r="AH44" s="123"/>
      <c r="AI44" s="123"/>
      <c r="AJ44" s="123"/>
      <c r="AK44" s="123"/>
      <c r="AL44" s="123"/>
    </row>
    <row r="45" spans="1:38" ht="18.75" customHeight="1" x14ac:dyDescent="0.3">
      <c r="A45" s="266" t="s">
        <v>273</v>
      </c>
      <c r="B45" s="273" t="s">
        <v>274</v>
      </c>
      <c r="C45" s="8" t="s">
        <v>275</v>
      </c>
      <c r="D45" s="8"/>
      <c r="E45" s="8"/>
      <c r="F45" s="8"/>
      <c r="G45" s="8"/>
      <c r="H45" s="123"/>
      <c r="I45" s="327" t="s">
        <v>343</v>
      </c>
      <c r="J45" s="72">
        <v>190</v>
      </c>
      <c r="K45" s="328">
        <v>70</v>
      </c>
      <c r="L45" s="76">
        <v>36</v>
      </c>
      <c r="M45" s="73">
        <v>4.28</v>
      </c>
      <c r="N45" s="74">
        <f>IFERROR(((J45*200)/(M45^4))*(1+((K45-AVERAGE($K$2:$K$59))/AVERAGE($K$2:$K$59)))*(1+((L45-35.5)/35.5)*0.15),0)</f>
        <v>108.60625826305298</v>
      </c>
      <c r="O45" s="311">
        <v>9</v>
      </c>
      <c r="P45" s="71">
        <v>1.4162999999999999</v>
      </c>
      <c r="Q45" s="76">
        <v>2</v>
      </c>
      <c r="R45" s="328">
        <v>8.85</v>
      </c>
      <c r="S45" s="313">
        <v>0.1124</v>
      </c>
      <c r="T45" s="313">
        <v>0.33329999999999999</v>
      </c>
      <c r="U45" s="313">
        <v>0.1105</v>
      </c>
      <c r="V45" s="71">
        <v>9.7200000000000006</v>
      </c>
      <c r="W45" s="314">
        <v>0.93310000000000004</v>
      </c>
      <c r="X45" s="290">
        <v>1</v>
      </c>
      <c r="Y45" s="315">
        <f>ROUND(MIN(20,MAX(0,(R45/10)*20))+MIN(20,MAX(0,(N45/120)*20))+MIN(20,MAX(0,(P45/4)*20))+MIN(15,MAX(0,(1-(Q45/15))*15))+MIN(15,MAX(0,(S45/0.3)*15))+MIN(10,MAX(0,(T45/0.65)*10)),1)</f>
        <v>66.599999999999994</v>
      </c>
      <c r="Z45" s="316">
        <f>ROUND(MIN(34,MAX(0,(P45/3.2)*34))+MIN(15,MAX(0,((O45-8.5)/2.5)*15))+MIN(24,MAX(0,(U45/0.22)*24))+MIN(14,MAX(0,(W45/0.85)*14))+IF(ISNUMBER(AA45),MAX(0,30-((INT(AA45)-1)*32+ROUND(MOD(AA45,1)*100,0))*0.07),IF(LOWER(AA45)="udfa",3,12)),1)</f>
        <v>67.900000000000006</v>
      </c>
      <c r="AA45" s="329">
        <v>3.25</v>
      </c>
      <c r="AB45" s="330" t="s">
        <v>104</v>
      </c>
      <c r="AC45" s="182">
        <f>IF(AB45="","1.00",IFERROR(VLOOKUP(AB45,'WR Model Page'!$A:$F,6,FALSE()),1))</f>
        <v>2</v>
      </c>
      <c r="AD45" s="456">
        <f>IF(AND(LOWER(AA45)="udfa",OR(AB45="N/A",AB45="")),-999,ROUND((MIN(IF(AF45&gt;83,99,96),MAX(0,AG45+Z45*0.38))+MAX(0,IFERROR(VALUE(AC45),0))+IF(ISNUMBER(AA45),IF(((INT(AA45)-1)*32+ROUND(MOD(AA45,1)*100,0))&lt;=96,MAX(0,(1-((INT(AA45)-1)*32+ROUND(MOD(AA45,1)*100,0))/96)*2),MAX(0,(1-((INT(AA45)-1)*32+ROUND(MOD(AA45,1)*100,0))/128)*0.5)),0)+MIN(1.5,MAX(0,(P45-2.5)*1.25)))/107*100,1))</f>
        <v>67.2</v>
      </c>
      <c r="AE45" s="294" t="str">
        <f t="shared" si="5"/>
        <v>Flex Play</v>
      </c>
      <c r="AF45" s="295">
        <f t="shared" si="6"/>
        <v>44.017200702229495</v>
      </c>
      <c r="AG45" s="295">
        <f t="shared" si="7"/>
        <v>44</v>
      </c>
      <c r="AH45" s="123"/>
      <c r="AI45" s="123"/>
      <c r="AJ45" s="123"/>
      <c r="AK45" s="123"/>
      <c r="AL45" s="123"/>
    </row>
    <row r="46" spans="1:38" ht="18.75" customHeight="1" x14ac:dyDescent="0.3">
      <c r="A46" s="123"/>
      <c r="B46" s="123"/>
      <c r="C46" s="123"/>
      <c r="D46" s="123"/>
      <c r="E46" s="123"/>
      <c r="F46" s="123"/>
      <c r="G46" s="123"/>
      <c r="H46" s="123"/>
      <c r="I46" s="327" t="s">
        <v>344</v>
      </c>
      <c r="J46" s="350">
        <v>205</v>
      </c>
      <c r="K46" s="312">
        <v>74</v>
      </c>
      <c r="L46" s="310">
        <v>35</v>
      </c>
      <c r="M46" s="97">
        <v>4.5199999999999996</v>
      </c>
      <c r="N46" s="74">
        <f>IFERROR(((J46*200)/(M46^4))*(1+((K46-AVERAGE($K$2:$K$59))/AVERAGE($K$2:$K$59)))*(1+((L46-35.5)/35.5)*0.15),0)</f>
        <v>99.168804622425426</v>
      </c>
      <c r="O46" s="351">
        <v>9.3800000000000008</v>
      </c>
      <c r="P46" s="71">
        <v>1.5139</v>
      </c>
      <c r="Q46" s="76">
        <v>1.63</v>
      </c>
      <c r="R46" s="328">
        <v>8.15</v>
      </c>
      <c r="S46" s="313">
        <v>0.12570000000000001</v>
      </c>
      <c r="T46" s="313">
        <v>0.70830000000000004</v>
      </c>
      <c r="U46" s="313">
        <v>0.1244</v>
      </c>
      <c r="V46" s="71">
        <v>10.45</v>
      </c>
      <c r="W46" s="314">
        <v>0.95269999999999999</v>
      </c>
      <c r="X46" s="290">
        <v>1</v>
      </c>
      <c r="Y46" s="315">
        <f>ROUND(MIN(20,MAX(0,(R46/10)*20))+MIN(20,MAX(0,(N46/120)*20))+MIN(20,MAX(0,(P46/4)*20))+MIN(15,MAX(0,(1-(Q46/15))*15))+MIN(15,MAX(0,(S46/0.3)*15))+MIN(10,MAX(0,(T46/0.65)*10)),1)</f>
        <v>70.099999999999994</v>
      </c>
      <c r="Z46" s="316">
        <f>ROUND(MIN(34,MAX(0,(P46/3.2)*34))+MIN(15,MAX(0,((O46-8.5)/2.5)*15))+MIN(24,MAX(0,(U46/0.22)*24))+MIN(14,MAX(0,(W46/0.85)*14))+IF(ISNUMBER(AA46),MAX(0,30-((INT(AA46)-1)*32+ROUND(MOD(AA46,1)*100,0))*0.07),IF(LOWER(AA46)="udfa",3,12)),1)</f>
        <v>65.099999999999994</v>
      </c>
      <c r="AA46" s="329">
        <v>6.37</v>
      </c>
      <c r="AB46" s="330" t="s">
        <v>92</v>
      </c>
      <c r="AC46" s="182">
        <f>IF(AB46="","1.00",IFERROR(VLOOKUP(AB46,'WR Model Page'!$A:$F,6,FALSE()),1))</f>
        <v>-1</v>
      </c>
      <c r="AD46" s="456">
        <f>IF(AND(LOWER(AA46)="udfa",OR(AB46="N/A",AB46="")),-999,ROUND((MIN(IF(AF46&gt;83,99,96),MAX(0,AG46+Z46*0.38))+MAX(0,IFERROR(VALUE(AC46),0))+IF(ISNUMBER(AA46),IF(((INT(AA46)-1)*32+ROUND(MOD(AA46,1)*100,0))&lt;=96,MAX(0,(1-((INT(AA46)-1)*32+ROUND(MOD(AA46,1)*100,0))/96)*2),MAX(0,(1-((INT(AA46)-1)*32+ROUND(MOD(AA46,1)*100,0))/128)*0.5)),0)+MIN(1.5,MAX(0,(P46-2.5)*1.25)))/107*100,1))</f>
        <v>67.099999999999994</v>
      </c>
      <c r="AE46" s="294" t="str">
        <f t="shared" si="5"/>
        <v>Flex Play</v>
      </c>
      <c r="AF46" s="295">
        <f t="shared" si="6"/>
        <v>47.10031250215112</v>
      </c>
      <c r="AG46" s="295">
        <f t="shared" si="7"/>
        <v>47.1</v>
      </c>
      <c r="AH46" s="123"/>
      <c r="AI46" s="123"/>
      <c r="AJ46" s="123"/>
      <c r="AK46" s="123"/>
      <c r="AL46" s="123"/>
    </row>
    <row r="47" spans="1:38" ht="18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327" t="s">
        <v>345</v>
      </c>
      <c r="J47" s="72">
        <v>191</v>
      </c>
      <c r="K47" s="71">
        <v>73</v>
      </c>
      <c r="L47" s="94">
        <v>35.5</v>
      </c>
      <c r="M47" s="97">
        <v>4.49</v>
      </c>
      <c r="N47" s="74">
        <f>IFERROR(((J47*200)/(M47^4))*(1+((K47-AVERAGE($K$2:$K$59))/AVERAGE($K$2:$K$59)))*(1+((L47-35.5)/35.5)*0.15),0)</f>
        <v>93.806426965413806</v>
      </c>
      <c r="O47" s="311">
        <v>9.25</v>
      </c>
      <c r="P47" s="71">
        <v>1.9468000000000001</v>
      </c>
      <c r="Q47" s="76">
        <v>5.26</v>
      </c>
      <c r="R47" s="328">
        <v>8.35</v>
      </c>
      <c r="S47" s="313">
        <v>0.16900000000000001</v>
      </c>
      <c r="T47" s="313">
        <v>0.46150000000000002</v>
      </c>
      <c r="U47" s="313">
        <v>0.1799</v>
      </c>
      <c r="V47" s="71">
        <v>10.89</v>
      </c>
      <c r="W47" s="314">
        <v>0.93659999999999999</v>
      </c>
      <c r="X47" s="290">
        <v>1</v>
      </c>
      <c r="Y47" s="315">
        <f>ROUND(MIN(20,MAX(0,(R47/10)*20))+MIN(20,MAX(0,(N47/120)*20))+MIN(20,MAX(0,(P47/4)*20))+MIN(15,MAX(0,(1-(Q47/15))*15))+MIN(15,MAX(0,(S47/0.3)*15))+MIN(10,MAX(0,(T47/0.65)*10)),1)</f>
        <v>67.400000000000006</v>
      </c>
      <c r="Z47" s="316">
        <f>ROUND(MIN(34,MAX(0,(P47/3.2)*34))+MIN(15,MAX(0,((O47-8.5)/2.5)*15))+MIN(24,MAX(0,(U47/0.22)*24))+MIN(14,MAX(0,(W47/0.85)*14))+IF(ISNUMBER(AA47),MAX(0,30-((INT(AA47)-1)*32+ROUND(MOD(AA47,1)*100,0))*0.07),IF(LOWER(AA47)="udfa",3,12)),1)</f>
        <v>61.8</v>
      </c>
      <c r="AA47" s="338" t="s">
        <v>95</v>
      </c>
      <c r="AB47" s="344" t="s">
        <v>112</v>
      </c>
      <c r="AC47" s="182">
        <f>IF(AB47="","1.00",IFERROR(VLOOKUP(AB47,'WR Model Page'!$A:$F,6,FALSE()),1))</f>
        <v>0</v>
      </c>
      <c r="AD47" s="456">
        <f>IF(AND(LOWER(AA47)="udfa",OR(AB47="N/A",AB47="")),-999,ROUND((MIN(IF(AF47&gt;83,99,96),MAX(0,AG47+Z47*0.38))+MAX(0,IFERROR(VALUE(AC47),0))+IF(ISNUMBER(AA47),IF(((INT(AA47)-1)*32+ROUND(MOD(AA47,1)*100,0))&lt;=96,MAX(0,(1-((INT(AA47)-1)*32+ROUND(MOD(AA47,1)*100,0))/96)*2),MAX(0,(1-((INT(AA47)-1)*32+ROUND(MOD(AA47,1)*100,0))/128)*0.5)),0)+MIN(1.5,MAX(0,(P47-2.5)*1.25)))/107*100,1))</f>
        <v>66.599999999999994</v>
      </c>
      <c r="AE47" s="294" t="str">
        <f t="shared" si="5"/>
        <v>Flex Play</v>
      </c>
      <c r="AF47" s="295">
        <f t="shared" si="6"/>
        <v>47.803003477744383</v>
      </c>
      <c r="AG47" s="295">
        <f t="shared" si="7"/>
        <v>47.8</v>
      </c>
      <c r="AH47" s="123"/>
      <c r="AI47" s="123"/>
      <c r="AJ47" s="123"/>
      <c r="AK47" s="123"/>
      <c r="AL47" s="123"/>
    </row>
    <row r="48" spans="1:38" ht="18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327" t="s">
        <v>346</v>
      </c>
      <c r="J48" s="72">
        <v>180</v>
      </c>
      <c r="K48" s="71">
        <v>70</v>
      </c>
      <c r="L48" s="76">
        <v>42.5</v>
      </c>
      <c r="M48" s="73">
        <v>4.3</v>
      </c>
      <c r="N48" s="74">
        <f>IFERROR(((J48*200)/(M48^4))*(1+((K48-AVERAGE($K$2:$K$59))/AVERAGE($K$2:$K$59)))*(1+((L48-35.5)/35.5)*0.15),0)</f>
        <v>103.75701809346936</v>
      </c>
      <c r="O48" s="311">
        <v>9.5</v>
      </c>
      <c r="P48" s="71">
        <v>1.4818</v>
      </c>
      <c r="Q48" s="76">
        <v>3.12</v>
      </c>
      <c r="R48" s="71">
        <v>9.4499999999999993</v>
      </c>
      <c r="S48" s="313">
        <v>0.1598</v>
      </c>
      <c r="T48" s="313">
        <v>0.56000000000000005</v>
      </c>
      <c r="U48" s="313">
        <v>0.16889999999999999</v>
      </c>
      <c r="V48" s="71">
        <v>7.98</v>
      </c>
      <c r="W48" s="314">
        <v>0.9506</v>
      </c>
      <c r="X48" s="290">
        <v>1</v>
      </c>
      <c r="Y48" s="315">
        <f>ROUND(MIN(20,MAX(0,(R48/10)*20))+MIN(20,MAX(0,(N48/120)*20))+MIN(20,MAX(0,(P48/4)*20))+MIN(15,MAX(0,(1-(Q48/15))*15))+MIN(15,MAX(0,(S48/0.3)*15))+MIN(10,MAX(0,(T48/0.65)*10)),1)</f>
        <v>72.099999999999994</v>
      </c>
      <c r="Z48" s="316">
        <f>ROUND(MIN(34,MAX(0,(P48/3.2)*34))+MIN(15,MAX(0,((O48-8.5)/2.5)*15))+MIN(24,MAX(0,(U48/0.22)*24))+MIN(14,MAX(0,(W48/0.85)*14))+IF(ISNUMBER(AA48),MAX(0,30-((INT(AA48)-1)*32+ROUND(MOD(AA48,1)*100,0))*0.07),IF(LOWER(AA48)="udfa",3,12)),1)</f>
        <v>66.400000000000006</v>
      </c>
      <c r="AA48" s="329">
        <v>7.62</v>
      </c>
      <c r="AB48" s="330" t="s">
        <v>124</v>
      </c>
      <c r="AC48" s="182">
        <f>IF(AB48="","1.00",IFERROR(VLOOKUP(AB48,'WR Model Page'!$A:$F,6,FALSE()),1))</f>
        <v>1</v>
      </c>
      <c r="AD48" s="456">
        <f>IF(AND(LOWER(AA48)="udfa",OR(AB48="N/A",AB48="")),-999,ROUND((MIN(IF(AF48&gt;83,99,96),MAX(0,AG48+Z48*0.38))+MAX(0,IFERROR(VALUE(AC48),0))+IF(ISNUMBER(AA48),IF(((INT(AA48)-1)*32+ROUND(MOD(AA48,1)*100,0))&lt;=96,MAX(0,(1-((INT(AA48)-1)*32+ROUND(MOD(AA48,1)*100,0))/96)*2),MAX(0,(1-((INT(AA48)-1)*32+ROUND(MOD(AA48,1)*100,0))/128)*0.5)),0)+MIN(1.5,MAX(0,(P48-2.5)*1.25)))/107*100,1))</f>
        <v>66.099999999999994</v>
      </c>
      <c r="AE48" s="294" t="str">
        <f t="shared" si="5"/>
        <v>Flex Play</v>
      </c>
      <c r="AF48" s="295">
        <f t="shared" si="6"/>
        <v>44.483970583589532</v>
      </c>
      <c r="AG48" s="295">
        <f t="shared" si="7"/>
        <v>44.5</v>
      </c>
      <c r="AH48" s="123"/>
      <c r="AI48" s="123"/>
      <c r="AJ48" s="123"/>
      <c r="AK48" s="123"/>
      <c r="AL48" s="123"/>
    </row>
    <row r="49" spans="1:38" ht="18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327" t="s">
        <v>364</v>
      </c>
      <c r="J49" s="340">
        <v>230</v>
      </c>
      <c r="K49" s="99">
        <v>75</v>
      </c>
      <c r="L49" s="94">
        <v>33.5</v>
      </c>
      <c r="M49" s="97">
        <v>4.75</v>
      </c>
      <c r="N49" s="74">
        <f>IFERROR(((J49*200)/(M49^4))*(1+((K49-AVERAGE($K$2:$K$59))/AVERAGE($K$2:$K$59)))*(1+((L49-35.5)/35.5)*0.15),0)</f>
        <v>91.87359323037181</v>
      </c>
      <c r="O49" s="341">
        <v>9.6199999999999992</v>
      </c>
      <c r="P49" s="99">
        <v>1.75</v>
      </c>
      <c r="Q49" s="94">
        <v>6.1</v>
      </c>
      <c r="R49" s="328">
        <v>6.45</v>
      </c>
      <c r="S49" s="335">
        <v>0.35</v>
      </c>
      <c r="T49" s="335">
        <v>0.55000000000000004</v>
      </c>
      <c r="U49" s="335">
        <v>0.28000000000000003</v>
      </c>
      <c r="V49" s="99">
        <v>11</v>
      </c>
      <c r="W49" s="336">
        <v>0.82</v>
      </c>
      <c r="X49" s="290">
        <v>0.7</v>
      </c>
      <c r="Y49" s="315">
        <f>ROUND(MIN(20,MAX(0,(R49/10)*20))+MIN(20,MAX(0,(N49/120)*20))+MIN(20,MAX(0,(P49/4)*20))+MIN(15,MAX(0,(1-(Q49/15))*15))+MIN(15,MAX(0,(S49/0.3)*15))+MIN(10,MAX(0,(T49/0.65)*10)),1)</f>
        <v>69.3</v>
      </c>
      <c r="Z49" s="316">
        <f>ROUND(MIN(34,MAX(0,(P49/3.2)*34))+MIN(15,MAX(0,((O49-8.5)/2.5)*15))+MIN(24,MAX(0,(U49/0.22)*24))+MIN(14,MAX(0,(W49/0.85)*14))+IF(ISNUMBER(AA49),MAX(0,30-((INT(AA49)-1)*32+ROUND(MOD(AA49,1)*100,0))*0.07),IF(LOWER(AA49)="udfa",3,12)),1)</f>
        <v>65.8</v>
      </c>
      <c r="AA49" s="338" t="s">
        <v>95</v>
      </c>
      <c r="AB49" s="330" t="s">
        <v>95</v>
      </c>
      <c r="AC49" s="182">
        <f>IF(AB49="","1.00",IFERROR(VLOOKUP(AB49,'WR Model Page'!$A:$F,6,FALSE()),1))</f>
        <v>1</v>
      </c>
      <c r="AD49" s="456">
        <f>IF(AND(LOWER(AA49)="udfa",OR(AB49="N/A",AB49="")),-999,ROUND((MIN(IF(AF49&gt;83,99,96),MAX(0,AG49+Z49*0.38))+MAX(0,IFERROR(VALUE(AC49),0))+IF(ISNUMBER(AA49),IF(((INT(AA49)-1)*32+ROUND(MOD(AA49,1)*100,0))&lt;=96,MAX(0,(1-((INT(AA49)-1)*32+ROUND(MOD(AA49,1)*100,0))/96)*2),MAX(0,(1-((INT(AA49)-1)*32+ROUND(MOD(AA49,1)*100,0))/128)*0.5)),0)+MIN(1.5,MAX(0,(P49-2.5)*1.25)))/107*100,1))</f>
        <v>65.599999999999994</v>
      </c>
      <c r="AE49" s="294" t="str">
        <f t="shared" si="5"/>
        <v>Flex Play</v>
      </c>
      <c r="AF49" s="295">
        <f t="shared" si="6"/>
        <v>44.215959605105027</v>
      </c>
      <c r="AG49" s="295">
        <f t="shared" si="7"/>
        <v>44.2</v>
      </c>
      <c r="AH49" s="123"/>
      <c r="AI49" s="123"/>
      <c r="AJ49" s="123"/>
      <c r="AK49" s="123"/>
      <c r="AL49" s="123"/>
    </row>
    <row r="50" spans="1:38" ht="18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327" t="s">
        <v>347</v>
      </c>
      <c r="J50" s="346">
        <v>186</v>
      </c>
      <c r="K50" s="328">
        <v>70</v>
      </c>
      <c r="L50" s="347">
        <v>37</v>
      </c>
      <c r="M50" s="348">
        <v>4.4000000000000004</v>
      </c>
      <c r="N50" s="74">
        <f>IFERROR(((J50*200)/(M50^4))*(1+((K50-AVERAGE($K$2:$K$59))/AVERAGE($K$2:$K$59)))*(1+((L50-35.5)/35.5)*0.15),0)</f>
        <v>95.588554361885841</v>
      </c>
      <c r="O50" s="349">
        <v>8.75</v>
      </c>
      <c r="P50" s="71">
        <v>1.8142</v>
      </c>
      <c r="Q50" s="76">
        <v>4.62</v>
      </c>
      <c r="R50" s="328">
        <v>8.5500000000000007</v>
      </c>
      <c r="S50" s="313">
        <v>0.20899999999999999</v>
      </c>
      <c r="T50" s="313">
        <v>0.61760000000000004</v>
      </c>
      <c r="U50" s="313">
        <v>0.1996</v>
      </c>
      <c r="V50" s="71">
        <v>7.04</v>
      </c>
      <c r="W50" s="314">
        <v>0.95009999999999994</v>
      </c>
      <c r="X50" s="290">
        <v>1</v>
      </c>
      <c r="Y50" s="315">
        <f>ROUND(MIN(20,MAX(0,(R50/10)*20))+MIN(20,MAX(0,(N50/120)*20))+MIN(20,MAX(0,(P50/4)*20))+MIN(15,MAX(0,(1-(Q50/15))*15))+MIN(15,MAX(0,(S50/0.3)*15))+MIN(10,MAX(0,(T50/0.65)*10)),1)</f>
        <v>72.400000000000006</v>
      </c>
      <c r="Z50" s="316">
        <f>ROUND(MIN(34,MAX(0,(P50/3.2)*34))+MIN(15,MAX(0,((O50-8.5)/2.5)*15))+MIN(24,MAX(0,(U50/0.22)*24))+MIN(14,MAX(0,(W50/0.85)*14))+IF(ISNUMBER(AA50),MAX(0,30-((INT(AA50)-1)*32+ROUND(MOD(AA50,1)*100,0))*0.07),IF(LOWER(AA50)="udfa",3,12)),1)</f>
        <v>59.6</v>
      </c>
      <c r="AA50" s="338" t="s">
        <v>95</v>
      </c>
      <c r="AB50" s="330" t="s">
        <v>106</v>
      </c>
      <c r="AC50" s="182">
        <f>IF(AB50="","1.00",IFERROR(VLOOKUP(AB50,'WR Model Page'!$A:$F,6,FALSE()),1))</f>
        <v>1</v>
      </c>
      <c r="AD50" s="456">
        <f>IF(AND(LOWER(AA50)="udfa",OR(AB50="N/A",AB50="")),-999,ROUND((MIN(IF(AF50&gt;83,99,96),MAX(0,AG50+Z50*0.38))+MAX(0,IFERROR(VALUE(AC50),0))+IF(ISNUMBER(AA50),IF(((INT(AA50)-1)*32+ROUND(MOD(AA50,1)*100,0))&lt;=96,MAX(0,(1-((INT(AA50)-1)*32+ROUND(MOD(AA50,1)*100,0))/96)*2),MAX(0,(1-((INT(AA50)-1)*32+ROUND(MOD(AA50,1)*100,0))/128)*0.5)),0)+MIN(1.5,MAX(0,(P50-2.5)*1.25)))/107*100,1))</f>
        <v>65.099999999999994</v>
      </c>
      <c r="AE50" s="294" t="str">
        <f t="shared" si="5"/>
        <v>Flex Play</v>
      </c>
      <c r="AF50" s="295">
        <f t="shared" si="6"/>
        <v>45.977137099681435</v>
      </c>
      <c r="AG50" s="295">
        <f t="shared" si="7"/>
        <v>46</v>
      </c>
      <c r="AH50" s="123"/>
      <c r="AI50" s="123"/>
      <c r="AJ50" s="123"/>
      <c r="AK50" s="123"/>
      <c r="AL50" s="123"/>
    </row>
    <row r="51" spans="1:38" ht="18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327" t="s">
        <v>362</v>
      </c>
      <c r="J51" s="340">
        <v>192</v>
      </c>
      <c r="K51" s="99">
        <v>73</v>
      </c>
      <c r="L51" s="94">
        <v>36</v>
      </c>
      <c r="M51" s="97">
        <v>4.49</v>
      </c>
      <c r="N51" s="74">
        <f>IFERROR(((J51*200)/(M51^4))*(1+((K51-AVERAGE($K$2:$K$59))/AVERAGE($K$2:$K$59)))*(1+((L51-35.5)/35.5)*0.15),0)</f>
        <v>94.4967802882623</v>
      </c>
      <c r="O51" s="341">
        <v>9.1199999999999992</v>
      </c>
      <c r="P51" s="99">
        <v>2.02</v>
      </c>
      <c r="Q51" s="94">
        <v>6.5</v>
      </c>
      <c r="R51" s="328">
        <v>8.1</v>
      </c>
      <c r="S51" s="335">
        <v>0.18</v>
      </c>
      <c r="T51" s="335">
        <v>0.48</v>
      </c>
      <c r="U51" s="335">
        <v>0.16</v>
      </c>
      <c r="V51" s="99">
        <v>10</v>
      </c>
      <c r="W51" s="336">
        <v>0.68</v>
      </c>
      <c r="X51" s="290">
        <v>1</v>
      </c>
      <c r="Y51" s="315">
        <f>ROUND(MIN(20,MAX(0,(R51/10)*20))+MIN(20,MAX(0,(N51/120)*20))+MIN(20,MAX(0,(P51/4)*20))+MIN(15,MAX(0,(1-(Q51/15))*15))+MIN(15,MAX(0,(S51/0.3)*15))+MIN(10,MAX(0,(T51/0.65)*10)),1)</f>
        <v>66.900000000000006</v>
      </c>
      <c r="Z51" s="316">
        <f>ROUND(MIN(34,MAX(0,(P51/3.2)*34))+MIN(15,MAX(0,((O51-8.5)/2.5)*15))+MIN(24,MAX(0,(U51/0.22)*24))+MIN(14,MAX(0,(W51/0.85)*14))+IF(ISNUMBER(AA51),MAX(0,30-((INT(AA51)-1)*32+ROUND(MOD(AA51,1)*100,0))*0.07),IF(LOWER(AA51)="udfa",3,12)),1)</f>
        <v>56.8</v>
      </c>
      <c r="AA51" s="338" t="s">
        <v>95</v>
      </c>
      <c r="AB51" s="330" t="s">
        <v>95</v>
      </c>
      <c r="AC51" s="182">
        <f>IF(AB51="","1.00",IFERROR(VLOOKUP(AB51,'WR Model Page'!$A:$F,6,FALSE()),1))</f>
        <v>1</v>
      </c>
      <c r="AD51" s="456">
        <f>IF(AND(LOWER(AA51)="udfa",OR(AB51="N/A",AB51="")),-999,ROUND((MIN(IF(AF51&gt;83,99,96),MAX(0,AG51+Z51*0.38))+MAX(0,IFERROR(VALUE(AC51),0))+IF(ISNUMBER(AA51),IF(((INT(AA51)-1)*32+ROUND(MOD(AA51,1)*100,0))&lt;=96,MAX(0,(1-((INT(AA51)-1)*32+ROUND(MOD(AA51,1)*100,0))/96)*2),MAX(0,(1-((INT(AA51)-1)*32+ROUND(MOD(AA51,1)*100,0))/128)*0.5)),0)+MIN(1.5,MAX(0,(P51-2.5)*1.25)))/107*100,1))</f>
        <v>64.7</v>
      </c>
      <c r="AE51" s="294" t="str">
        <f t="shared" si="5"/>
        <v>Flex Play</v>
      </c>
      <c r="AF51" s="295">
        <f t="shared" si="6"/>
        <v>46.599455040624825</v>
      </c>
      <c r="AG51" s="295">
        <f t="shared" si="7"/>
        <v>46.6</v>
      </c>
      <c r="AH51" s="123"/>
      <c r="AI51" s="123"/>
      <c r="AJ51" s="123"/>
      <c r="AK51" s="123"/>
      <c r="AL51" s="123"/>
    </row>
    <row r="52" spans="1:38" ht="18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327" t="s">
        <v>348</v>
      </c>
      <c r="J52" s="72">
        <v>207</v>
      </c>
      <c r="K52" s="71">
        <v>75</v>
      </c>
      <c r="L52" s="76">
        <v>38.5</v>
      </c>
      <c r="M52" s="73">
        <v>4.4000000000000004</v>
      </c>
      <c r="N52" s="74">
        <f>IFERROR(((J52*200)/(M52^4))*(1+((K52-AVERAGE($K$2:$K$59))/AVERAGE($K$2:$K$59)))*(1+((L52-35.5)/35.5)*0.15),0)</f>
        <v>114.69729493524972</v>
      </c>
      <c r="O52" s="311">
        <v>9.5</v>
      </c>
      <c r="P52" s="71">
        <v>1.1255999999999999</v>
      </c>
      <c r="Q52" s="76">
        <v>3.33</v>
      </c>
      <c r="R52" s="71">
        <v>9.9600000000000009</v>
      </c>
      <c r="S52" s="313">
        <v>0.1384</v>
      </c>
      <c r="T52" s="313">
        <v>0.55000000000000004</v>
      </c>
      <c r="U52" s="313">
        <v>0.12620000000000001</v>
      </c>
      <c r="V52" s="71">
        <v>13.27</v>
      </c>
      <c r="W52" s="314">
        <v>0.9556</v>
      </c>
      <c r="X52" s="290">
        <v>1</v>
      </c>
      <c r="Y52" s="315">
        <f>ROUND(MIN(20,MAX(0,(R52/10)*20))+MIN(20,MAX(0,(N52/120)*20))+MIN(20,MAX(0,(P52/4)*20))+MIN(15,MAX(0,(1-(Q52/15))*15))+MIN(15,MAX(0,(S52/0.3)*15))+MIN(10,MAX(0,(T52/0.65)*10)),1)</f>
        <v>71.7</v>
      </c>
      <c r="Z52" s="316">
        <f>ROUND(MIN(34,MAX(0,(P52/3.2)*34))+MIN(15,MAX(0,((O52-8.5)/2.5)*15))+MIN(24,MAX(0,(U52/0.22)*24))+MIN(14,MAX(0,(W52/0.85)*14))+IF(ISNUMBER(AA52),MAX(0,30-((INT(AA52)-1)*32+ROUND(MOD(AA52,1)*100,0))*0.07),IF(LOWER(AA52)="udfa",3,12)),1)</f>
        <v>48.7</v>
      </c>
      <c r="AA52" s="338" t="s">
        <v>95</v>
      </c>
      <c r="AB52" s="330" t="s">
        <v>118</v>
      </c>
      <c r="AC52" s="182">
        <f>IF(AB52="","1.00",IFERROR(VLOOKUP(AB52,'WR Model Page'!$A:$F,6,FALSE()),1))</f>
        <v>1</v>
      </c>
      <c r="AD52" s="456">
        <f>IF(AND(LOWER(AA52)="udfa",OR(AB52="N/A",AB52="")),-999,ROUND((MIN(IF(AF52&gt;83,99,96),MAX(0,AG52+Z52*0.38))+MAX(0,IFERROR(VALUE(AC52),0))+IF(ISNUMBER(AA52),IF(((INT(AA52)-1)*32+ROUND(MOD(AA52,1)*100,0))&lt;=96,MAX(0,(1-((INT(AA52)-1)*32+ROUND(MOD(AA52,1)*100,0))/96)*2),MAX(0,(1-((INT(AA52)-1)*32+ROUND(MOD(AA52,1)*100,0))/128)*0.5)),0)+MIN(1.5,MAX(0,(P52-2.5)*1.25)))/107*100,1))</f>
        <v>64.099999999999994</v>
      </c>
      <c r="AE52" s="294" t="str">
        <f t="shared" si="5"/>
        <v>Flex Play</v>
      </c>
      <c r="AF52" s="295">
        <f t="shared" si="6"/>
        <v>49.098889823603855</v>
      </c>
      <c r="AG52" s="295">
        <f t="shared" si="7"/>
        <v>49.1</v>
      </c>
      <c r="AH52" s="123"/>
      <c r="AI52" s="123"/>
      <c r="AJ52" s="123"/>
      <c r="AK52" s="123"/>
      <c r="AL52" s="123"/>
    </row>
    <row r="53" spans="1:38" ht="18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327" t="s">
        <v>349</v>
      </c>
      <c r="J53" s="72">
        <v>191</v>
      </c>
      <c r="K53" s="312">
        <v>68</v>
      </c>
      <c r="L53" s="76">
        <v>30</v>
      </c>
      <c r="M53" s="352">
        <v>4.3899999999999997</v>
      </c>
      <c r="N53" s="74">
        <f>IFERROR(((J53*200)/(M53^4))*(1+((K53-AVERAGE($K$2:$K$59))/AVERAGE($K$2:$K$59)))*(1+((L53-35.5)/35.5)*0.15),0)</f>
        <v>93.397240874056592</v>
      </c>
      <c r="O53" s="311">
        <v>9.25</v>
      </c>
      <c r="P53" s="71">
        <v>2.3169</v>
      </c>
      <c r="Q53" s="76">
        <v>7.3</v>
      </c>
      <c r="R53" s="328">
        <v>8.25</v>
      </c>
      <c r="S53" s="313">
        <v>0.16320000000000001</v>
      </c>
      <c r="T53" s="313">
        <v>0.42109999999999997</v>
      </c>
      <c r="U53" s="313">
        <v>0.14430000000000001</v>
      </c>
      <c r="V53" s="71">
        <v>8.67</v>
      </c>
      <c r="W53" s="314">
        <v>0.94330000000000003</v>
      </c>
      <c r="X53" s="290">
        <v>1</v>
      </c>
      <c r="Y53" s="315">
        <f>ROUND(MIN(20,MAX(0,(R53/10)*20))+MIN(20,MAX(0,(N53/120)*20))+MIN(20,MAX(0,(P53/4)*20))+MIN(15,MAX(0,(1-(Q53/15))*15))+MIN(15,MAX(0,(S53/0.3)*15))+MIN(10,MAX(0,(T53/0.65)*10)),1)</f>
        <v>66</v>
      </c>
      <c r="Z53" s="316">
        <f>ROUND(MIN(34,MAX(0,(P53/3.2)*34))+MIN(15,MAX(0,((O53-8.5)/2.5)*15))+MIN(24,MAX(0,(U53/0.22)*24))+MIN(14,MAX(0,(W53/0.85)*14))+IF(ISNUMBER(AA53),MAX(0,30-((INT(AA53)-1)*32+ROUND(MOD(AA53,1)*100,0))*0.07),IF(LOWER(AA53)="udfa",3,12)),1)</f>
        <v>61.9</v>
      </c>
      <c r="AA53" s="345" t="s">
        <v>95</v>
      </c>
      <c r="AB53" s="337" t="s">
        <v>109</v>
      </c>
      <c r="AC53" s="182">
        <f>IF(AB53="","1.00",IFERROR(VLOOKUP(AB53,'WR Model Page'!$A:$F,6,FALSE()),1))</f>
        <v>-1</v>
      </c>
      <c r="AD53" s="456">
        <f>IF(AND(LOWER(AA53)="udfa",OR(AB53="N/A",AB53="")),-999,ROUND((MIN(IF(AF53&gt;83,99,96),MAX(0,AG53+Z53*0.38))+MAX(0,IFERROR(VALUE(AC53),0))+IF(ISNUMBER(AA53),IF(((INT(AA53)-1)*32+ROUND(MOD(AA53,1)*100,0))&lt;=96,MAX(0,(1-((INT(AA53)-1)*32+ROUND(MOD(AA53,1)*100,0))/96)*2),MAX(0,(1-((INT(AA53)-1)*32+ROUND(MOD(AA53,1)*100,0))/128)*0.5)),0)+MIN(1.5,MAX(0,(P53-2.5)*1.25)))/107*100,1))</f>
        <v>63.8</v>
      </c>
      <c r="AE53" s="294" t="str">
        <f t="shared" si="5"/>
        <v>Flex Play</v>
      </c>
      <c r="AF53" s="295">
        <f t="shared" si="6"/>
        <v>44.692298574796148</v>
      </c>
      <c r="AG53" s="295">
        <f t="shared" si="7"/>
        <v>44.7</v>
      </c>
      <c r="AH53" s="123"/>
      <c r="AI53" s="123"/>
      <c r="AJ53" s="123"/>
      <c r="AK53" s="123"/>
      <c r="AL53" s="123"/>
    </row>
    <row r="54" spans="1:38" ht="18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327" t="s">
        <v>350</v>
      </c>
      <c r="J54" s="340">
        <v>195</v>
      </c>
      <c r="K54" s="99">
        <v>74</v>
      </c>
      <c r="L54" s="94">
        <v>34</v>
      </c>
      <c r="M54" s="97">
        <v>4.55</v>
      </c>
      <c r="N54" s="74">
        <f>IFERROR(((J54*200)/(M54^4))*(1+((K54-AVERAGE($K$2:$K$59))/AVERAGE($K$2:$K$59)))*(1+((L54-35.5)/35.5)*0.15),0)</f>
        <v>91.478944442239651</v>
      </c>
      <c r="O54" s="341">
        <v>9.25</v>
      </c>
      <c r="P54" s="99">
        <v>1.85</v>
      </c>
      <c r="Q54" s="94">
        <v>7.8</v>
      </c>
      <c r="R54" s="328">
        <v>7.2</v>
      </c>
      <c r="S54" s="335">
        <v>0.4</v>
      </c>
      <c r="T54" s="335">
        <v>0.6</v>
      </c>
      <c r="U54" s="335">
        <v>0.32</v>
      </c>
      <c r="V54" s="99">
        <v>11</v>
      </c>
      <c r="W54" s="336">
        <v>0.88</v>
      </c>
      <c r="X54" s="290">
        <v>0.55000000000000004</v>
      </c>
      <c r="Y54" s="315">
        <f>ROUND(MIN(20,MAX(0,(R54/10)*20))+MIN(20,MAX(0,(N54/120)*20))+MIN(20,MAX(0,(P54/4)*20))+MIN(15,MAX(0,(1-(Q54/15))*15))+MIN(15,MAX(0,(S54/0.3)*15))+MIN(10,MAX(0,(T54/0.65)*10)),1)</f>
        <v>70.3</v>
      </c>
      <c r="Z54" s="316">
        <f>ROUND(MIN(34,MAX(0,(P54/3.2)*34))+MIN(15,MAX(0,((O54-8.5)/2.5)*15))+MIN(24,MAX(0,(U54/0.22)*24))+MIN(14,MAX(0,(W54/0.85)*14))+IF(ISNUMBER(AA54),MAX(0,30-((INT(AA54)-1)*32+ROUND(MOD(AA54,1)*100,0))*0.07),IF(LOWER(AA54)="udfa",3,12)),1)</f>
        <v>65.2</v>
      </c>
      <c r="AA54" s="345" t="s">
        <v>95</v>
      </c>
      <c r="AB54" s="353" t="s">
        <v>142</v>
      </c>
      <c r="AC54" s="182">
        <f>IF(AB54="","1.00",IFERROR(VLOOKUP(AB54,'WR Model Page'!$A:$F,6,FALSE()),1))</f>
        <v>-1</v>
      </c>
      <c r="AD54" s="456">
        <f>IF(AND(LOWER(AA54)="udfa",OR(AB54="N/A",AB54="")),-999,ROUND((MIN(IF(AF54&gt;83,99,96),MAX(0,AG54+Z54*0.38))+MAX(0,IFERROR(VALUE(AC54),0))+IF(ISNUMBER(AA54),IF(((INT(AA54)-1)*32+ROUND(MOD(AA54,1)*100,0))&lt;=96,MAX(0,(1-((INT(AA54)-1)*32+ROUND(MOD(AA54,1)*100,0))/96)*2),MAX(0,(1-((INT(AA54)-1)*32+ROUND(MOD(AA54,1)*100,0))/128)*0.5)),0)+MIN(1.5,MAX(0,(P54-2.5)*1.25)))/107*100,1))</f>
        <v>61.5</v>
      </c>
      <c r="AE54" s="294" t="str">
        <f t="shared" si="5"/>
        <v>Waiver Wire</v>
      </c>
      <c r="AF54" s="295">
        <f t="shared" si="6"/>
        <v>41.040438425797312</v>
      </c>
      <c r="AG54" s="295">
        <f t="shared" si="7"/>
        <v>41</v>
      </c>
      <c r="AH54" s="123"/>
      <c r="AI54" s="123"/>
      <c r="AJ54" s="123"/>
      <c r="AK54" s="123"/>
      <c r="AL54" s="123"/>
    </row>
    <row r="55" spans="1:38" ht="18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327" t="s">
        <v>351</v>
      </c>
      <c r="J55" s="340">
        <v>223</v>
      </c>
      <c r="K55" s="99">
        <v>77</v>
      </c>
      <c r="L55" s="94">
        <v>34</v>
      </c>
      <c r="M55" s="97">
        <v>4.62</v>
      </c>
      <c r="N55" s="74">
        <f>IFERROR(((J55*200)/(M55^4))*(1+((K55-AVERAGE($K$2:$K$59))/AVERAGE($K$2:$K$59)))*(1+((L55-35.5)/35.5)*0.15),0)</f>
        <v>102.40663274808411</v>
      </c>
      <c r="O55" s="341">
        <v>10.119999999999999</v>
      </c>
      <c r="P55" s="71">
        <v>1.3762000000000001</v>
      </c>
      <c r="Q55" s="76">
        <v>3.33</v>
      </c>
      <c r="R55" s="328">
        <v>7.35</v>
      </c>
      <c r="S55" s="313">
        <v>6.2600000000000003E-2</v>
      </c>
      <c r="T55" s="313">
        <v>0.4</v>
      </c>
      <c r="U55" s="313">
        <v>4.8000000000000001E-2</v>
      </c>
      <c r="V55" s="71">
        <v>13.76</v>
      </c>
      <c r="W55" s="314">
        <v>0.98060000000000003</v>
      </c>
      <c r="X55" s="290">
        <v>1</v>
      </c>
      <c r="Y55" s="315">
        <f>ROUND(MIN(20,MAX(0,(R55/10)*20))+MIN(20,MAX(0,(N55/120)*20))+MIN(20,MAX(0,(P55/4)*20))+MIN(15,MAX(0,(1-(Q55/15))*15))+MIN(15,MAX(0,(S55/0.3)*15))+MIN(10,MAX(0,(T55/0.65)*10)),1)</f>
        <v>59.6</v>
      </c>
      <c r="Z55" s="316">
        <f>ROUND(MIN(34,MAX(0,(P55/3.2)*34))+MIN(15,MAX(0,((O55-8.5)/2.5)*15))+MIN(24,MAX(0,(U55/0.22)*24))+MIN(14,MAX(0,(W55/0.85)*14))+IF(ISNUMBER(AA55),MAX(0,30-((INT(AA55)-1)*32+ROUND(MOD(AA55,1)*100,0))*0.07),IF(LOWER(AA55)="udfa",3,12)),1)</f>
        <v>46.6</v>
      </c>
      <c r="AA55" s="338" t="s">
        <v>95</v>
      </c>
      <c r="AB55" s="330" t="s">
        <v>131</v>
      </c>
      <c r="AC55" s="182">
        <f>IF(AB55="","1.00",IFERROR(VLOOKUP(AB55,'WR Model Page'!$A:$F,6,FALSE()),1))</f>
        <v>3</v>
      </c>
      <c r="AD55" s="456">
        <f>IF(AND(LOWER(AA55)="udfa",OR(AB55="N/A",AB55="")),-999,ROUND((MIN(IF(AF55&gt;83,99,96),MAX(0,AG55+Z55*0.38))+MAX(0,IFERROR(VALUE(AC55),0))+IF(ISNUMBER(AA55),IF(((INT(AA55)-1)*32+ROUND(MOD(AA55,1)*100,0))&lt;=96,MAX(0,(1-((INT(AA55)-1)*32+ROUND(MOD(AA55,1)*100,0))/96)*2),MAX(0,(1-((INT(AA55)-1)*32+ROUND(MOD(AA55,1)*100,0))/128)*0.5)),0)+MIN(1.5,MAX(0,(P55-2.5)*1.25)))/107*100,1))</f>
        <v>59.4</v>
      </c>
      <c r="AE55" s="294" t="str">
        <f t="shared" si="5"/>
        <v>Waiver Wire</v>
      </c>
      <c r="AF55" s="295">
        <f t="shared" si="6"/>
        <v>42.751115481733478</v>
      </c>
      <c r="AG55" s="295">
        <f t="shared" si="7"/>
        <v>42.8</v>
      </c>
      <c r="AH55" s="123"/>
      <c r="AI55" s="123"/>
      <c r="AJ55" s="123"/>
      <c r="AK55" s="123"/>
      <c r="AL55" s="123"/>
    </row>
    <row r="56" spans="1:38" ht="18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327" t="s">
        <v>365</v>
      </c>
      <c r="J56" s="346">
        <v>205</v>
      </c>
      <c r="K56" s="328">
        <v>76</v>
      </c>
      <c r="L56" s="347">
        <v>35.5</v>
      </c>
      <c r="M56" s="348">
        <v>4.54</v>
      </c>
      <c r="N56" s="74">
        <f>IFERROR(((J56*200)/(M56^4))*(1+((K56-AVERAGE($K$2:$K$59))/AVERAGE($K$2:$K$59)))*(1+((L56-35.5)/35.5)*0.15),0)</f>
        <v>100.27802522176431</v>
      </c>
      <c r="O56" s="349">
        <v>9.5</v>
      </c>
      <c r="P56" s="71">
        <v>1.0294000000000001</v>
      </c>
      <c r="Q56" s="76">
        <v>7.5</v>
      </c>
      <c r="R56" s="328">
        <v>7.95</v>
      </c>
      <c r="S56" s="313">
        <v>8.4000000000000005E-2</v>
      </c>
      <c r="T56" s="313">
        <v>0.33329999999999999</v>
      </c>
      <c r="U56" s="313">
        <v>9.9900000000000003E-2</v>
      </c>
      <c r="V56" s="71">
        <v>15.19</v>
      </c>
      <c r="W56" s="314">
        <v>0.94279999999999997</v>
      </c>
      <c r="X56" s="290">
        <v>1</v>
      </c>
      <c r="Y56" s="315">
        <f>ROUND(MIN(20,MAX(0,(R56/10)*20))+MIN(20,MAX(0,(N56/120)*20))+MIN(20,MAX(0,(P56/4)*20))+MIN(15,MAX(0,(1-(Q56/15))*15))+MIN(15,MAX(0,(S56/0.3)*15))+MIN(10,MAX(0,(T56/0.65)*10)),1)</f>
        <v>54.6</v>
      </c>
      <c r="Z56" s="316">
        <f>ROUND(MIN(34,MAX(0,(P56/3.2)*34))+MIN(15,MAX(0,((O56-8.5)/2.5)*15))+MIN(24,MAX(0,(U56/0.22)*24))+MIN(14,MAX(0,(W56/0.85)*14))+IF(ISNUMBER(AA56),MAX(0,30-((INT(AA56)-1)*32+ROUND(MOD(AA56,1)*100,0))*0.07),IF(LOWER(AA56)="udfa",3,12)),1)</f>
        <v>44.8</v>
      </c>
      <c r="AA56" s="345" t="s">
        <v>95</v>
      </c>
      <c r="AB56" s="337" t="s">
        <v>95</v>
      </c>
      <c r="AC56" s="182">
        <f>IF(AB56="","1.00",IFERROR(VLOOKUP(AB56,'WR Model Page'!$A:$F,6,FALSE()),1))</f>
        <v>1</v>
      </c>
      <c r="AD56" s="456">
        <f>IF(AND(LOWER(AA56)="udfa",OR(AB56="N/A",AB56="")),-999,ROUND((MIN(IF(AF56&gt;83,99,96),MAX(0,AG56+Z56*0.38))+MAX(0,IFERROR(VALUE(AC56),0))+IF(ISNUMBER(AA56),IF(((INT(AA56)-1)*32+ROUND(MOD(AA56,1)*100,0))&lt;=96,MAX(0,(1-((INT(AA56)-1)*32+ROUND(MOD(AA56,1)*100,0))/96)*2),MAX(0,(1-((INT(AA56)-1)*32+ROUND(MOD(AA56,1)*100,0))/128)*0.5)),0)+MIN(1.5,MAX(0,(P56-2.5)*1.25)))/107*100,1))</f>
        <v>55</v>
      </c>
      <c r="AE56" s="294" t="str">
        <f t="shared" si="5"/>
        <v>Waiver Wire</v>
      </c>
      <c r="AF56" s="295">
        <f t="shared" si="6"/>
        <v>40.82285147126958</v>
      </c>
      <c r="AG56" s="295">
        <f t="shared" si="7"/>
        <v>40.799999999999997</v>
      </c>
      <c r="AH56" s="123"/>
      <c r="AI56" s="123"/>
      <c r="AJ56" s="123"/>
      <c r="AK56" s="123"/>
      <c r="AL56" s="123"/>
    </row>
    <row r="57" spans="1:38" ht="18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327" t="s">
        <v>352</v>
      </c>
      <c r="J57" s="72">
        <v>188</v>
      </c>
      <c r="K57" s="71">
        <v>72</v>
      </c>
      <c r="L57" s="76">
        <v>34.5</v>
      </c>
      <c r="M57" s="73">
        <v>4.41</v>
      </c>
      <c r="N57" s="74">
        <f>IFERROR(((J57*200)/(M57^4))*(1+((K57-AVERAGE($K$2:$K$59))/AVERAGE($K$2:$K$59)))*(1+((L57-35.5)/35.5)*0.15),0)</f>
        <v>97.44482585032317</v>
      </c>
      <c r="O57" s="311">
        <v>9.25</v>
      </c>
      <c r="P57" s="71">
        <v>1.4857</v>
      </c>
      <c r="Q57" s="76">
        <v>8.11</v>
      </c>
      <c r="R57" s="328">
        <v>9.35</v>
      </c>
      <c r="S57" s="313">
        <v>5.0299999999999997E-2</v>
      </c>
      <c r="T57" s="313">
        <v>0.25</v>
      </c>
      <c r="U57" s="313">
        <v>3.9800000000000002E-2</v>
      </c>
      <c r="V57" s="71">
        <v>22.2</v>
      </c>
      <c r="W57" s="314">
        <v>0.95330000000000004</v>
      </c>
      <c r="X57" s="290">
        <v>1</v>
      </c>
      <c r="Y57" s="315">
        <f>ROUND(MIN(20,MAX(0,(R57/10)*20))+MIN(20,MAX(0,(N57/120)*20))+MIN(20,MAX(0,(P57/4)*20))+MIN(15,MAX(0,(1-(Q57/15))*15))+MIN(15,MAX(0,(S57/0.3)*15))+MIN(10,MAX(0,(T57/0.65)*10)),1)</f>
        <v>55.6</v>
      </c>
      <c r="Z57" s="316">
        <f>ROUND(MIN(34,MAX(0,(P57/3.2)*34))+MIN(15,MAX(0,((O57-8.5)/2.5)*15))+MIN(24,MAX(0,(U57/0.22)*24))+MIN(14,MAX(0,(W57/0.85)*14))+IF(ISNUMBER(AA57),MAX(0,30-((INT(AA57)-1)*32+ROUND(MOD(AA57,1)*100,0))*0.07),IF(LOWER(AA57)="udfa",3,12)),1)</f>
        <v>41.6</v>
      </c>
      <c r="AA57" s="345" t="s">
        <v>95</v>
      </c>
      <c r="AB57" s="337" t="s">
        <v>143</v>
      </c>
      <c r="AC57" s="182">
        <f>IF(AB57="","1.00",IFERROR(VLOOKUP(AB57,'WR Model Page'!$A:$F,6,FALSE()),1))</f>
        <v>-1</v>
      </c>
      <c r="AD57" s="456">
        <f>IF(AND(LOWER(AA57)="udfa",OR(AB57="N/A",AB57="")),-999,ROUND((MIN(IF(AF57&gt;83,99,96),MAX(0,AG57+Z57*0.38))+MAX(0,IFERROR(VALUE(AC57),0))+IF(ISNUMBER(AA57),IF(((INT(AA57)-1)*32+ROUND(MOD(AA57,1)*100,0))&lt;=96,MAX(0,(1-((INT(AA57)-1)*32+ROUND(MOD(AA57,1)*100,0))/96)*2),MAX(0,(1-((INT(AA57)-1)*32+ROUND(MOD(AA57,1)*100,0))/128)*0.5)),0)+MIN(1.5,MAX(0,(P57-2.5)*1.25)))/107*100,1))</f>
        <v>54.1</v>
      </c>
      <c r="AE57" s="294" t="str">
        <f t="shared" si="5"/>
        <v>Waiver Wire</v>
      </c>
      <c r="AF57" s="295">
        <f t="shared" si="6"/>
        <v>42.135788650792655</v>
      </c>
      <c r="AG57" s="295">
        <f t="shared" si="7"/>
        <v>42.1</v>
      </c>
      <c r="AH57" s="123"/>
      <c r="AI57" s="123"/>
      <c r="AJ57" s="123"/>
      <c r="AK57" s="123"/>
      <c r="AL57" s="123"/>
    </row>
    <row r="58" spans="1:38" ht="18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327" t="s">
        <v>353</v>
      </c>
      <c r="J58" s="346">
        <v>190</v>
      </c>
      <c r="K58" s="328">
        <v>74</v>
      </c>
      <c r="L58" s="347">
        <v>37.5</v>
      </c>
      <c r="M58" s="348">
        <v>4.49</v>
      </c>
      <c r="N58" s="74">
        <f>IFERROR(((J58*200)/(M58^4))*(1+((K58-AVERAGE($K$2:$K$59))/AVERAGE($K$2:$K$59)))*(1+((L58-35.5)/35.5)*0.15),0)</f>
        <v>95.392967949361449</v>
      </c>
      <c r="O58" s="349">
        <v>9.3800000000000008</v>
      </c>
      <c r="P58" s="71">
        <v>1.5058</v>
      </c>
      <c r="Q58" s="76">
        <v>8.14</v>
      </c>
      <c r="R58" s="328">
        <v>8.15</v>
      </c>
      <c r="S58" s="313">
        <v>9.9299999999999999E-2</v>
      </c>
      <c r="T58" s="313">
        <v>0.45450000000000002</v>
      </c>
      <c r="U58" s="313">
        <v>0.1007</v>
      </c>
      <c r="V58" s="71">
        <v>9.2799999999999994</v>
      </c>
      <c r="W58" s="314">
        <v>0.93989999999999996</v>
      </c>
      <c r="X58" s="290">
        <v>1</v>
      </c>
      <c r="Y58" s="315">
        <f>ROUND(MIN(20,MAX(0,(R58/10)*20))+MIN(20,MAX(0,(N58/120)*20))+MIN(20,MAX(0,(P58/4)*20))+MIN(15,MAX(0,(1-(Q58/15))*15))+MIN(15,MAX(0,(S58/0.3)*15))+MIN(10,MAX(0,(T58/0.65)*10)),1)</f>
        <v>58.5</v>
      </c>
      <c r="Z58" s="316">
        <f>ROUND(MIN(34,MAX(0,(P58/3.2)*34))+MIN(15,MAX(0,((O58-8.5)/2.5)*15))+MIN(24,MAX(0,(U58/0.22)*24))+MIN(14,MAX(0,(W58/0.85)*14))+IF(ISNUMBER(AA58),MAX(0,30-((INT(AA58)-1)*32+ROUND(MOD(AA58,1)*100,0))*0.07),IF(LOWER(AA58)="udfa",3,12)),1)</f>
        <v>49.3</v>
      </c>
      <c r="AA58" s="338" t="s">
        <v>95</v>
      </c>
      <c r="AB58" s="330" t="s">
        <v>133</v>
      </c>
      <c r="AC58" s="182">
        <f>IF(AB58="","1.00",IFERROR(VLOOKUP(AB58,'WR Model Page'!$A:$F,6,FALSE()),1))</f>
        <v>1</v>
      </c>
      <c r="AD58" s="456">
        <f>IF(AND(LOWER(AA58)="udfa",OR(AB58="N/A",AB58="")),-999,ROUND((MIN(IF(AF58&gt;83,99,96),MAX(0,AG58+Z58*0.38))+MAX(0,IFERROR(VALUE(AC58),0))+IF(ISNUMBER(AA58),IF(((INT(AA58)-1)*32+ROUND(MOD(AA58,1)*100,0))&lt;=96,MAX(0,(1-((INT(AA58)-1)*32+ROUND(MOD(AA58,1)*100,0))/96)*2),MAX(0,(1-((INT(AA58)-1)*32+ROUND(MOD(AA58,1)*100,0))/128)*0.5)),0)+MIN(1.5,MAX(0,(P58-2.5)*1.25)))/107*100,1))</f>
        <v>53.1</v>
      </c>
      <c r="AE58" s="294" t="str">
        <f t="shared" si="5"/>
        <v>Waiver Wire</v>
      </c>
      <c r="AF58" s="295">
        <f t="shared" si="6"/>
        <v>37.147246939903226</v>
      </c>
      <c r="AG58" s="295">
        <f t="shared" si="7"/>
        <v>37.1</v>
      </c>
      <c r="AH58" s="123"/>
      <c r="AI58" s="123"/>
      <c r="AJ58" s="123"/>
      <c r="AK58" s="123"/>
      <c r="AL58" s="123"/>
    </row>
    <row r="59" spans="1:38" ht="18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354" t="s">
        <v>354</v>
      </c>
      <c r="J59" s="72">
        <v>183</v>
      </c>
      <c r="K59" s="71">
        <v>69</v>
      </c>
      <c r="L59" s="94">
        <v>33.5</v>
      </c>
      <c r="M59" s="73">
        <v>4.55</v>
      </c>
      <c r="N59" s="74">
        <f>IFERROR(((J59*200)/(M59^4))*(1+((K59-AVERAGE($K$2:$K$59))/AVERAGE($K$2:$K$59)))*(1+((L59-35.5)/35.5)*0.15),0)</f>
        <v>79.878635054479929</v>
      </c>
      <c r="O59" s="311">
        <v>9.875</v>
      </c>
      <c r="P59" s="71">
        <v>1.5304</v>
      </c>
      <c r="Q59" s="76">
        <v>5.36</v>
      </c>
      <c r="R59" s="328">
        <v>6.8</v>
      </c>
      <c r="S59" s="313">
        <v>0.13189999999999999</v>
      </c>
      <c r="T59" s="313">
        <v>0.33329999999999999</v>
      </c>
      <c r="U59" s="313">
        <v>0.14380000000000001</v>
      </c>
      <c r="V59" s="71">
        <v>6.79</v>
      </c>
      <c r="W59" s="314">
        <v>0.95599999999999996</v>
      </c>
      <c r="X59" s="290">
        <v>1</v>
      </c>
      <c r="Y59" s="315">
        <f>ROUND(MIN(20,MAX(0,(R59/10)*20))+MIN(20,MAX(0,(N59/120)*20))+MIN(20,MAX(0,(P59/4)*20))+MIN(15,MAX(0,(1-(Q59/15))*15))+MIN(15,MAX(0,(S59/0.3)*15))+MIN(10,MAX(0,(T59/0.65)*10)),1)</f>
        <v>55.9</v>
      </c>
      <c r="Z59" s="316">
        <f>ROUND(MIN(34,MAX(0,(P59/3.2)*34))+MIN(15,MAX(0,((O59-8.5)/2.5)*15))+MIN(24,MAX(0,(U59/0.22)*24))+MIN(14,MAX(0,(W59/0.85)*14))+IF(ISNUMBER(AA59),MAX(0,30-((INT(AA59)-1)*32+ROUND(MOD(AA59,1)*100,0))*0.07),IF(LOWER(AA59)="udfa",3,12)),1)</f>
        <v>57.2</v>
      </c>
      <c r="AA59" s="338" t="s">
        <v>95</v>
      </c>
      <c r="AB59" s="344" t="s">
        <v>101</v>
      </c>
      <c r="AC59" s="182">
        <f>IF(AB59="","1.00",IFERROR(VLOOKUP(AB59,'WR Model Page'!$A:$F,6,FALSE()),1))</f>
        <v>0</v>
      </c>
      <c r="AD59" s="456">
        <f>IF(AND(LOWER(AA59)="udfa",OR(AB59="N/A",AB59="")),-999,ROUND((MIN(IF(AF59&gt;83,99,96),MAX(0,AG59+Z59*0.38))+MAX(0,IFERROR(VALUE(AC59),0))+IF(ISNUMBER(AA59),IF(((INT(AA59)-1)*32+ROUND(MOD(AA59,1)*100,0))&lt;=96,MAX(0,(1-((INT(AA59)-1)*32+ROUND(MOD(AA59,1)*100,0))/96)*2),MAX(0,(1-((INT(AA59)-1)*32+ROUND(MOD(AA59,1)*100,0))/128)*0.5)),0)+MIN(1.5,MAX(0,(P59-2.5)*1.25)))/107*100,1))</f>
        <v>52</v>
      </c>
      <c r="AE59" s="355" t="str">
        <f t="shared" si="5"/>
        <v>Waiver Wire</v>
      </c>
      <c r="AF59" s="295">
        <f t="shared" si="6"/>
        <v>33.87561561627323</v>
      </c>
      <c r="AG59" s="295">
        <f t="shared" si="7"/>
        <v>33.9</v>
      </c>
      <c r="AH59" s="123"/>
      <c r="AI59" s="123"/>
      <c r="AJ59" s="123"/>
      <c r="AK59" s="123"/>
      <c r="AL59" s="123"/>
    </row>
    <row r="60" spans="1:38" ht="19.5" customHeight="1" x14ac:dyDescent="0.3">
      <c r="A60" s="123"/>
      <c r="B60" s="123"/>
      <c r="C60" s="123"/>
      <c r="D60" s="123"/>
      <c r="E60" s="123"/>
      <c r="F60" s="123"/>
      <c r="G60" s="123"/>
      <c r="H60" s="123"/>
      <c r="I60" s="354" t="s">
        <v>355</v>
      </c>
      <c r="J60" s="340">
        <v>205</v>
      </c>
      <c r="K60" s="99">
        <v>74</v>
      </c>
      <c r="L60" s="94">
        <v>35</v>
      </c>
      <c r="M60" s="97">
        <v>4.58</v>
      </c>
      <c r="N60" s="74">
        <f>IFERROR(((J60*200)/(M60^4))*(1+((K60-AVERAGE($K$2:$K$59))/AVERAGE($K$2:$K$59)))*(1+((L60-35.5)/35.5)*0.15),0)</f>
        <v>94.073414068381396</v>
      </c>
      <c r="O60" s="341">
        <v>9.1199999999999992</v>
      </c>
      <c r="P60" s="71">
        <v>1.1943999999999999</v>
      </c>
      <c r="Q60" s="76">
        <v>8.82</v>
      </c>
      <c r="R60" s="328">
        <v>7.4</v>
      </c>
      <c r="S60" s="313">
        <v>9.5299999999999996E-2</v>
      </c>
      <c r="T60" s="313">
        <v>0</v>
      </c>
      <c r="U60" s="313">
        <v>0.104</v>
      </c>
      <c r="V60" s="71">
        <v>15.1</v>
      </c>
      <c r="W60" s="314">
        <v>0.95150000000000001</v>
      </c>
      <c r="X60" s="290">
        <v>1</v>
      </c>
      <c r="Y60" s="315">
        <f>ROUND(MIN(20,MAX(0,(R60/10)*20))+MIN(20,MAX(0,(N60/120)*20))+MIN(20,MAX(0,(P60/4)*20))+MIN(15,MAX(0,(1-(Q60/15))*15))+MIN(15,MAX(0,(S60/0.3)*15))+MIN(10,MAX(0,(T60/0.65)*10)),1)</f>
        <v>47.4</v>
      </c>
      <c r="Z60" s="316">
        <f>ROUND(MIN(34,MAX(0,(P60/3.2)*34))+MIN(15,MAX(0,((O60-8.5)/2.5)*15))+MIN(24,MAX(0,(U60/0.22)*24))+MIN(14,MAX(0,(W60/0.85)*14))+IF(ISNUMBER(AA60),MAX(0,30-((INT(AA60)-1)*32+ROUND(MOD(AA60,1)*100,0))*0.07),IF(LOWER(AA60)="udfa",3,12)),1)</f>
        <v>44.8</v>
      </c>
      <c r="AA60" s="338" t="s">
        <v>95</v>
      </c>
      <c r="AB60" s="330" t="s">
        <v>140</v>
      </c>
      <c r="AC60" s="182">
        <f>IF(AB60="","1.00",IFERROR(VLOOKUP(AB60,'WR Model Page'!$A:$F,6,FALSE()),1))</f>
        <v>0</v>
      </c>
      <c r="AD60" s="456">
        <f>IF(AND(LOWER(AA60)="udfa",OR(AB60="N/A",AB60="")),-999,ROUND((MIN(IF(AF60&gt;83,99,96),MAX(0,AG60+Z60*0.38))+MAX(0,IFERROR(VALUE(AC60),0))+IF(ISNUMBER(AA60),IF(((INT(AA60)-1)*32+ROUND(MOD(AA60,1)*100,0))&lt;=96,MAX(0,(1-((INT(AA60)-1)*32+ROUND(MOD(AA60,1)*100,0))/96)*2),MAX(0,(1-((INT(AA60)-1)*32+ROUND(MOD(AA60,1)*100,0))/128)*0.5)),0)+MIN(1.5,MAX(0,(P60-2.5)*1.25)))/107*100,1))</f>
        <v>50.1</v>
      </c>
      <c r="AE60" s="355" t="str">
        <f t="shared" si="5"/>
        <v>Waiver Wire</v>
      </c>
      <c r="AF60" s="295">
        <f t="shared" si="6"/>
        <v>36.591958677798431</v>
      </c>
      <c r="AG60" s="295">
        <f t="shared" si="7"/>
        <v>36.6</v>
      </c>
      <c r="AH60" s="123"/>
      <c r="AI60" s="123"/>
      <c r="AJ60" s="123"/>
      <c r="AK60" s="123"/>
      <c r="AL60" s="123"/>
    </row>
    <row r="61" spans="1:38" ht="15" customHeight="1" x14ac:dyDescent="0.3">
      <c r="A61" s="123"/>
      <c r="B61" s="123"/>
      <c r="C61" s="123"/>
      <c r="D61" s="123"/>
      <c r="E61" s="123"/>
      <c r="F61" s="123"/>
      <c r="G61" s="123"/>
      <c r="H61" s="123"/>
      <c r="I61" s="354" t="s">
        <v>353</v>
      </c>
      <c r="J61" s="340">
        <v>195</v>
      </c>
      <c r="K61" s="99">
        <v>74</v>
      </c>
      <c r="L61" s="94">
        <v>34.5</v>
      </c>
      <c r="M61" s="97">
        <v>4.53</v>
      </c>
      <c r="N61" s="74">
        <f>IFERROR(((J61*200)/(M61^4))*(1+((K61-AVERAGE($K$2:$K$59))/AVERAGE($K$2:$K$59)))*(1+((L61-35.5)/35.5)*0.15),0)</f>
        <v>93.303152757073363</v>
      </c>
      <c r="O61" s="341">
        <v>9.25</v>
      </c>
      <c r="P61" s="71">
        <v>1.5058</v>
      </c>
      <c r="Q61" s="76">
        <v>8.14</v>
      </c>
      <c r="R61" s="328">
        <v>7.65</v>
      </c>
      <c r="S61" s="313">
        <v>9.9299999999999999E-2</v>
      </c>
      <c r="T61" s="313">
        <v>0.45450000000000002</v>
      </c>
      <c r="U61" s="313">
        <v>0.1007</v>
      </c>
      <c r="V61" s="71">
        <v>9.2799999999999994</v>
      </c>
      <c r="W61" s="314">
        <v>0.93989999999999996</v>
      </c>
      <c r="X61" s="290">
        <v>0.85</v>
      </c>
      <c r="Y61" s="315">
        <f>ROUND(MIN(20,MAX(0,(R61/10)*20))+MIN(20,MAX(0,(N61/120)*20))+MIN(20,MAX(0,(P61/4)*20))+MIN(15,MAX(0,(1-(Q61/15))*15))+MIN(15,MAX(0,(S61/0.3)*15))+MIN(10,MAX(0,(T61/0.65)*10)),1)</f>
        <v>57.2</v>
      </c>
      <c r="Z61" s="316">
        <f>ROUND(MIN(34,MAX(0,(P61/3.2)*34))+MIN(15,MAX(0,((O61-8.5)/2.5)*15))+MIN(24,MAX(0,(U61/0.22)*24))+MIN(14,MAX(0,(W61/0.85)*14))+IF(ISNUMBER(AA61),MAX(0,30-((INT(AA61)-1)*32+ROUND(MOD(AA61,1)*100,0))*0.07),IF(LOWER(AA61)="udfa",3,12)),1)</f>
        <v>48.5</v>
      </c>
      <c r="AA61" s="338" t="s">
        <v>95</v>
      </c>
      <c r="AB61" s="330" t="s">
        <v>133</v>
      </c>
      <c r="AC61" s="182">
        <f>IF(AB61="","1.00",IFERROR(VLOOKUP(AB61,'WR Model Page'!$A:$F,6,FALSE()),1))</f>
        <v>1</v>
      </c>
      <c r="AD61" s="456">
        <f>IF(AND(LOWER(AA61)="udfa",OR(AB61="N/A",AB61="")),-999,ROUND((MIN(IF(AF61&gt;83,99,96),MAX(0,AG61+Z61*0.38))+MAX(0,IFERROR(VALUE(AC61),0))+IF(ISNUMBER(AA61),IF(((INT(AA61)-1)*32+ROUND(MOD(AA61,1)*100,0))&lt;=96,MAX(0,(1-((INT(AA61)-1)*32+ROUND(MOD(AA61,1)*100,0))/96)*2),MAX(0,(1-((INT(AA61)-1)*32+ROUND(MOD(AA61,1)*100,0))/128)*0.5)),0)+MIN(1.5,MAX(0,(P61-2.5)*1.25)))/107*100,1))</f>
        <v>49.9</v>
      </c>
      <c r="AE61" s="355" t="str">
        <f t="shared" si="5"/>
        <v>Waiver Wire</v>
      </c>
      <c r="AF61" s="295">
        <f t="shared" si="6"/>
        <v>34.023097482257853</v>
      </c>
      <c r="AG61" s="295">
        <f t="shared" si="7"/>
        <v>34</v>
      </c>
      <c r="AH61" s="123"/>
      <c r="AI61" s="123"/>
      <c r="AJ61" s="123"/>
      <c r="AK61" s="123"/>
      <c r="AL61" s="123"/>
    </row>
    <row r="62" spans="1:38" ht="18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354" t="s">
        <v>356</v>
      </c>
      <c r="J62" s="72">
        <v>193</v>
      </c>
      <c r="K62" s="71">
        <v>69</v>
      </c>
      <c r="L62" s="94">
        <v>38</v>
      </c>
      <c r="M62" s="73">
        <v>4.47</v>
      </c>
      <c r="N62" s="74">
        <f>IFERROR(((J62*200)/(M62^4))*(1+((K62-AVERAGE($K$2:$K$59))/AVERAGE($K$2:$K$59)))*(1+((L62-35.5)/35.5)*0.15),0)</f>
        <v>92.172548336142725</v>
      </c>
      <c r="O62" s="311">
        <v>8.5</v>
      </c>
      <c r="P62" s="71">
        <v>1.3332999999999999</v>
      </c>
      <c r="Q62" s="76">
        <v>2.86</v>
      </c>
      <c r="R62" s="328">
        <v>8.92</v>
      </c>
      <c r="S62" s="313">
        <v>5.4300000000000001E-2</v>
      </c>
      <c r="T62" s="313">
        <v>0</v>
      </c>
      <c r="U62" s="313">
        <v>6.83E-2</v>
      </c>
      <c r="V62" s="71">
        <v>5.14</v>
      </c>
      <c r="W62" s="314">
        <v>0.95630000000000004</v>
      </c>
      <c r="X62" s="290">
        <v>1</v>
      </c>
      <c r="Y62" s="315">
        <f>ROUND(MIN(20,MAX(0,(R62/10)*20))+MIN(20,MAX(0,(N62/120)*20))+MIN(20,MAX(0,(P62/4)*20))+MIN(15,MAX(0,(1-(Q62/15))*15))+MIN(15,MAX(0,(S62/0.3)*15))+MIN(10,MAX(0,(T62/0.65)*10)),1)</f>
        <v>54.7</v>
      </c>
      <c r="Z62" s="316">
        <f>ROUND(MIN(34,MAX(0,(P62/3.2)*34))+MIN(15,MAX(0,((O62-8.5)/2.5)*15))+MIN(24,MAX(0,(U62/0.22)*24))+MIN(14,MAX(0,(W62/0.85)*14))+IF(ISNUMBER(AA62),MAX(0,30-((INT(AA62)-1)*32+ROUND(MOD(AA62,1)*100,0))*0.07),IF(LOWER(AA62)="udfa",3,12)),1)</f>
        <v>57.1</v>
      </c>
      <c r="AA62" s="329">
        <v>4.25</v>
      </c>
      <c r="AB62" s="330" t="s">
        <v>103</v>
      </c>
      <c r="AC62" s="182">
        <f>IF(AB62="","1.00",IFERROR(VLOOKUP(AB62,'WR Model Page'!$A:$F,6,FALSE()),1))</f>
        <v>-1</v>
      </c>
      <c r="AD62" s="456">
        <f>IF(AND(LOWER(AA62)="udfa",OR(AB62="N/A",AB62="")),-999,ROUND((MIN(IF(AF62&gt;83,99,96),MAX(0,AG62+Z62*0.38))+MAX(0,IFERROR(VALUE(AC62),0))+IF(ISNUMBER(AA62),IF(((INT(AA62)-1)*32+ROUND(MOD(AA62,1)*100,0))&lt;=96,MAX(0,(1-((INT(AA62)-1)*32+ROUND(MOD(AA62,1)*100,0))/96)*2),MAX(0,(1-((INT(AA62)-1)*32+ROUND(MOD(AA62,1)*100,0))/128)*0.5)),0)+MIN(1.5,MAX(0,(P62-2.5)*1.25)))/107*100,1))</f>
        <v>46.7</v>
      </c>
      <c r="AE62" s="355" t="str">
        <f t="shared" si="5"/>
        <v>Cut</v>
      </c>
      <c r="AF62" s="295">
        <f t="shared" si="6"/>
        <v>28.177557846801673</v>
      </c>
      <c r="AG62" s="295">
        <f t="shared" si="7"/>
        <v>28.2</v>
      </c>
      <c r="AH62" s="123"/>
      <c r="AI62" s="123"/>
      <c r="AJ62" s="123"/>
      <c r="AK62" s="123"/>
      <c r="AL62" s="123"/>
    </row>
    <row r="63" spans="1:38" ht="19.5" customHeight="1" x14ac:dyDescent="0.3">
      <c r="A63" s="123"/>
      <c r="B63" s="123"/>
      <c r="C63" s="123"/>
      <c r="D63" s="123"/>
      <c r="E63" s="123"/>
      <c r="F63" s="123"/>
      <c r="G63" s="123"/>
      <c r="H63" s="123"/>
      <c r="I63" s="354" t="s">
        <v>366</v>
      </c>
      <c r="J63" s="340">
        <v>194</v>
      </c>
      <c r="K63" s="99">
        <v>70</v>
      </c>
      <c r="L63" s="94">
        <v>39</v>
      </c>
      <c r="M63" s="97">
        <v>4.38</v>
      </c>
      <c r="N63" s="101">
        <f>IFERROR(((J63*200)/(M63^4))*(1+((K63-AVERAGE($K$2:$K$59))/AVERAGE($K$2:$K$59)))*(1+((L63-35.5)/35.5)*0.15),0)</f>
        <v>102.3860280226893</v>
      </c>
      <c r="O63" s="341">
        <v>8.8800000000000008</v>
      </c>
      <c r="P63" s="71">
        <v>0.9375</v>
      </c>
      <c r="Q63" s="76">
        <v>8</v>
      </c>
      <c r="R63" s="328">
        <v>9.1199999999999992</v>
      </c>
      <c r="S63" s="313">
        <v>2.0899999999999998E-2</v>
      </c>
      <c r="T63" s="313">
        <v>0.33329999999999999</v>
      </c>
      <c r="U63" s="313">
        <v>3.2500000000000001E-2</v>
      </c>
      <c r="V63" s="71">
        <v>4.47</v>
      </c>
      <c r="W63" s="314">
        <v>0.90139999999999998</v>
      </c>
      <c r="X63" s="356">
        <v>0.7</v>
      </c>
      <c r="Y63" s="357">
        <f>ROUND(MIN(20,MAX(0,(R63/10)*20))+MIN(20,MAX(0,(N63/120)*20))+MIN(20,MAX(0,(P63/4)*20))+MIN(15,MAX(0,(1-(Q63/15))*15))+MIN(15,MAX(0,(S63/0.3)*15))+MIN(10,MAX(0,(T63/0.65)*10)),1)</f>
        <v>53.2</v>
      </c>
      <c r="Z63" s="358">
        <f>ROUND(MIN(34,MAX(0,(P63/3.2)*34))+MIN(15,MAX(0,((O63-8.5)/2.5)*15))+MIN(24,MAX(0,(U63/0.22)*24))+MIN(14,MAX(0,(W63/0.85)*14))+IF(ISNUMBER(AA63),MAX(0,30-((INT(AA63)-1)*32+ROUND(MOD(AA63,1)*100,0))*0.07),IF(LOWER(AA63)="udfa",3,12)),1)</f>
        <v>32.799999999999997</v>
      </c>
      <c r="AA63" s="359" t="s">
        <v>95</v>
      </c>
      <c r="AB63" s="360" t="s">
        <v>95</v>
      </c>
      <c r="AC63" s="263">
        <f>IF(AB63="","1.00",IFERROR(VLOOKUP(AB63,'WR Model Page'!$A:$F,6,FALSE()),1))</f>
        <v>1</v>
      </c>
      <c r="AD63" s="457">
        <f>IF(AND(LOWER(AA63)="udfa",OR(AB63="N/A",AB63="")),-999,ROUND((MIN(IF(AF63&gt;83,99,96),MAX(0,AG63+Z63*0.38))+MAX(0,IFERROR(VALUE(AC63),0))+IF(ISNUMBER(AA63),IF(((INT(AA63)-1)*32+ROUND(MOD(AA63,1)*100,0))&lt;=96,MAX(0,(1-((INT(AA63)-1)*32+ROUND(MOD(AA63,1)*100,0))/96)*2),MAX(0,(1-((INT(AA63)-1)*32+ROUND(MOD(AA63,1)*100,0))/128)*0.5)),0)+MIN(1.5,MAX(0,(P63-2.5)*1.25)))/107*100,1))</f>
        <v>34.200000000000003</v>
      </c>
      <c r="AE63" s="355" t="str">
        <f t="shared" si="5"/>
        <v>Cut</v>
      </c>
      <c r="AF63" s="295">
        <f t="shared" si="6"/>
        <v>23.061918301323541</v>
      </c>
      <c r="AG63" s="295">
        <f t="shared" si="7"/>
        <v>23.1</v>
      </c>
      <c r="AH63" s="123"/>
      <c r="AI63" s="123"/>
      <c r="AJ63" s="123"/>
      <c r="AK63" s="123"/>
      <c r="AL63" s="123"/>
    </row>
    <row r="64" spans="1:38" ht="18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7"/>
      <c r="Y64" s="123"/>
      <c r="Z64" s="123"/>
      <c r="AA64" s="123"/>
      <c r="AB64" s="123"/>
      <c r="AC64" s="123"/>
      <c r="AD64" s="361"/>
      <c r="AE64" s="361"/>
      <c r="AF64" s="123"/>
      <c r="AG64" s="123"/>
      <c r="AH64" s="123"/>
      <c r="AI64" s="123"/>
      <c r="AJ64" s="123"/>
      <c r="AK64" s="123"/>
      <c r="AL64" s="123"/>
    </row>
    <row r="65" spans="1:38" ht="18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7"/>
      <c r="Y65" s="123"/>
      <c r="Z65" s="123"/>
      <c r="AA65" s="123"/>
      <c r="AB65" s="123"/>
      <c r="AC65" s="123"/>
      <c r="AD65" s="361"/>
      <c r="AE65" s="361"/>
      <c r="AF65" s="123"/>
      <c r="AG65" s="123"/>
      <c r="AH65" s="123"/>
      <c r="AI65" s="123"/>
      <c r="AJ65" s="123"/>
      <c r="AK65" s="123"/>
      <c r="AL65" s="123"/>
    </row>
  </sheetData>
  <autoFilter ref="I1:AD1" xr:uid="{00000000-0009-0000-0000-000003000000}">
    <sortState xmlns:xlrd2="http://schemas.microsoft.com/office/spreadsheetml/2017/richdata2" ref="I2:AD63">
      <sortCondition descending="1" ref="AD1"/>
    </sortState>
  </autoFilter>
  <mergeCells count="10">
    <mergeCell ref="C41:G41"/>
    <mergeCell ref="C42:G42"/>
    <mergeCell ref="C43:G43"/>
    <mergeCell ref="C44:G44"/>
    <mergeCell ref="C45:G45"/>
    <mergeCell ref="A1:G1"/>
    <mergeCell ref="A2:G2"/>
    <mergeCell ref="A38:G38"/>
    <mergeCell ref="C39:G39"/>
    <mergeCell ref="C40:G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5"/>
  <sheetViews>
    <sheetView topLeftCell="G1" zoomScale="90" zoomScaleNormal="90" workbookViewId="0">
      <selection activeCell="I23" sqref="I23"/>
    </sheetView>
  </sheetViews>
  <sheetFormatPr defaultColWidth="8.7109375" defaultRowHeight="18.75" x14ac:dyDescent="0.3"/>
  <cols>
    <col min="1" max="1" width="8" style="37" customWidth="1"/>
    <col min="2" max="4" width="14" style="37" customWidth="1"/>
    <col min="5" max="5" width="21.7109375" style="37" customWidth="1"/>
    <col min="6" max="6" width="14" style="37" customWidth="1"/>
    <col min="7" max="7" width="22" style="37" customWidth="1"/>
    <col min="8" max="8" width="3.5703125" style="37" customWidth="1"/>
    <col min="9" max="9" width="39.7109375" style="37" customWidth="1"/>
    <col min="10" max="10" width="8.140625" style="37" customWidth="1"/>
    <col min="11" max="12" width="8.5703125" style="37" customWidth="1"/>
    <col min="13" max="13" width="8.7109375" style="37"/>
    <col min="14" max="14" width="9.28515625" style="37" customWidth="1"/>
    <col min="15" max="15" width="9.85546875" style="37" customWidth="1"/>
    <col min="16" max="16" width="7.85546875" style="37" customWidth="1"/>
    <col min="17" max="17" width="11.28515625" style="37" customWidth="1"/>
    <col min="18" max="18" width="9.140625" style="37" customWidth="1"/>
    <col min="19" max="19" width="7.5703125" style="37" customWidth="1"/>
    <col min="20" max="20" width="7.28515625" style="37" customWidth="1"/>
    <col min="21" max="21" width="7.7109375" style="37" customWidth="1"/>
    <col min="22" max="22" width="8.42578125" style="37" customWidth="1"/>
    <col min="23" max="23" width="10.85546875" style="37" customWidth="1"/>
    <col min="24" max="24" width="12.7109375" style="37" customWidth="1"/>
    <col min="25" max="25" width="10.140625" style="37" customWidth="1"/>
    <col min="26" max="26" width="11.42578125" style="37" customWidth="1"/>
    <col min="27" max="27" width="12.28515625" style="37" customWidth="1"/>
    <col min="28" max="28" width="13.140625" style="37" customWidth="1"/>
    <col min="29" max="29" width="8.7109375" style="37"/>
    <col min="30" max="30" width="8.28515625" style="37" customWidth="1"/>
    <col min="31" max="31" width="11.85546875" style="37" customWidth="1"/>
    <col min="32" max="32" width="11.28515625" style="274" customWidth="1"/>
    <col min="33" max="33" width="27" style="274" customWidth="1"/>
    <col min="34" max="16384" width="8.7109375" style="37"/>
  </cols>
  <sheetData>
    <row r="1" spans="1:34" ht="57.75" customHeight="1" x14ac:dyDescent="0.25">
      <c r="A1" s="13" t="s">
        <v>367</v>
      </c>
      <c r="B1" s="13"/>
      <c r="C1" s="13"/>
      <c r="D1" s="13"/>
      <c r="E1" s="13"/>
      <c r="F1" s="13"/>
      <c r="G1" s="13"/>
      <c r="H1" s="123"/>
      <c r="I1" s="362" t="s">
        <v>368</v>
      </c>
      <c r="J1" s="363" t="s">
        <v>369</v>
      </c>
      <c r="K1" s="364" t="s">
        <v>63</v>
      </c>
      <c r="L1" s="364" t="s">
        <v>370</v>
      </c>
      <c r="M1" s="364" t="s">
        <v>371</v>
      </c>
      <c r="N1" s="365" t="s">
        <v>372</v>
      </c>
      <c r="O1" s="366" t="s">
        <v>373</v>
      </c>
      <c r="P1" s="367" t="s">
        <v>374</v>
      </c>
      <c r="Q1" s="368" t="s">
        <v>375</v>
      </c>
      <c r="R1" s="364" t="s">
        <v>376</v>
      </c>
      <c r="S1" s="364" t="s">
        <v>282</v>
      </c>
      <c r="T1" s="364" t="s">
        <v>154</v>
      </c>
      <c r="U1" s="369" t="s">
        <v>377</v>
      </c>
      <c r="V1" s="369" t="s">
        <v>157</v>
      </c>
      <c r="W1" s="369" t="s">
        <v>378</v>
      </c>
      <c r="X1" s="369" t="s">
        <v>379</v>
      </c>
      <c r="Y1" s="370" t="s">
        <v>380</v>
      </c>
      <c r="Z1" s="371" t="s">
        <v>381</v>
      </c>
      <c r="AA1" s="372" t="s">
        <v>289</v>
      </c>
      <c r="AB1" s="373" t="s">
        <v>81</v>
      </c>
      <c r="AC1" s="374" t="s">
        <v>83</v>
      </c>
      <c r="AD1" s="375" t="s">
        <v>84</v>
      </c>
      <c r="AE1" s="376" t="s">
        <v>160</v>
      </c>
      <c r="AF1" s="377" t="s">
        <v>85</v>
      </c>
      <c r="AG1" s="378" t="s">
        <v>86</v>
      </c>
      <c r="AH1" s="123"/>
    </row>
    <row r="2" spans="1:34" ht="36" customHeight="1" x14ac:dyDescent="0.3">
      <c r="A2" s="9" t="s">
        <v>293</v>
      </c>
      <c r="B2" s="9"/>
      <c r="C2" s="9"/>
      <c r="D2" s="9"/>
      <c r="E2" s="9"/>
      <c r="F2" s="9"/>
      <c r="G2" s="9"/>
      <c r="H2" s="123"/>
      <c r="I2" s="379" t="s">
        <v>382</v>
      </c>
      <c r="J2" s="169">
        <v>76</v>
      </c>
      <c r="K2" s="170">
        <v>239</v>
      </c>
      <c r="L2" s="302">
        <v>45.5</v>
      </c>
      <c r="M2" s="170">
        <v>135</v>
      </c>
      <c r="N2" s="169">
        <v>4.51</v>
      </c>
      <c r="O2" s="380">
        <f>IFERROR(((K2*200)/(N2^4))*(1+((J2-76.5)/76.5))*(1+(((L2-33)/33)*0.1+((M2-115.5)/115.5)*0.1)),0)</f>
        <v>121.06770839941917</v>
      </c>
      <c r="P2" s="381">
        <v>9.6300000000000008</v>
      </c>
      <c r="Q2" s="382">
        <v>0.375</v>
      </c>
      <c r="R2" s="382">
        <v>0.2339</v>
      </c>
      <c r="S2" s="169">
        <v>2.4965000000000002</v>
      </c>
      <c r="T2" s="169">
        <v>9.4600000000000009</v>
      </c>
      <c r="U2" s="302">
        <v>6.7</v>
      </c>
      <c r="V2" s="382">
        <v>0.23780000000000001</v>
      </c>
      <c r="W2" s="382">
        <v>0.91139999999999999</v>
      </c>
      <c r="X2" s="383">
        <v>4.5</v>
      </c>
      <c r="Y2" s="384">
        <v>0.22</v>
      </c>
      <c r="Z2" s="290">
        <v>1</v>
      </c>
      <c r="AA2" s="304">
        <f>ROUND(MIN(20,MAX(0,(T2/10)*20))+MIN(20,MAX(0,(O2/120)*20))+MIN(20,MAX(0,(S2/3)*20))+MIN(20,MAX(0,(Q2/0.7)*20))+MIN(10,MAX(0,(R2/0.25)*10))+MIN(10,MAX(0,(W2/0.8)*10)),1)</f>
        <v>85.6</v>
      </c>
      <c r="AB2" s="385">
        <f>ROUND(MIN(25,MAX(0,(R2/0.25)*25))+MIN(25,MAX(0,(S2/2.5)*25))+MIN(15,MAX(0,(U2/6)*15))+MIN(15,MAX(0,(V2/0.22)*15))+IF(ISNUMBER(AC2),MAX(0,20-((INT(AC2)-1)*32+ROUND(MOD(AC2,1)*100,0))*0.07),IF(LOWER(AC2)="udfa",3,10)),1)</f>
        <v>94.6</v>
      </c>
      <c r="AC2" s="386">
        <v>2.2200000000000002</v>
      </c>
      <c r="AD2" s="386" t="s">
        <v>120</v>
      </c>
      <c r="AE2" s="387">
        <f>IF(AD2="","1.00",IFERROR(VLOOKUP(AD2,'TE Model Page'!$A:$F,6,FALSE()),1))</f>
        <v>1</v>
      </c>
      <c r="AF2" s="183">
        <f>IF(AND(LOWER(AC2)="udfa",OR(AD2="N/A",AD2="")),-999,ROUND(MIN(99.9,MAX(0,IF((MIN(38,38*EXP(-0.005*(IF(ISNUMBER(AC2),(INT(AC2)-1)*32+ROUND(MOD(AC2,1)*100,0),256)-1)))+MAX(MIN(T2/10,1),0)*8+MAX(MIN(O2/120,1),0)*5+(P2/10)*5+IF(S2&gt;=2.5,22,(S2/2.5)*22)+MIN(3,MAX(0,(1-(X2/10))*3))+IF(R2&gt;=0.28,13,(R2/0.28)*13)*Z2+MIN(6,MAX(0,(Q2/0.65)*6))*Z2+MIN(5,MAX(0,(U2/5)*5))*Z2+MIN(5,MAX(0,(V2/0.22)*5))*Z2+MIN(4,MAX(0,(W2/0.8)*4))*Z2+MIN(4,MAX(0,(Y2/0.25)*4))*Z2)&gt;60,60+SQRT((MIN(38,38*EXP(-0.005*(IF(ISNUMBER(AC2),(INT(AC2)-1)*32+ROUND(MOD(AC2,1)*100,0),256)-1)))+MAX(MIN(T2/10,1),0)*8+MAX(MIN(O2/120,1),0)*5+(P2/10)*5+IF(S2&gt;=2.5,22,(S2/2.5)*22)+MIN(3,MAX(0,(1-(X2/10))*3))+IF(R2&gt;=0.28,13,(R2/0.28)*13)*Z2+MIN(6,MAX(0,(Q2/0.65)*6))*Z2+MIN(5,MAX(0,(U2/5)*5))*Z2+MIN(5,MAX(0,(V2/0.22)*5))*Z2+MIN(4,MAX(0,(W2/0.8)*4))*Z2+MIN(4,MAX(0,(Y2/0.25)*4))*Z2)-60)*4.8,(MIN(38,38*EXP(-0.005*(IF(ISNUMBER(AC2),(INT(AC2)-1)*32+ROUND(MOD(AC2,1)*100,0),256)-1)))+MAX(MIN(T2/10,1),0)*8+MAX(MIN(O2/120,1),0)*5+(P2/10)*5+IF(S2&gt;=2.5,22,(S2/2.5)*22)+MIN(3,MAX(0,(1-(X2/10))*3))+IF(R2&gt;=0.28,13,(R2/0.28)*13)*Z2+MIN(6,MAX(0,(Q2/0.65)*6))*Z2+MIN(5,MAX(0,(U2/5)*5))*Z2+MIN(5,MAX(0,(V2/0.22)*5))*Z2+MIN(4,MAX(0,(W2/0.8)*4))*Z2+MIN(4,MAX(0,(Y2/0.25)*4))*Z2)))*MAX(1,IFERROR(VALUE(AE2),1))),1))</f>
        <v>91.1</v>
      </c>
      <c r="AG2" s="388" t="str">
        <f t="shared" ref="AG2:AG33" si="0">IF(AF2&gt;=97,"Generational TE",IF(AF2&gt;=84,"Weekly Starter",IF(AF2&gt;=77,"TE1 Threat",IF(AF2&gt;=65,"Stash","Street Free Agent"))))</f>
        <v>Weekly Starter</v>
      </c>
      <c r="AH2" s="123"/>
    </row>
    <row r="3" spans="1:34" ht="48" customHeight="1" x14ac:dyDescent="0.3">
      <c r="A3" s="299" t="s">
        <v>84</v>
      </c>
      <c r="B3" s="299" t="s">
        <v>169</v>
      </c>
      <c r="C3" s="299" t="s">
        <v>170</v>
      </c>
      <c r="D3" s="299" t="s">
        <v>383</v>
      </c>
      <c r="E3" s="299" t="s">
        <v>300</v>
      </c>
      <c r="F3" s="299" t="s">
        <v>173</v>
      </c>
      <c r="G3" s="299" t="s">
        <v>174</v>
      </c>
      <c r="H3" s="123"/>
      <c r="I3" s="389" t="s">
        <v>384</v>
      </c>
      <c r="J3" s="220">
        <v>75.125</v>
      </c>
      <c r="K3" s="221">
        <v>241</v>
      </c>
      <c r="L3" s="390">
        <v>43.5</v>
      </c>
      <c r="M3" s="221">
        <v>133</v>
      </c>
      <c r="N3" s="220">
        <v>4.3899999999999997</v>
      </c>
      <c r="O3" s="380">
        <f>IFERROR(((K3*200)/(N3^4))*(1+((J3-76.5)/76.5))*(1+(((L3-33)/33)*0.1+((M3-115.5)/115.5)*0.1)),0)</f>
        <v>133.42773660689531</v>
      </c>
      <c r="P3" s="391">
        <v>10</v>
      </c>
      <c r="Q3" s="392">
        <v>0.57140000000000002</v>
      </c>
      <c r="R3" s="392">
        <v>0.1201</v>
      </c>
      <c r="S3" s="220">
        <v>1.7622</v>
      </c>
      <c r="T3" s="393">
        <v>9.43</v>
      </c>
      <c r="U3" s="302">
        <v>6.58</v>
      </c>
      <c r="V3" s="382">
        <v>0.1124</v>
      </c>
      <c r="W3" s="382">
        <v>0.84970000000000001</v>
      </c>
      <c r="X3" s="383">
        <v>5.5</v>
      </c>
      <c r="Y3" s="384">
        <v>0.24</v>
      </c>
      <c r="Z3" s="290">
        <v>1</v>
      </c>
      <c r="AA3" s="304">
        <f>ROUND(MIN(20,MAX(0,(T3/10)*20))+MIN(20,MAX(0,(O3/120)*20))+MIN(20,MAX(0,(S3/3)*20))+MIN(20,MAX(0,(Q3/0.7)*20))+MIN(10,MAX(0,(R3/0.25)*10))+MIN(10,MAX(0,(W3/0.8)*10)),1)</f>
        <v>81.7</v>
      </c>
      <c r="AB3" s="385">
        <f>ROUND(MIN(25,MAX(0,(R3/0.25)*25))+MIN(25,MAX(0,(S3/2.5)*25))+MIN(15,MAX(0,(U3/6)*15))+MIN(15,MAX(0,(V3/0.22)*15))+IF(ISNUMBER(AC3),MAX(0,20-((INT(AC3)-1)*32+ROUND(MOD(AC3,1)*100,0))*0.07),IF(LOWER(AC3)="udfa",3,10)),1)</f>
        <v>71.2</v>
      </c>
      <c r="AC3" s="394">
        <v>1.1599999999999999</v>
      </c>
      <c r="AD3" s="394" t="s">
        <v>101</v>
      </c>
      <c r="AE3" s="387">
        <f>IF(AD3="","1.00",IFERROR(VLOOKUP(AD3,'TE Model Page'!$A:$F,6,FALSE()),1))</f>
        <v>1</v>
      </c>
      <c r="AF3" s="183">
        <f>IF(AND(LOWER(AC3)="udfa",OR(AD3="N/A",AD3="")),-999,ROUND(MIN(99.9,MAX(0,IF((MIN(38,38*EXP(-0.005*(IF(ISNUMBER(AC3),(INT(AC3)-1)*32+ROUND(MOD(AC3,1)*100,0),256)-1)))+MAX(MIN(T3/10,1),0)*8+MAX(MIN(O3/120,1),0)*5+(P3/10)*5+IF(S3&gt;=2.5,22,(S3/2.5)*22)+MIN(3,MAX(0,(1-(X3/10))*3))+IF(R3&gt;=0.28,13,(R3/0.28)*13)*Z3+MIN(6,MAX(0,(Q3/0.65)*6))*Z3+MIN(5,MAX(0,(U3/5)*5))*Z3+MIN(5,MAX(0,(V3/0.22)*5))*Z3+MIN(4,MAX(0,(W3/0.8)*4))*Z3+MIN(4,MAX(0,(Y3/0.25)*4))*Z3)&gt;60,60+SQRT((MIN(38,38*EXP(-0.005*(IF(ISNUMBER(AC3),(INT(AC3)-1)*32+ROUND(MOD(AC3,1)*100,0),256)-1)))+MAX(MIN(T3/10,1),0)*8+MAX(MIN(O3/120,1),0)*5+(P3/10)*5+IF(S3&gt;=2.5,22,(S3/2.5)*22)+MIN(3,MAX(0,(1-(X3/10))*3))+IF(R3&gt;=0.28,13,(R3/0.28)*13)*Z3+MIN(6,MAX(0,(Q3/0.65)*6))*Z3+MIN(5,MAX(0,(U3/5)*5))*Z3+MIN(5,MAX(0,(V3/0.22)*5))*Z3+MIN(4,MAX(0,(W3/0.8)*4))*Z3+MIN(4,MAX(0,(Y3/0.25)*4))*Z3)-60)*4.8,(MIN(38,38*EXP(-0.005*(IF(ISNUMBER(AC3),(INT(AC3)-1)*32+ROUND(MOD(AC3,1)*100,0),256)-1)))+MAX(MIN(T3/10,1),0)*8+MAX(MIN(O3/120,1),0)*5+(P3/10)*5+IF(S3&gt;=2.5,22,(S3/2.5)*22)+MIN(3,MAX(0,(1-(X3/10))*3))+IF(R3&gt;=0.28,13,(R3/0.28)*13)*Z3+MIN(6,MAX(0,(Q3/0.65)*6))*Z3+MIN(5,MAX(0,(U3/5)*5))*Z3+MIN(5,MAX(0,(V3/0.22)*5))*Z3+MIN(4,MAX(0,(W3/0.8)*4))*Z3+MIN(4,MAX(0,(Y3/0.25)*4))*Z3)))*MAX(1,IFERROR(VALUE(AE3),1))),1))</f>
        <v>88.8</v>
      </c>
      <c r="AG3" s="388" t="str">
        <f t="shared" si="0"/>
        <v>Weekly Starter</v>
      </c>
      <c r="AH3" s="123"/>
    </row>
    <row r="4" spans="1:34" ht="59.25" customHeight="1" x14ac:dyDescent="0.3">
      <c r="A4" s="307" t="s">
        <v>302</v>
      </c>
      <c r="B4" s="307" t="s">
        <v>303</v>
      </c>
      <c r="C4" s="307" t="s">
        <v>304</v>
      </c>
      <c r="D4" s="307" t="s">
        <v>305</v>
      </c>
      <c r="E4" s="307" t="s">
        <v>306</v>
      </c>
      <c r="F4" s="307" t="s">
        <v>307</v>
      </c>
      <c r="G4" s="307" t="s">
        <v>308</v>
      </c>
      <c r="H4" s="123"/>
      <c r="I4" s="400" t="s">
        <v>385</v>
      </c>
      <c r="J4" s="169">
        <v>76</v>
      </c>
      <c r="K4" s="170">
        <v>246</v>
      </c>
      <c r="L4" s="300">
        <v>33</v>
      </c>
      <c r="M4" s="463">
        <v>115</v>
      </c>
      <c r="N4" s="191">
        <v>4.7</v>
      </c>
      <c r="O4" s="380">
        <f>IFERROR(((K4*200)/(N4^4))*(1+((J4-76.5)/76.5))*(1+(((L4-33)/33)*0.1+((M4-115.5)/115.5)*0.1)),0)</f>
        <v>100.12390539145557</v>
      </c>
      <c r="P4" s="381">
        <v>9.125</v>
      </c>
      <c r="Q4" s="382">
        <v>0.52939999999999998</v>
      </c>
      <c r="R4" s="382">
        <v>0.2102</v>
      </c>
      <c r="S4" s="169">
        <v>1.8556999999999999</v>
      </c>
      <c r="T4" s="303">
        <v>8.1999999999999993</v>
      </c>
      <c r="U4" s="302">
        <v>5.98</v>
      </c>
      <c r="V4" s="382">
        <v>0.19589999999999999</v>
      </c>
      <c r="W4" s="382">
        <v>0.89439999999999997</v>
      </c>
      <c r="X4" s="383">
        <v>6</v>
      </c>
      <c r="Y4" s="384">
        <v>0.2</v>
      </c>
      <c r="Z4" s="290">
        <v>1</v>
      </c>
      <c r="AA4" s="304">
        <f>ROUND(MIN(20,MAX(0,(T4/10)*20))+MIN(20,MAX(0,(O4/120)*20))+MIN(20,MAX(0,(S4/3)*20))+MIN(20,MAX(0,(Q4/0.7)*20))+MIN(10,MAX(0,(R4/0.25)*10))+MIN(10,MAX(0,(W4/0.8)*10)),1)</f>
        <v>79</v>
      </c>
      <c r="AB4" s="385">
        <f>ROUND(MIN(25,MAX(0,(R4/0.25)*25))+MIN(25,MAX(0,(S4/2.5)*25))+MIN(15,MAX(0,(U4/6)*15))+MIN(15,MAX(0,(V4/0.22)*15))+IF(ISNUMBER(AC4),MAX(0,20-((INT(AC4)-1)*32+ROUND(MOD(AC4,1)*100,0))*0.07),IF(LOWER(AC4)="udfa",3,10)),1)</f>
        <v>83.6</v>
      </c>
      <c r="AC4" s="386">
        <v>2.29</v>
      </c>
      <c r="AD4" s="386" t="s">
        <v>92</v>
      </c>
      <c r="AE4" s="387">
        <f>IF(AD4="","1.00",IFERROR(VLOOKUP(AD4,'TE Model Page'!$A:$F,6,FALSE()),1))</f>
        <v>0.9</v>
      </c>
      <c r="AF4" s="183">
        <f>IF(AND(LOWER(AC4)="udfa",OR(AD4="N/A",AD4="")),-999,ROUND(MIN(99.9,MAX(0,IF((MIN(38,38*EXP(-0.005*(IF(ISNUMBER(AC4),(INT(AC4)-1)*32+ROUND(MOD(AC4,1)*100,0),256)-1)))+MAX(MIN(T4/10,1),0)*8+MAX(MIN(O4/120,1),0)*5+(P4/10)*5+IF(S4&gt;=2.5,22,(S4/2.5)*22)+MIN(3,MAX(0,(1-(X4/10))*3))+IF(R4&gt;=0.28,13,(R4/0.28)*13)*Z4+MIN(6,MAX(0,(Q4/0.65)*6))*Z4+MIN(5,MAX(0,(U4/5)*5))*Z4+MIN(5,MAX(0,(V4/0.22)*5))*Z4+MIN(4,MAX(0,(W4/0.8)*4))*Z4+MIN(4,MAX(0,(Y4/0.25)*4))*Z4)&gt;60,60+SQRT((MIN(38,38*EXP(-0.005*(IF(ISNUMBER(AC4),(INT(AC4)-1)*32+ROUND(MOD(AC4,1)*100,0),256)-1)))+MAX(MIN(T4/10,1),0)*8+MAX(MIN(O4/120,1),0)*5+(P4/10)*5+IF(S4&gt;=2.5,22,(S4/2.5)*22)+MIN(3,MAX(0,(1-(X4/10))*3))+IF(R4&gt;=0.28,13,(R4/0.28)*13)*Z4+MIN(6,MAX(0,(Q4/0.65)*6))*Z4+MIN(5,MAX(0,(U4/5)*5))*Z4+MIN(5,MAX(0,(V4/0.22)*5))*Z4+MIN(4,MAX(0,(W4/0.8)*4))*Z4+MIN(4,MAX(0,(Y4/0.25)*4))*Z4)-60)*4.8,(MIN(38,38*EXP(-0.005*(IF(ISNUMBER(AC4),(INT(AC4)-1)*32+ROUND(MOD(AC4,1)*100,0),256)-1)))+MAX(MIN(T4/10,1),0)*8+MAX(MIN(O4/120,1),0)*5+(P4/10)*5+IF(S4&gt;=2.5,22,(S4/2.5)*22)+MIN(3,MAX(0,(1-(X4/10))*3))+IF(R4&gt;=0.28,13,(R4/0.28)*13)*Z4+MIN(6,MAX(0,(Q4/0.65)*6))*Z4+MIN(5,MAX(0,(U4/5)*5))*Z4+MIN(5,MAX(0,(V4/0.22)*5))*Z4+MIN(4,MAX(0,(W4/0.8)*4))*Z4+MIN(4,MAX(0,(Y4/0.25)*4))*Z4)))*MAX(1,IFERROR(VALUE(AE4),1))),1))</f>
        <v>87.3</v>
      </c>
      <c r="AG4" s="388" t="str">
        <f t="shared" si="0"/>
        <v>Weekly Starter</v>
      </c>
      <c r="AH4" s="123"/>
    </row>
    <row r="5" spans="1:34" ht="15.75" customHeight="1" x14ac:dyDescent="0.3">
      <c r="A5" s="211" t="s">
        <v>90</v>
      </c>
      <c r="B5" s="212">
        <v>5</v>
      </c>
      <c r="C5" s="213" t="s">
        <v>187</v>
      </c>
      <c r="D5" s="212">
        <v>5</v>
      </c>
      <c r="E5" s="214">
        <f>IFERROR(VLOOKUP(A5,Vacancy_Calculator!$A$4:$D$35,4,FALSE()),0)</f>
        <v>2</v>
      </c>
      <c r="F5" s="399">
        <f t="shared" ref="F5:F35" si="1">IF((E5*0.5+B5*0.3+D5*0.2)&gt;=8.5,1.25,IF((E5*0.5+B5*0.3+D5*0.2)&gt;=7,1.15,IF((E5*0.5+B5*0.3+D5*0.2)&gt;=5.5,1.05,IF((E5*0.5+B5*0.3+D5*0.2)&gt;=4,1,IF((E5*0.5+B5*0.3+D5*0.2)&gt;=2.5,0.9,IF((E5*0.5+B5*0.3+D5*0.2)&gt;=1,0.8,0.75))))))</f>
        <v>0.9</v>
      </c>
      <c r="G5" s="211" t="str">
        <f t="shared" ref="G5:G35" si="2">IF(F5&gt;=1.25,"Workhorse Situation",IF(F5&gt;=1.15,"Featured Role",IF(F5&gt;=1.05,"Contributor",IF(F5&gt;=1,"Neutral",IF(F5&gt;=0.9,"Competition Risk",IF(F5&gt;=0.8,"Poor Fit","Landmine"))))))</f>
        <v>Competition Risk</v>
      </c>
      <c r="H5" s="123"/>
      <c r="I5" s="400" t="s">
        <v>386</v>
      </c>
      <c r="J5" s="169">
        <v>78</v>
      </c>
      <c r="K5" s="170">
        <v>267</v>
      </c>
      <c r="L5" s="302">
        <v>38.5</v>
      </c>
      <c r="M5" s="170">
        <v>126</v>
      </c>
      <c r="N5" s="169">
        <v>4.7</v>
      </c>
      <c r="O5" s="380">
        <f>IFERROR(((K5*200)/(N5^4))*(1+((J5-76.5)/76.5))*(1+(((L5-33)/33)*0.1+((M5-115.5)/115.5)*0.1)),0)</f>
        <v>114.45314369106021</v>
      </c>
      <c r="P5" s="381">
        <v>10</v>
      </c>
      <c r="Q5" s="382">
        <v>0.52170000000000005</v>
      </c>
      <c r="R5" s="382">
        <v>0.1699</v>
      </c>
      <c r="S5" s="169">
        <v>1.2208000000000001</v>
      </c>
      <c r="T5" s="401">
        <v>9.99</v>
      </c>
      <c r="U5" s="302">
        <v>5.42</v>
      </c>
      <c r="V5" s="382">
        <v>0.1847</v>
      </c>
      <c r="W5" s="382">
        <v>0.78010000000000002</v>
      </c>
      <c r="X5" s="383">
        <v>7.5</v>
      </c>
      <c r="Y5" s="384">
        <v>0.2</v>
      </c>
      <c r="Z5" s="290">
        <v>1</v>
      </c>
      <c r="AA5" s="304">
        <f>ROUND(MIN(20,MAX(0,(T5/10)*20))+MIN(20,MAX(0,(O5/120)*20))+MIN(20,MAX(0,(S5/3)*20))+MIN(20,MAX(0,(Q5/0.7)*20))+MIN(10,MAX(0,(R5/0.25)*10))+MIN(10,MAX(0,(W5/0.8)*10)),1)</f>
        <v>78.599999999999994</v>
      </c>
      <c r="AB5" s="385">
        <f>ROUND(MIN(25,MAX(0,(R5/0.25)*25))+MIN(25,MAX(0,(S5/2.5)*25))+MIN(15,MAX(0,(U5/6)*15))+MIN(15,MAX(0,(V5/0.22)*15))+IF(ISNUMBER(AC5),MAX(0,20-((INT(AC5)-1)*32+ROUND(MOD(AC5,1)*100,0))*0.07),IF(LOWER(AC5)="udfa",3,10)),1)</f>
        <v>70.5</v>
      </c>
      <c r="AC5" s="386">
        <v>3.05</v>
      </c>
      <c r="AD5" s="386" t="s">
        <v>104</v>
      </c>
      <c r="AE5" s="387">
        <f>IF(AD5="","1.00",IFERROR(VLOOKUP(AD5,'TE Model Page'!$A:$F,6,FALSE()),1))</f>
        <v>1</v>
      </c>
      <c r="AF5" s="183">
        <f>IF(AND(LOWER(AC5)="udfa",OR(AD5="N/A",AD5="")),-999,ROUND(MIN(99.9,MAX(0,IF((MIN(38,38*EXP(-0.005*(IF(ISNUMBER(AC5),(INT(AC5)-1)*32+ROUND(MOD(AC5,1)*100,0),256)-1)))+MAX(MIN(T5/10,1),0)*8+MAX(MIN(O5/120,1),0)*5+(P5/10)*5+IF(S5&gt;=2.5,22,(S5/2.5)*22)+MIN(3,MAX(0,(1-(X5/10))*3))+IF(R5&gt;=0.28,13,(R5/0.28)*13)*Z5+MIN(6,MAX(0,(Q5/0.65)*6))*Z5+MIN(5,MAX(0,(U5/5)*5))*Z5+MIN(5,MAX(0,(V5/0.22)*5))*Z5+MIN(4,MAX(0,(W5/0.8)*4))*Z5+MIN(4,MAX(0,(Y5/0.25)*4))*Z5)&gt;60,60+SQRT((MIN(38,38*EXP(-0.005*(IF(ISNUMBER(AC5),(INT(AC5)-1)*32+ROUND(MOD(AC5,1)*100,0),256)-1)))+MAX(MIN(T5/10,1),0)*8+MAX(MIN(O5/120,1),0)*5+(P5/10)*5+IF(S5&gt;=2.5,22,(S5/2.5)*22)+MIN(3,MAX(0,(1-(X5/10))*3))+IF(R5&gt;=0.28,13,(R5/0.28)*13)*Z5+MIN(6,MAX(0,(Q5/0.65)*6))*Z5+MIN(5,MAX(0,(U5/5)*5))*Z5+MIN(5,MAX(0,(V5/0.22)*5))*Z5+MIN(4,MAX(0,(W5/0.8)*4))*Z5+MIN(4,MAX(0,(Y5/0.25)*4))*Z5)-60)*4.8,(MIN(38,38*EXP(-0.005*(IF(ISNUMBER(AC5),(INT(AC5)-1)*32+ROUND(MOD(AC5,1)*100,0),256)-1)))+MAX(MIN(T5/10,1),0)*8+MAX(MIN(O5/120,1),0)*5+(P5/10)*5+IF(S5&gt;=2.5,22,(S5/2.5)*22)+MIN(3,MAX(0,(1-(X5/10))*3))+IF(R5&gt;=0.28,13,(R5/0.28)*13)*Z5+MIN(6,MAX(0,(Q5/0.65)*6))*Z5+MIN(5,MAX(0,(U5/5)*5))*Z5+MIN(5,MAX(0,(V5/0.22)*5))*Z5+MIN(4,MAX(0,(W5/0.8)*4))*Z5+MIN(4,MAX(0,(Y5/0.25)*4))*Z5)))*MAX(1,IFERROR(VALUE(AE5),1))),1))</f>
        <v>84.1</v>
      </c>
      <c r="AG5" s="388" t="str">
        <f t="shared" si="0"/>
        <v>Weekly Starter</v>
      </c>
      <c r="AH5" s="123"/>
    </row>
    <row r="6" spans="1:34" ht="15.75" customHeight="1" x14ac:dyDescent="0.3">
      <c r="A6" s="211" t="s">
        <v>93</v>
      </c>
      <c r="B6" s="212">
        <v>7</v>
      </c>
      <c r="C6" s="213" t="s">
        <v>187</v>
      </c>
      <c r="D6" s="212">
        <v>8.5</v>
      </c>
      <c r="E6" s="214">
        <f>IFERROR(VLOOKUP(A6,Vacancy_Calculator!$A$4:$D$35,4,FALSE()),0)</f>
        <v>0</v>
      </c>
      <c r="F6" s="399">
        <f t="shared" si="1"/>
        <v>0.9</v>
      </c>
      <c r="G6" s="211" t="str">
        <f t="shared" si="2"/>
        <v>Competition Risk</v>
      </c>
      <c r="H6" s="123"/>
      <c r="I6" s="354" t="s">
        <v>387</v>
      </c>
      <c r="J6" s="71">
        <v>79</v>
      </c>
      <c r="K6" s="72">
        <v>247</v>
      </c>
      <c r="L6" s="76">
        <v>36.5</v>
      </c>
      <c r="M6" s="72">
        <v>122</v>
      </c>
      <c r="N6" s="71">
        <v>4.7</v>
      </c>
      <c r="O6" s="395">
        <f>IFERROR(((K6*200)/(N6^4))*(1+((J6-76.5)/76.5))*(1+(((L6-33)/33)*0.1+((M6-115.5)/115.5)*0.1)),0)</f>
        <v>106.241646922398</v>
      </c>
      <c r="P6" s="77">
        <v>9.6300000000000008</v>
      </c>
      <c r="Q6" s="396">
        <v>0.68659999999999999</v>
      </c>
      <c r="R6" s="396">
        <v>0.27010000000000001</v>
      </c>
      <c r="S6" s="71">
        <v>2.1233</v>
      </c>
      <c r="T6" s="312">
        <v>9.7200000000000006</v>
      </c>
      <c r="U6" s="302">
        <v>3.75</v>
      </c>
      <c r="V6" s="382">
        <v>0.28389999999999999</v>
      </c>
      <c r="W6" s="382">
        <v>0.85119999999999996</v>
      </c>
      <c r="X6" s="383">
        <v>5</v>
      </c>
      <c r="Y6" s="384">
        <v>0.28000000000000003</v>
      </c>
      <c r="Z6" s="290">
        <v>0.85</v>
      </c>
      <c r="AA6" s="304">
        <f>ROUND(MIN(20,MAX(0,(T6/10)*20))+MIN(20,MAX(0,(O6/120)*20))+MIN(20,MAX(0,(S6/3)*20))+MIN(20,MAX(0,(Q6/0.7)*20))+MIN(10,MAX(0,(R6/0.25)*10))+MIN(10,MAX(0,(W6/0.8)*10)),1)</f>
        <v>90.9</v>
      </c>
      <c r="AB6" s="385">
        <f>ROUND(MIN(25,MAX(0,(R6/0.25)*25))+MIN(25,MAX(0,(S6/2.5)*25))+MIN(15,MAX(0,(U6/6)*15))+MIN(15,MAX(0,(V6/0.22)*15))+IF(ISNUMBER(AC6),MAX(0,20-((INT(AC6)-1)*32+ROUND(MOD(AC6,1)*100,0))*0.07),IF(LOWER(AC6)="udfa",3,10)),1)</f>
        <v>79.099999999999994</v>
      </c>
      <c r="AC6" s="380">
        <v>5.36</v>
      </c>
      <c r="AD6" s="380" t="s">
        <v>127</v>
      </c>
      <c r="AE6" s="387">
        <f>IF(AD6="","1.00",IFERROR(VLOOKUP(AD6,'TE Model Page'!$A:$F,6,FALSE()),1))</f>
        <v>0.9</v>
      </c>
      <c r="AF6" s="183">
        <f>IF(AND(LOWER(AC6)="udfa",OR(AD6="N/A",AD6="")),-999,ROUND(MIN(99.9,MAX(0,IF((MIN(38,38*EXP(-0.005*(IF(ISNUMBER(AC6),(INT(AC6)-1)*32+ROUND(MOD(AC6,1)*100,0),256)-1)))+MAX(MIN(T6/10,1),0)*8+MAX(MIN(O6/120,1),0)*5+(P6/10)*5+IF(S6&gt;=2.5,22,(S6/2.5)*22)+MIN(3,MAX(0,(1-(X6/10))*3))+IF(R6&gt;=0.28,13,(R6/0.28)*13)*Z6+MIN(6,MAX(0,(Q6/0.65)*6))*Z6+MIN(5,MAX(0,(U6/5)*5))*Z6+MIN(5,MAX(0,(V6/0.22)*5))*Z6+MIN(4,MAX(0,(W6/0.8)*4))*Z6+MIN(4,MAX(0,(Y6/0.25)*4))*Z6)&gt;60,60+SQRT((MIN(38,38*EXP(-0.005*(IF(ISNUMBER(AC6),(INT(AC6)-1)*32+ROUND(MOD(AC6,1)*100,0),256)-1)))+MAX(MIN(T6/10,1),0)*8+MAX(MIN(O6/120,1),0)*5+(P6/10)*5+IF(S6&gt;=2.5,22,(S6/2.5)*22)+MIN(3,MAX(0,(1-(X6/10))*3))+IF(R6&gt;=0.28,13,(R6/0.28)*13)*Z6+MIN(6,MAX(0,(Q6/0.65)*6))*Z6+MIN(5,MAX(0,(U6/5)*5))*Z6+MIN(5,MAX(0,(V6/0.22)*5))*Z6+MIN(4,MAX(0,(W6/0.8)*4))*Z6+MIN(4,MAX(0,(Y6/0.25)*4))*Z6)-60)*4.8,(MIN(38,38*EXP(-0.005*(IF(ISNUMBER(AC6),(INT(AC6)-1)*32+ROUND(MOD(AC6,1)*100,0),256)-1)))+MAX(MIN(T6/10,1),0)*8+MAX(MIN(O6/120,1),0)*5+(P6/10)*5+IF(S6&gt;=2.5,22,(S6/2.5)*22)+MIN(3,MAX(0,(1-(X6/10))*3))+IF(R6&gt;=0.28,13,(R6/0.28)*13)*Z6+MIN(6,MAX(0,(Q6/0.65)*6))*Z6+MIN(5,MAX(0,(U6/5)*5))*Z6+MIN(5,MAX(0,(V6/0.22)*5))*Z6+MIN(4,MAX(0,(W6/0.8)*4))*Z6+MIN(4,MAX(0,(Y6/0.25)*4))*Z6)))*MAX(1,IFERROR(VALUE(AE6),1))),1))</f>
        <v>83.5</v>
      </c>
      <c r="AG6" s="388" t="str">
        <f t="shared" si="0"/>
        <v>TE1 Threat</v>
      </c>
      <c r="AH6" s="123"/>
    </row>
    <row r="7" spans="1:34" ht="15.75" customHeight="1" x14ac:dyDescent="0.3">
      <c r="A7" s="211" t="s">
        <v>97</v>
      </c>
      <c r="B7" s="212">
        <v>8</v>
      </c>
      <c r="C7" s="213" t="s">
        <v>187</v>
      </c>
      <c r="D7" s="212">
        <v>7</v>
      </c>
      <c r="E7" s="214">
        <f>IFERROR(VLOOKUP(A7,Vacancy_Calculator!$A$4:$D$35,4,FALSE()),0)</f>
        <v>6</v>
      </c>
      <c r="F7" s="399">
        <f t="shared" si="1"/>
        <v>1.05</v>
      </c>
      <c r="G7" s="211" t="str">
        <f t="shared" si="2"/>
        <v>Contributor</v>
      </c>
      <c r="H7" s="123"/>
      <c r="I7" s="461" t="s">
        <v>388</v>
      </c>
      <c r="J7" s="71">
        <v>76</v>
      </c>
      <c r="K7" s="72">
        <v>241</v>
      </c>
      <c r="L7" s="310">
        <v>33</v>
      </c>
      <c r="M7" s="350">
        <v>118</v>
      </c>
      <c r="N7" s="99">
        <v>4.75</v>
      </c>
      <c r="O7" s="395">
        <f>IFERROR(((K7*200)/(N7^4))*(1+((J7-76.5)/76.5))*(1+(((L7-33)/33)*0.1+((M7-115.5)/115.5)*0.1)),0)</f>
        <v>94.267886952466256</v>
      </c>
      <c r="P7" s="77">
        <v>10.5</v>
      </c>
      <c r="Q7" s="396">
        <v>0.71430000000000005</v>
      </c>
      <c r="R7" s="396">
        <v>0.1923</v>
      </c>
      <c r="S7" s="71">
        <v>1.7857000000000001</v>
      </c>
      <c r="T7" s="312">
        <v>8.4</v>
      </c>
      <c r="U7" s="302">
        <v>4.68</v>
      </c>
      <c r="V7" s="382">
        <v>0.16700000000000001</v>
      </c>
      <c r="W7" s="382">
        <v>0.86439999999999995</v>
      </c>
      <c r="X7" s="383">
        <v>5</v>
      </c>
      <c r="Y7" s="384">
        <v>0.22</v>
      </c>
      <c r="Z7" s="290">
        <v>1</v>
      </c>
      <c r="AA7" s="315">
        <f>ROUND(MIN(20,MAX(0,(T7/10)*20))+MIN(20,MAX(0,(O7/120)*20))+MIN(20,MAX(0,(S7/3)*20))+MIN(20,MAX(0,(Q7/0.7)*20))+MIN(10,MAX(0,(R7/0.25)*10))+MIN(10,MAX(0,(W7/0.8)*10)),1)</f>
        <v>82.1</v>
      </c>
      <c r="AB7" s="397">
        <f>ROUND(MIN(25,MAX(0,(R7/0.25)*25))+MIN(25,MAX(0,(S7/2.5)*25))+MIN(15,MAX(0,(U7/6)*15))+MIN(15,MAX(0,(V7/0.22)*15))+IF(ISNUMBER(AC7),MAX(0,20-((INT(AC7)-1)*32+ROUND(MOD(AC7,1)*100,0))*0.07),IF(LOWER(AC7)="udfa",3,10)),1)</f>
        <v>69.5</v>
      </c>
      <c r="AC7" s="395">
        <v>5.24</v>
      </c>
      <c r="AD7" s="395" t="s">
        <v>115</v>
      </c>
      <c r="AE7" s="387">
        <f>IF(AD7="","1.00",IFERROR(VLOOKUP(AD7,'TE Model Page'!$A:$F,6,FALSE()),1))</f>
        <v>0.9</v>
      </c>
      <c r="AF7" s="183">
        <f>IF(AND(LOWER(AC7)="udfa",OR(AD7="N/A",AD7="")),-999,ROUND(MIN(99.9,MAX(0,IF((MIN(38,38*EXP(-0.005*(IF(ISNUMBER(AC7),(INT(AC7)-1)*32+ROUND(MOD(AC7,1)*100,0),256)-1)))+MAX(MIN(T7/10,1),0)*8+MAX(MIN(O7/120,1),0)*5+(P7/10)*5+IF(S7&gt;=2.5,22,(S7/2.5)*22)+MIN(3,MAX(0,(1-(X7/10))*3))+IF(R7&gt;=0.28,13,(R7/0.28)*13)*Z7+MIN(6,MAX(0,(Q7/0.65)*6))*Z7+MIN(5,MAX(0,(U7/5)*5))*Z7+MIN(5,MAX(0,(V7/0.22)*5))*Z7+MIN(4,MAX(0,(W7/0.8)*4))*Z7+MIN(4,MAX(0,(Y7/0.25)*4))*Z7)&gt;60,60+SQRT((MIN(38,38*EXP(-0.005*(IF(ISNUMBER(AC7),(INT(AC7)-1)*32+ROUND(MOD(AC7,1)*100,0),256)-1)))+MAX(MIN(T7/10,1),0)*8+MAX(MIN(O7/120,1),0)*5+(P7/10)*5+IF(S7&gt;=2.5,22,(S7/2.5)*22)+MIN(3,MAX(0,(1-(X7/10))*3))+IF(R7&gt;=0.28,13,(R7/0.28)*13)*Z7+MIN(6,MAX(0,(Q7/0.65)*6))*Z7+MIN(5,MAX(0,(U7/5)*5))*Z7+MIN(5,MAX(0,(V7/0.22)*5))*Z7+MIN(4,MAX(0,(W7/0.8)*4))*Z7+MIN(4,MAX(0,(Y7/0.25)*4))*Z7)-60)*4.8,(MIN(38,38*EXP(-0.005*(IF(ISNUMBER(AC7),(INT(AC7)-1)*32+ROUND(MOD(AC7,1)*100,0),256)-1)))+MAX(MIN(T7/10,1),0)*8+MAX(MIN(O7/120,1),0)*5+(P7/10)*5+IF(S7&gt;=2.5,22,(S7/2.5)*22)+MIN(3,MAX(0,(1-(X7/10))*3))+IF(R7&gt;=0.28,13,(R7/0.28)*13)*Z7+MIN(6,MAX(0,(Q7/0.65)*6))*Z7+MIN(5,MAX(0,(U7/5)*5))*Z7+MIN(5,MAX(0,(V7/0.22)*5))*Z7+MIN(4,MAX(0,(W7/0.8)*4))*Z7+MIN(4,MAX(0,(Y7/0.25)*4))*Z7)))*MAX(1,IFERROR(VALUE(AE7),1))),1))</f>
        <v>82.5</v>
      </c>
      <c r="AG7" s="388" t="str">
        <f t="shared" si="0"/>
        <v>TE1 Threat</v>
      </c>
      <c r="AH7" s="123"/>
    </row>
    <row r="8" spans="1:34" ht="15.75" customHeight="1" x14ac:dyDescent="0.3">
      <c r="A8" s="211" t="s">
        <v>99</v>
      </c>
      <c r="B8" s="212">
        <v>6.5</v>
      </c>
      <c r="C8" s="213" t="s">
        <v>197</v>
      </c>
      <c r="D8" s="212">
        <v>5.5</v>
      </c>
      <c r="E8" s="214">
        <f>IFERROR(VLOOKUP(A8,Vacancy_Calculator!$A$4:$D$35,4,FALSE()),0)</f>
        <v>0</v>
      </c>
      <c r="F8" s="399">
        <f t="shared" si="1"/>
        <v>0.9</v>
      </c>
      <c r="G8" s="211" t="str">
        <f t="shared" si="2"/>
        <v>Competition Risk</v>
      </c>
      <c r="H8" s="123"/>
      <c r="I8" s="462" t="s">
        <v>389</v>
      </c>
      <c r="J8" s="71">
        <v>78.099999999999994</v>
      </c>
      <c r="K8" s="72">
        <v>245</v>
      </c>
      <c r="L8" s="76">
        <v>36</v>
      </c>
      <c r="M8" s="72">
        <v>123</v>
      </c>
      <c r="N8" s="71">
        <v>4.62</v>
      </c>
      <c r="O8" s="395">
        <f>IFERROR(((K8*200)/(N8^4))*(1+((J8-76.5)/76.5))*(1+(((L8-33)/33)*0.1+((M8-115.5)/115.5)*0.1)),0)</f>
        <v>111.51513241622179</v>
      </c>
      <c r="P8" s="77">
        <v>10.75</v>
      </c>
      <c r="Q8" s="396">
        <v>0.71430000000000005</v>
      </c>
      <c r="R8" s="396">
        <v>8.5599999999999996E-2</v>
      </c>
      <c r="S8" s="71">
        <v>1.6823999999999999</v>
      </c>
      <c r="T8" s="312">
        <v>9.81</v>
      </c>
      <c r="U8" s="302">
        <v>5.33</v>
      </c>
      <c r="V8" s="382">
        <v>8.8599999999999998E-2</v>
      </c>
      <c r="W8" s="382">
        <v>0.72030000000000005</v>
      </c>
      <c r="X8" s="383">
        <v>6.5</v>
      </c>
      <c r="Y8" s="384">
        <v>0.18</v>
      </c>
      <c r="Z8" s="290">
        <v>1</v>
      </c>
      <c r="AA8" s="315">
        <f>ROUND(MIN(20,MAX(0,(T8/10)*20))+MIN(20,MAX(0,(O8/120)*20))+MIN(20,MAX(0,(S8/3)*20))+MIN(20,MAX(0,(Q8/0.7)*20))+MIN(10,MAX(0,(R8/0.25)*10))+MIN(10,MAX(0,(W8/0.8)*10)),1)</f>
        <v>81.8</v>
      </c>
      <c r="AB8" s="397">
        <f>ROUND(MIN(25,MAX(0,(R8/0.25)*25))+MIN(25,MAX(0,(S8/2.5)*25))+MIN(15,MAX(0,(U8/6)*15))+MIN(15,MAX(0,(V8/0.22)*15))+IF(ISNUMBER(AC8),MAX(0,20-((INT(AC8)-1)*32+ROUND(MOD(AC8,1)*100,0))*0.07),IF(LOWER(AC8)="udfa",3,10)),1)</f>
        <v>58.1</v>
      </c>
      <c r="AC8" s="398">
        <v>3.31</v>
      </c>
      <c r="AD8" s="398" t="s">
        <v>114</v>
      </c>
      <c r="AE8" s="387">
        <f>IF(AD8="","1.00",IFERROR(VLOOKUP(AD8,'TE Model Page'!$A:$F,6,FALSE()),1))</f>
        <v>1</v>
      </c>
      <c r="AF8" s="183">
        <f>IF(AND(LOWER(AC8)="udfa",OR(AD8="N/A",AD8="")),-999,ROUND(MIN(99.9,MAX(0,IF((MIN(38,38*EXP(-0.005*(IF(ISNUMBER(AC8),(INT(AC8)-1)*32+ROUND(MOD(AC8,1)*100,0),256)-1)))+MAX(MIN(T8/10,1),0)*8+MAX(MIN(O8/120,1),0)*5+(P8/10)*5+IF(S8&gt;=2.5,22,(S8/2.5)*22)+MIN(3,MAX(0,(1-(X8/10))*3))+IF(R8&gt;=0.28,13,(R8/0.28)*13)*Z8+MIN(6,MAX(0,(Q8/0.65)*6))*Z8+MIN(5,MAX(0,(U8/5)*5))*Z8+MIN(5,MAX(0,(V8/0.22)*5))*Z8+MIN(4,MAX(0,(W8/0.8)*4))*Z8+MIN(4,MAX(0,(Y8/0.25)*4))*Z8)&gt;60,60+SQRT((MIN(38,38*EXP(-0.005*(IF(ISNUMBER(AC8),(INT(AC8)-1)*32+ROUND(MOD(AC8,1)*100,0),256)-1)))+MAX(MIN(T8/10,1),0)*8+MAX(MIN(O8/120,1),0)*5+(P8/10)*5+IF(S8&gt;=2.5,22,(S8/2.5)*22)+MIN(3,MAX(0,(1-(X8/10))*3))+IF(R8&gt;=0.28,13,(R8/0.28)*13)*Z8+MIN(6,MAX(0,(Q8/0.65)*6))*Z8+MIN(5,MAX(0,(U8/5)*5))*Z8+MIN(5,MAX(0,(V8/0.22)*5))*Z8+MIN(4,MAX(0,(W8/0.8)*4))*Z8+MIN(4,MAX(0,(Y8/0.25)*4))*Z8)-60)*4.8,(MIN(38,38*EXP(-0.005*(IF(ISNUMBER(AC8),(INT(AC8)-1)*32+ROUND(MOD(AC8,1)*100,0),256)-1)))+MAX(MIN(T8/10,1),0)*8+MAX(MIN(O8/120,1),0)*5+(P8/10)*5+IF(S8&gt;=2.5,22,(S8/2.5)*22)+MIN(3,MAX(0,(1-(X8/10))*3))+IF(R8&gt;=0.28,13,(R8/0.28)*13)*Z8+MIN(6,MAX(0,(Q8/0.65)*6))*Z8+MIN(5,MAX(0,(U8/5)*5))*Z8+MIN(5,MAX(0,(V8/0.22)*5))*Z8+MIN(4,MAX(0,(W8/0.8)*4))*Z8+MIN(4,MAX(0,(Y8/0.25)*4))*Z8)))*MAX(1,IFERROR(VALUE(AE8),1))),1))</f>
        <v>82</v>
      </c>
      <c r="AG8" s="388" t="str">
        <f t="shared" si="0"/>
        <v>TE1 Threat</v>
      </c>
      <c r="AH8" s="123"/>
    </row>
    <row r="9" spans="1:34" ht="15.75" customHeight="1" x14ac:dyDescent="0.3">
      <c r="A9" s="211" t="s">
        <v>96</v>
      </c>
      <c r="B9" s="212">
        <v>6.5</v>
      </c>
      <c r="C9" s="213" t="s">
        <v>201</v>
      </c>
      <c r="D9" s="212">
        <v>5.5</v>
      </c>
      <c r="E9" s="214">
        <f>IFERROR(VLOOKUP(A9,Vacancy_Calculator!$A$4:$D$35,4,FALSE()),0)</f>
        <v>0</v>
      </c>
      <c r="F9" s="399">
        <f t="shared" si="1"/>
        <v>0.9</v>
      </c>
      <c r="G9" s="211" t="str">
        <f t="shared" si="2"/>
        <v>Competition Risk</v>
      </c>
      <c r="H9" s="123"/>
      <c r="I9" s="462" t="s">
        <v>390</v>
      </c>
      <c r="J9" s="99">
        <v>76</v>
      </c>
      <c r="K9" s="340">
        <v>251</v>
      </c>
      <c r="L9" s="76">
        <v>37</v>
      </c>
      <c r="M9" s="72">
        <v>116</v>
      </c>
      <c r="N9" s="71">
        <v>4.57</v>
      </c>
      <c r="O9" s="395">
        <f>IFERROR(((K9*200)/(N9^4))*(1+((J9-76.5)/76.5))*(1+(((L9-33)/33)*0.1+((M9-115.5)/115.5)*0.1)),0)</f>
        <v>115.77354080549324</v>
      </c>
      <c r="P9" s="402">
        <v>9.4250000000000007</v>
      </c>
      <c r="Q9" s="396">
        <v>0.5625</v>
      </c>
      <c r="R9" s="396">
        <v>0.114</v>
      </c>
      <c r="S9" s="71">
        <v>1.3604000000000001</v>
      </c>
      <c r="T9" s="328">
        <v>8.5</v>
      </c>
      <c r="U9" s="302">
        <v>7.71</v>
      </c>
      <c r="V9" s="382">
        <v>9.2600000000000002E-2</v>
      </c>
      <c r="W9" s="382">
        <v>0.749</v>
      </c>
      <c r="X9" s="300">
        <v>6</v>
      </c>
      <c r="Y9" s="403">
        <v>0.16</v>
      </c>
      <c r="Z9" s="290">
        <v>1</v>
      </c>
      <c r="AA9" s="315">
        <f>ROUND(MIN(20,MAX(0,(T9/10)*20))+MIN(20,MAX(0,(O9/120)*20))+MIN(20,MAX(0,(S9/3)*20))+MIN(20,MAX(0,(Q9/0.7)*20))+MIN(10,MAX(0,(R9/0.25)*10))+MIN(10,MAX(0,(W9/0.8)*10)),1)</f>
        <v>75.400000000000006</v>
      </c>
      <c r="AB9" s="397">
        <f>ROUND(MIN(25,MAX(0,(R9/0.25)*25))+MIN(25,MAX(0,(S9/2.5)*25))+MIN(15,MAX(0,(U9/6)*15))+MIN(15,MAX(0,(V9/0.22)*15))+IF(ISNUMBER(AC9),MAX(0,20-((INT(AC9)-1)*32+ROUND(MOD(AC9,1)*100,0))*0.07),IF(LOWER(AC9)="udfa",3,10)),1)</f>
        <v>57</v>
      </c>
      <c r="AC9" s="398">
        <v>4.37</v>
      </c>
      <c r="AD9" s="398" t="s">
        <v>97</v>
      </c>
      <c r="AE9" s="387">
        <f>IF(AD9="","1.00",IFERROR(VLOOKUP(AD9,'TE Model Page'!$A:$F,6,FALSE()),1))</f>
        <v>1.05</v>
      </c>
      <c r="AF9" s="183">
        <f>IF(AND(LOWER(AC9)="udfa",OR(AD9="N/A",AD9="")),-999,ROUND(MIN(99.9,MAX(0,IF((MIN(38,38*EXP(-0.005*(IF(ISNUMBER(AC9),(INT(AC9)-1)*32+ROUND(MOD(AC9,1)*100,0),256)-1)))+MAX(MIN(T9/10,1),0)*8+MAX(MIN(O9/120,1),0)*5+(P9/10)*5+IF(S9&gt;=2.5,22,(S9/2.5)*22)+MIN(3,MAX(0,(1-(X9/10))*3))+IF(R9&gt;=0.28,13,(R9/0.28)*13)*Z9+MIN(6,MAX(0,(Q9/0.65)*6))*Z9+MIN(5,MAX(0,(U9/5)*5))*Z9+MIN(5,MAX(0,(V9/0.22)*5))*Z9+MIN(4,MAX(0,(W9/0.8)*4))*Z9+MIN(4,MAX(0,(Y9/0.25)*4))*Z9)&gt;60,60+SQRT((MIN(38,38*EXP(-0.005*(IF(ISNUMBER(AC9),(INT(AC9)-1)*32+ROUND(MOD(AC9,1)*100,0),256)-1)))+MAX(MIN(T9/10,1),0)*8+MAX(MIN(O9/120,1),0)*5+(P9/10)*5+IF(S9&gt;=2.5,22,(S9/2.5)*22)+MIN(3,MAX(0,(1-(X9/10))*3))+IF(R9&gt;=0.28,13,(R9/0.28)*13)*Z9+MIN(6,MAX(0,(Q9/0.65)*6))*Z9+MIN(5,MAX(0,(U9/5)*5))*Z9+MIN(5,MAX(0,(V9/0.22)*5))*Z9+MIN(4,MAX(0,(W9/0.8)*4))*Z9+MIN(4,MAX(0,(Y9/0.25)*4))*Z9)-60)*4.8,(MIN(38,38*EXP(-0.005*(IF(ISNUMBER(AC9),(INT(AC9)-1)*32+ROUND(MOD(AC9,1)*100,0),256)-1)))+MAX(MIN(T9/10,1),0)*8+MAX(MIN(O9/120,1),0)*5+(P9/10)*5+IF(S9&gt;=2.5,22,(S9/2.5)*22)+MIN(3,MAX(0,(1-(X9/10))*3))+IF(R9&gt;=0.28,13,(R9/0.28)*13)*Z9+MIN(6,MAX(0,(Q9/0.65)*6))*Z9+MIN(5,MAX(0,(U9/5)*5))*Z9+MIN(5,MAX(0,(V9/0.22)*5))*Z9+MIN(4,MAX(0,(W9/0.8)*4))*Z9+MIN(4,MAX(0,(Y9/0.25)*4))*Z9)))*MAX(1,IFERROR(VALUE(AE9),1))),1))</f>
        <v>81.2</v>
      </c>
      <c r="AG9" s="388" t="str">
        <f t="shared" si="0"/>
        <v>TE1 Threat</v>
      </c>
      <c r="AH9" s="123"/>
    </row>
    <row r="10" spans="1:34" ht="15.75" customHeight="1" x14ac:dyDescent="0.3">
      <c r="A10" s="211" t="s">
        <v>104</v>
      </c>
      <c r="B10" s="212">
        <v>7.5</v>
      </c>
      <c r="C10" s="213" t="s">
        <v>187</v>
      </c>
      <c r="D10" s="212">
        <v>6</v>
      </c>
      <c r="E10" s="214">
        <f>IFERROR(VLOOKUP(A10,Vacancy_Calculator!$A$4:$D$35,4,FALSE()),0)</f>
        <v>2</v>
      </c>
      <c r="F10" s="399">
        <f t="shared" si="1"/>
        <v>1</v>
      </c>
      <c r="G10" s="211" t="str">
        <f t="shared" si="2"/>
        <v>Neutral</v>
      </c>
      <c r="H10" s="123"/>
      <c r="I10" s="354" t="s">
        <v>391</v>
      </c>
      <c r="J10" s="99">
        <v>78</v>
      </c>
      <c r="K10" s="340">
        <v>248</v>
      </c>
      <c r="L10" s="76">
        <v>36</v>
      </c>
      <c r="M10" s="72">
        <v>117</v>
      </c>
      <c r="N10" s="71">
        <v>4.6100000000000003</v>
      </c>
      <c r="O10" s="395">
        <f>IFERROR(((K10*200)/(N10^4))*(1+((J10-76.5)/76.5))*(1+(((L10-33)/33)*0.1+((M10-115.5)/115.5)*0.1)),0)</f>
        <v>113.13579013344284</v>
      </c>
      <c r="P10" s="402">
        <v>9.25</v>
      </c>
      <c r="Q10" s="396">
        <v>0.3</v>
      </c>
      <c r="R10" s="396">
        <v>7.8799999999999995E-2</v>
      </c>
      <c r="S10" s="71">
        <v>1.2361</v>
      </c>
      <c r="T10" s="312">
        <v>8.1999999999999993</v>
      </c>
      <c r="U10" s="302">
        <v>4.78</v>
      </c>
      <c r="V10" s="382">
        <v>0.1011</v>
      </c>
      <c r="W10" s="382">
        <v>0.76800000000000002</v>
      </c>
      <c r="X10" s="300">
        <v>6.5</v>
      </c>
      <c r="Y10" s="403">
        <v>0.18</v>
      </c>
      <c r="Z10" s="290">
        <v>1</v>
      </c>
      <c r="AA10" s="315">
        <f>ROUND(MIN(20,MAX(0,(T10/10)*20))+MIN(20,MAX(0,(O10/120)*20))+MIN(20,MAX(0,(S10/3)*20))+MIN(20,MAX(0,(Q10/0.7)*20))+MIN(10,MAX(0,(R10/0.25)*10))+MIN(10,MAX(0,(W10/0.8)*10)),1)</f>
        <v>64.8</v>
      </c>
      <c r="AB10" s="397">
        <f>ROUND(MIN(25,MAX(0,(R10/0.25)*25))+MIN(25,MAX(0,(S10/2.5)*25))+MIN(15,MAX(0,(U10/6)*15))+MIN(15,MAX(0,(V10/0.22)*15))+IF(ISNUMBER(AC10),MAX(0,20-((INT(AC10)-1)*32+ROUND(MOD(AC10,1)*100,0))*0.07),IF(LOWER(AC10)="udfa",3,10)),1)</f>
        <v>55</v>
      </c>
      <c r="AC10" s="404">
        <v>2.27</v>
      </c>
      <c r="AD10" s="404" t="s">
        <v>121</v>
      </c>
      <c r="AE10" s="387">
        <f>IF(AD10="","1.00",IFERROR(VLOOKUP(AD10,'TE Model Page'!$A:$F,6,FALSE()),1))</f>
        <v>0.9</v>
      </c>
      <c r="AF10" s="183">
        <f>IF(AND(LOWER(AC10)="udfa",OR(AD10="N/A",AD10="")),-999,ROUND(MIN(99.9,MAX(0,IF((MIN(38,38*EXP(-0.005*(IF(ISNUMBER(AC10),(INT(AC10)-1)*32+ROUND(MOD(AC10,1)*100,0),256)-1)))+MAX(MIN(T10/10,1),0)*8+MAX(MIN(O10/120,1),0)*5+(P10/10)*5+IF(S10&gt;=2.5,22,(S10/2.5)*22)+MIN(3,MAX(0,(1-(X10/10))*3))+IF(R10&gt;=0.28,13,(R10/0.28)*13)*Z10+MIN(6,MAX(0,(Q10/0.65)*6))*Z10+MIN(5,MAX(0,(U10/5)*5))*Z10+MIN(5,MAX(0,(V10/0.22)*5))*Z10+MIN(4,MAX(0,(W10/0.8)*4))*Z10+MIN(4,MAX(0,(Y10/0.25)*4))*Z10)&gt;60,60+SQRT((MIN(38,38*EXP(-0.005*(IF(ISNUMBER(AC10),(INT(AC10)-1)*32+ROUND(MOD(AC10,1)*100,0),256)-1)))+MAX(MIN(T10/10,1),0)*8+MAX(MIN(O10/120,1),0)*5+(P10/10)*5+IF(S10&gt;=2.5,22,(S10/2.5)*22)+MIN(3,MAX(0,(1-(X10/10))*3))+IF(R10&gt;=0.28,13,(R10/0.28)*13)*Z10+MIN(6,MAX(0,(Q10/0.65)*6))*Z10+MIN(5,MAX(0,(U10/5)*5))*Z10+MIN(5,MAX(0,(V10/0.22)*5))*Z10+MIN(4,MAX(0,(W10/0.8)*4))*Z10+MIN(4,MAX(0,(Y10/0.25)*4))*Z10)-60)*4.8,(MIN(38,38*EXP(-0.005*(IF(ISNUMBER(AC10),(INT(AC10)-1)*32+ROUND(MOD(AC10,1)*100,0),256)-1)))+MAX(MIN(T10/10,1),0)*8+MAX(MIN(O10/120,1),0)*5+(P10/10)*5+IF(S10&gt;=2.5,22,(S10/2.5)*22)+MIN(3,MAX(0,(1-(X10/10))*3))+IF(R10&gt;=0.28,13,(R10/0.28)*13)*Z10+MIN(6,MAX(0,(Q10/0.65)*6))*Z10+MIN(5,MAX(0,(U10/5)*5))*Z10+MIN(5,MAX(0,(V10/0.22)*5))*Z10+MIN(4,MAX(0,(W10/0.8)*4))*Z10+MIN(4,MAX(0,(Y10/0.25)*4))*Z10)))*MAX(1,IFERROR(VALUE(AE10),1))),1))</f>
        <v>79.5</v>
      </c>
      <c r="AG10" s="388" t="str">
        <f t="shared" si="0"/>
        <v>TE1 Threat</v>
      </c>
      <c r="AH10" s="123"/>
    </row>
    <row r="11" spans="1:34" ht="15.75" customHeight="1" x14ac:dyDescent="0.3">
      <c r="A11" s="211" t="s">
        <v>107</v>
      </c>
      <c r="B11" s="212">
        <v>5</v>
      </c>
      <c r="C11" s="213" t="s">
        <v>197</v>
      </c>
      <c r="D11" s="212">
        <v>7.5</v>
      </c>
      <c r="E11" s="214">
        <f>IFERROR(VLOOKUP(A11,Vacancy_Calculator!$A$4:$D$35,4,FALSE()),0)</f>
        <v>4</v>
      </c>
      <c r="F11" s="399">
        <f t="shared" si="1"/>
        <v>1</v>
      </c>
      <c r="G11" s="211" t="str">
        <f t="shared" si="2"/>
        <v>Neutral</v>
      </c>
      <c r="H11" s="123"/>
      <c r="I11" s="354" t="s">
        <v>392</v>
      </c>
      <c r="J11" s="99">
        <v>77.5</v>
      </c>
      <c r="K11" s="340">
        <v>245</v>
      </c>
      <c r="L11" s="94">
        <v>31</v>
      </c>
      <c r="M11" s="340">
        <v>112</v>
      </c>
      <c r="N11" s="99">
        <v>4.78</v>
      </c>
      <c r="O11" s="395">
        <f>IFERROR(((K11*200)/(N11^4))*(1+((J11-76.5)/76.5))*(1+(((L11-33)/33)*0.1+((M11-115.5)/115.5)*0.1)),0)</f>
        <v>94.223357096824742</v>
      </c>
      <c r="P11" s="402">
        <v>10.5</v>
      </c>
      <c r="Q11" s="396">
        <v>0.6</v>
      </c>
      <c r="R11" s="396">
        <v>4.9000000000000002E-2</v>
      </c>
      <c r="S11" s="71">
        <v>1.0452999999999999</v>
      </c>
      <c r="T11" s="328">
        <v>7.4</v>
      </c>
      <c r="U11" s="302">
        <v>4.92</v>
      </c>
      <c r="V11" s="382">
        <v>3.73E-2</v>
      </c>
      <c r="W11" s="382">
        <v>0.73780000000000001</v>
      </c>
      <c r="X11" s="383">
        <v>6.5</v>
      </c>
      <c r="Y11" s="384">
        <v>0.15</v>
      </c>
      <c r="Z11" s="290">
        <v>1</v>
      </c>
      <c r="AA11" s="315">
        <f>ROUND(MIN(20,MAX(0,(T11/10)*20))+MIN(20,MAX(0,(O11/120)*20))+MIN(20,MAX(0,(S11/3)*20))+MIN(20,MAX(0,(Q11/0.7)*20))+MIN(10,MAX(0,(R11/0.25)*10))+MIN(10,MAX(0,(W11/0.8)*10)),1)</f>
        <v>65.8</v>
      </c>
      <c r="AB11" s="397">
        <f>ROUND(MIN(25,MAX(0,(R11/0.25)*25))+MIN(25,MAX(0,(S11/2.5)*25))+MIN(15,MAX(0,(U11/6)*15))+MIN(15,MAX(0,(V11/0.22)*15))+IF(ISNUMBER(AC11),MAX(0,20-((INT(AC11)-1)*32+ROUND(MOD(AC11,1)*100,0))*0.07),IF(LOWER(AC11)="udfa",3,10)),1)</f>
        <v>46.3</v>
      </c>
      <c r="AC11" s="395">
        <v>2.2400000000000002</v>
      </c>
      <c r="AD11" s="395" t="s">
        <v>127</v>
      </c>
      <c r="AE11" s="387">
        <f>IF(AD11="","1.00",IFERROR(VLOOKUP(AD11,'TE Model Page'!$A:$F,6,FALSE()),1))</f>
        <v>0.9</v>
      </c>
      <c r="AF11" s="183">
        <f>IF(AND(LOWER(AC11)="udfa",OR(AD11="N/A",AD11="")),-999,ROUND(MIN(99.9,MAX(0,IF((MIN(38,38*EXP(-0.005*(IF(ISNUMBER(AC11),(INT(AC11)-1)*32+ROUND(MOD(AC11,1)*100,0),256)-1)))+MAX(MIN(T11/10,1),0)*8+MAX(MIN(O11/120,1),0)*5+(P11/10)*5+IF(S11&gt;=2.5,22,(S11/2.5)*22)+MIN(3,MAX(0,(1-(X11/10))*3))+IF(R11&gt;=0.28,13,(R11/0.28)*13)*Z11+MIN(6,MAX(0,(Q11/0.65)*6))*Z11+MIN(5,MAX(0,(U11/5)*5))*Z11+MIN(5,MAX(0,(V11/0.22)*5))*Z11+MIN(4,MAX(0,(W11/0.8)*4))*Z11+MIN(4,MAX(0,(Y11/0.25)*4))*Z11)&gt;60,60+SQRT((MIN(38,38*EXP(-0.005*(IF(ISNUMBER(AC11),(INT(AC11)-1)*32+ROUND(MOD(AC11,1)*100,0),256)-1)))+MAX(MIN(T11/10,1),0)*8+MAX(MIN(O11/120,1),0)*5+(P11/10)*5+IF(S11&gt;=2.5,22,(S11/2.5)*22)+MIN(3,MAX(0,(1-(X11/10))*3))+IF(R11&gt;=0.28,13,(R11/0.28)*13)*Z11+MIN(6,MAX(0,(Q11/0.65)*6))*Z11+MIN(5,MAX(0,(U11/5)*5))*Z11+MIN(5,MAX(0,(V11/0.22)*5))*Z11+MIN(4,MAX(0,(W11/0.8)*4))*Z11+MIN(4,MAX(0,(Y11/0.25)*4))*Z11)-60)*4.8,(MIN(38,38*EXP(-0.005*(IF(ISNUMBER(AC11),(INT(AC11)-1)*32+ROUND(MOD(AC11,1)*100,0),256)-1)))+MAX(MIN(T11/10,1),0)*8+MAX(MIN(O11/120,1),0)*5+(P11/10)*5+IF(S11&gt;=2.5,22,(S11/2.5)*22)+MIN(3,MAX(0,(1-(X11/10))*3))+IF(R11&gt;=0.28,13,(R11/0.28)*13)*Z11+MIN(6,MAX(0,(Q11/0.65)*6))*Z11+MIN(5,MAX(0,(U11/5)*5))*Z11+MIN(5,MAX(0,(V11/0.22)*5))*Z11+MIN(4,MAX(0,(W11/0.8)*4))*Z11+MIN(4,MAX(0,(Y11/0.25)*4))*Z11)))*MAX(1,IFERROR(VALUE(AE11),1))),1))</f>
        <v>77.900000000000006</v>
      </c>
      <c r="AG11" s="388" t="str">
        <f t="shared" si="0"/>
        <v>TE1 Threat</v>
      </c>
      <c r="AH11" s="123"/>
    </row>
    <row r="12" spans="1:34" ht="15.75" customHeight="1" x14ac:dyDescent="0.3">
      <c r="A12" s="211" t="s">
        <v>109</v>
      </c>
      <c r="B12" s="212">
        <v>6</v>
      </c>
      <c r="C12" s="213" t="s">
        <v>201</v>
      </c>
      <c r="D12" s="212">
        <v>6</v>
      </c>
      <c r="E12" s="214">
        <f>IFERROR(VLOOKUP(A12,Vacancy_Calculator!$A$4:$D$35,4,FALSE()),0)</f>
        <v>4</v>
      </c>
      <c r="F12" s="399">
        <f t="shared" si="1"/>
        <v>1</v>
      </c>
      <c r="G12" s="211" t="str">
        <f t="shared" si="2"/>
        <v>Neutral</v>
      </c>
      <c r="H12" s="123"/>
      <c r="I12" s="354" t="s">
        <v>393</v>
      </c>
      <c r="J12" s="99">
        <v>75</v>
      </c>
      <c r="K12" s="340">
        <v>245</v>
      </c>
      <c r="L12" s="76">
        <v>34</v>
      </c>
      <c r="M12" s="72">
        <v>118</v>
      </c>
      <c r="N12" s="71">
        <v>4.6500000000000004</v>
      </c>
      <c r="O12" s="395">
        <f>IFERROR(((K12*200)/(N12^4))*(1+((J12-76.5)/76.5))*(1+(((L12-33)/33)*0.1+((M12-115.5)/115.5)*0.1)),0)</f>
        <v>103.28430517225864</v>
      </c>
      <c r="P12" s="402">
        <v>9.625</v>
      </c>
      <c r="Q12" s="396">
        <v>0.625</v>
      </c>
      <c r="R12" s="396">
        <v>8.8499999999999995E-2</v>
      </c>
      <c r="S12" s="71">
        <v>1.4103000000000001</v>
      </c>
      <c r="T12" s="312">
        <v>7.9</v>
      </c>
      <c r="U12" s="302">
        <v>6.13</v>
      </c>
      <c r="V12" s="382">
        <v>7.4300000000000005E-2</v>
      </c>
      <c r="W12" s="382">
        <v>0.86770000000000003</v>
      </c>
      <c r="X12" s="383">
        <v>6.5</v>
      </c>
      <c r="Y12" s="384">
        <v>0.18</v>
      </c>
      <c r="Z12" s="290">
        <v>1</v>
      </c>
      <c r="AA12" s="315">
        <f>ROUND(MIN(20,MAX(0,(T12/10)*20))+MIN(20,MAX(0,(O12/120)*20))+MIN(20,MAX(0,(S12/3)*20))+MIN(20,MAX(0,(Q12/0.7)*20))+MIN(10,MAX(0,(R12/0.25)*10))+MIN(10,MAX(0,(W12/0.8)*10)),1)</f>
        <v>73.8</v>
      </c>
      <c r="AB12" s="397">
        <f>ROUND(MIN(25,MAX(0,(R12/0.25)*25))+MIN(25,MAX(0,(S12/2.5)*25))+MIN(15,MAX(0,(U12/6)*15))+MIN(15,MAX(0,(V12/0.22)*15))+IF(ISNUMBER(AC12),MAX(0,20-((INT(AC12)-1)*32+ROUND(MOD(AC12,1)*100,0))*0.07),IF(LOWER(AC12)="udfa",3,10)),1)</f>
        <v>50.9</v>
      </c>
      <c r="AC12" s="398">
        <v>6.13</v>
      </c>
      <c r="AD12" s="398" t="s">
        <v>97</v>
      </c>
      <c r="AE12" s="387">
        <f>IF(AD12="","1.00",IFERROR(VLOOKUP(AD12,'TE Model Page'!$A:$F,6,FALSE()),1))</f>
        <v>1.05</v>
      </c>
      <c r="AF12" s="183">
        <f>IF(AND(LOWER(AC12)="udfa",OR(AD12="N/A",AD12="")),-999,ROUND(MIN(99.9,MAX(0,IF((MIN(38,38*EXP(-0.005*(IF(ISNUMBER(AC12),(INT(AC12)-1)*32+ROUND(MOD(AC12,1)*100,0),256)-1)))+MAX(MIN(T12/10,1),0)*8+MAX(MIN(O12/120,1),0)*5+(P12/10)*5+IF(S12&gt;=2.5,22,(S12/2.5)*22)+MIN(3,MAX(0,(1-(X12/10))*3))+IF(R12&gt;=0.28,13,(R12/0.28)*13)*Z12+MIN(6,MAX(0,(Q12/0.65)*6))*Z12+MIN(5,MAX(0,(U12/5)*5))*Z12+MIN(5,MAX(0,(V12/0.22)*5))*Z12+MIN(4,MAX(0,(W12/0.8)*4))*Z12+MIN(4,MAX(0,(Y12/0.25)*4))*Z12)&gt;60,60+SQRT((MIN(38,38*EXP(-0.005*(IF(ISNUMBER(AC12),(INT(AC12)-1)*32+ROUND(MOD(AC12,1)*100,0),256)-1)))+MAX(MIN(T12/10,1),0)*8+MAX(MIN(O12/120,1),0)*5+(P12/10)*5+IF(S12&gt;=2.5,22,(S12/2.5)*22)+MIN(3,MAX(0,(1-(X12/10))*3))+IF(R12&gt;=0.28,13,(R12/0.28)*13)*Z12+MIN(6,MAX(0,(Q12/0.65)*6))*Z12+MIN(5,MAX(0,(U12/5)*5))*Z12+MIN(5,MAX(0,(V12/0.22)*5))*Z12+MIN(4,MAX(0,(W12/0.8)*4))*Z12+MIN(4,MAX(0,(Y12/0.25)*4))*Z12)-60)*4.8,(MIN(38,38*EXP(-0.005*(IF(ISNUMBER(AC12),(INT(AC12)-1)*32+ROUND(MOD(AC12,1)*100,0),256)-1)))+MAX(MIN(T12/10,1),0)*8+MAX(MIN(O12/120,1),0)*5+(P12/10)*5+IF(S12&gt;=2.5,22,(S12/2.5)*22)+MIN(3,MAX(0,(1-(X12/10))*3))+IF(R12&gt;=0.28,13,(R12/0.28)*13)*Z12+MIN(6,MAX(0,(Q12/0.65)*6))*Z12+MIN(5,MAX(0,(U12/5)*5))*Z12+MIN(5,MAX(0,(V12/0.22)*5))*Z12+MIN(4,MAX(0,(W12/0.8)*4))*Z12+MIN(4,MAX(0,(Y12/0.25)*4))*Z12)))*MAX(1,IFERROR(VALUE(AE12),1))),1))</f>
        <v>77.599999999999994</v>
      </c>
      <c r="AG12" s="388" t="str">
        <f t="shared" si="0"/>
        <v>TE1 Threat</v>
      </c>
      <c r="AH12" s="123"/>
    </row>
    <row r="13" spans="1:34" ht="15.75" customHeight="1" x14ac:dyDescent="0.3">
      <c r="A13" s="211" t="s">
        <v>112</v>
      </c>
      <c r="B13" s="212">
        <v>7.5</v>
      </c>
      <c r="C13" s="213" t="s">
        <v>187</v>
      </c>
      <c r="D13" s="212">
        <v>6.5</v>
      </c>
      <c r="E13" s="214">
        <f>IFERROR(VLOOKUP(A13,Vacancy_Calculator!$A$4:$D$35,4,FALSE()),0)</f>
        <v>0</v>
      </c>
      <c r="F13" s="399">
        <f t="shared" si="1"/>
        <v>0.9</v>
      </c>
      <c r="G13" s="211" t="str">
        <f t="shared" si="2"/>
        <v>Competition Risk</v>
      </c>
      <c r="H13" s="123"/>
      <c r="I13" s="354" t="s">
        <v>394</v>
      </c>
      <c r="J13" s="71">
        <v>76</v>
      </c>
      <c r="K13" s="72">
        <v>240</v>
      </c>
      <c r="L13" s="94">
        <v>35</v>
      </c>
      <c r="M13" s="346">
        <v>122</v>
      </c>
      <c r="N13" s="99">
        <v>4.7</v>
      </c>
      <c r="O13" s="395">
        <f>IFERROR(((K13*200)/(N13^4))*(1+((J13-76.5)/76.5))*(1+(((L13-33)/33)*0.1+((M13-115.5)/115.5)*0.1)),0)</f>
        <v>98.866394236690653</v>
      </c>
      <c r="P13" s="77">
        <v>10.5</v>
      </c>
      <c r="Q13" s="396">
        <v>0.4138</v>
      </c>
      <c r="R13" s="396">
        <v>0.15029999999999999</v>
      </c>
      <c r="S13" s="71">
        <v>2.0413999999999999</v>
      </c>
      <c r="T13" s="312">
        <v>8.8000000000000007</v>
      </c>
      <c r="U13" s="302">
        <v>5.08</v>
      </c>
      <c r="V13" s="382">
        <v>0.14960000000000001</v>
      </c>
      <c r="W13" s="382">
        <v>0.8085</v>
      </c>
      <c r="X13" s="383">
        <v>5</v>
      </c>
      <c r="Y13" s="384">
        <v>0.22</v>
      </c>
      <c r="Z13" s="290">
        <v>1</v>
      </c>
      <c r="AA13" s="315">
        <f>ROUND(MIN(20,MAX(0,(T13/10)*20))+MIN(20,MAX(0,(O13/120)*20))+MIN(20,MAX(0,(S13/3)*20))+MIN(20,MAX(0,(Q13/0.7)*20))+MIN(10,MAX(0,(R13/0.25)*10))+MIN(10,MAX(0,(W13/0.8)*10)),1)</f>
        <v>75.5</v>
      </c>
      <c r="AB13" s="397">
        <f>ROUND(MIN(25,MAX(0,(R13/0.25)*25))+MIN(25,MAX(0,(S13/2.5)*25))+MIN(15,MAX(0,(U13/6)*15))+MIN(15,MAX(0,(V13/0.22)*15))+IF(ISNUMBER(AC13),MAX(0,20-((INT(AC13)-1)*32+ROUND(MOD(AC13,1)*100,0))*0.07),IF(LOWER(AC13)="udfa",3,10)),1)</f>
        <v>61.3</v>
      </c>
      <c r="AC13" s="395" t="s">
        <v>95</v>
      </c>
      <c r="AD13" s="395" t="s">
        <v>112</v>
      </c>
      <c r="AE13" s="387">
        <f>IF(AD13="","1.00",IFERROR(VLOOKUP(AD13,'TE Model Page'!$A:$F,6,FALSE()),1))</f>
        <v>0.9</v>
      </c>
      <c r="AF13" s="183">
        <f>IF(AND(LOWER(AC13)="udfa",OR(AD13="N/A",AD13="")),-999,ROUND(MIN(99.9,MAX(0,IF((MIN(38,38*EXP(-0.005*(IF(ISNUMBER(AC13),(INT(AC13)-1)*32+ROUND(MOD(AC13,1)*100,0),256)-1)))+MAX(MIN(T13/10,1),0)*8+MAX(MIN(O13/120,1),0)*5+(P13/10)*5+IF(S13&gt;=2.5,22,(S13/2.5)*22)+MIN(3,MAX(0,(1-(X13/10))*3))+IF(R13&gt;=0.28,13,(R13/0.28)*13)*Z13+MIN(6,MAX(0,(Q13/0.65)*6))*Z13+MIN(5,MAX(0,(U13/5)*5))*Z13+MIN(5,MAX(0,(V13/0.22)*5))*Z13+MIN(4,MAX(0,(W13/0.8)*4))*Z13+MIN(4,MAX(0,(Y13/0.25)*4))*Z13)&gt;60,60+SQRT((MIN(38,38*EXP(-0.005*(IF(ISNUMBER(AC13),(INT(AC13)-1)*32+ROUND(MOD(AC13,1)*100,0),256)-1)))+MAX(MIN(T13/10,1),0)*8+MAX(MIN(O13/120,1),0)*5+(P13/10)*5+IF(S13&gt;=2.5,22,(S13/2.5)*22)+MIN(3,MAX(0,(1-(X13/10))*3))+IF(R13&gt;=0.28,13,(R13/0.28)*13)*Z13+MIN(6,MAX(0,(Q13/0.65)*6))*Z13+MIN(5,MAX(0,(U13/5)*5))*Z13+MIN(5,MAX(0,(V13/0.22)*5))*Z13+MIN(4,MAX(0,(W13/0.8)*4))*Z13+MIN(4,MAX(0,(Y13/0.25)*4))*Z13)-60)*4.8,(MIN(38,38*EXP(-0.005*(IF(ISNUMBER(AC13),(INT(AC13)-1)*32+ROUND(MOD(AC13,1)*100,0),256)-1)))+MAX(MIN(T13/10,1),0)*8+MAX(MIN(O13/120,1),0)*5+(P13/10)*5+IF(S13&gt;=2.5,22,(S13/2.5)*22)+MIN(3,MAX(0,(1-(X13/10))*3))+IF(R13&gt;=0.28,13,(R13/0.28)*13)*Z13+MIN(6,MAX(0,(Q13/0.65)*6))*Z13+MIN(5,MAX(0,(U13/5)*5))*Z13+MIN(5,MAX(0,(V13/0.22)*5))*Z13+MIN(4,MAX(0,(W13/0.8)*4))*Z13+MIN(4,MAX(0,(Y13/0.25)*4))*Z13)))*MAX(1,IFERROR(VALUE(AE13),1))),1))</f>
        <v>77.400000000000006</v>
      </c>
      <c r="AG13" s="388" t="str">
        <f t="shared" si="0"/>
        <v>TE1 Threat</v>
      </c>
      <c r="AH13" s="123"/>
    </row>
    <row r="14" spans="1:34" ht="15.75" customHeight="1" x14ac:dyDescent="0.3">
      <c r="A14" s="211" t="s">
        <v>115</v>
      </c>
      <c r="B14" s="212">
        <v>8</v>
      </c>
      <c r="C14" s="213" t="s">
        <v>187</v>
      </c>
      <c r="D14" s="212">
        <v>6.5</v>
      </c>
      <c r="E14" s="214">
        <f>IFERROR(VLOOKUP(A14,Vacancy_Calculator!$A$4:$D$35,4,FALSE()),0)</f>
        <v>0</v>
      </c>
      <c r="F14" s="399">
        <f t="shared" si="1"/>
        <v>0.9</v>
      </c>
      <c r="G14" s="211" t="str">
        <f t="shared" si="2"/>
        <v>Competition Risk</v>
      </c>
      <c r="H14" s="123"/>
      <c r="I14" s="354" t="s">
        <v>395</v>
      </c>
      <c r="J14" s="71">
        <v>74</v>
      </c>
      <c r="K14" s="72">
        <v>234</v>
      </c>
      <c r="L14" s="76">
        <v>36</v>
      </c>
      <c r="M14" s="72">
        <v>119</v>
      </c>
      <c r="N14" s="71">
        <v>4.5199999999999996</v>
      </c>
      <c r="O14" s="395">
        <f>IFERROR(((K14*200)/(N14^4))*(1+((J14-76.5)/76.5))*(1+(((L14-33)/33)*0.1+((M14-115.5)/115.5)*0.1)),0)</f>
        <v>109.7728463420261</v>
      </c>
      <c r="P14" s="77">
        <v>9.375</v>
      </c>
      <c r="Q14" s="396">
        <v>0.5</v>
      </c>
      <c r="R14" s="396">
        <v>0.15570000000000001</v>
      </c>
      <c r="S14" s="71">
        <v>1.7263999999999999</v>
      </c>
      <c r="T14" s="312">
        <v>9.8000000000000007</v>
      </c>
      <c r="U14" s="302">
        <v>6</v>
      </c>
      <c r="V14" s="382">
        <v>0.1421</v>
      </c>
      <c r="W14" s="382">
        <v>0.82930000000000004</v>
      </c>
      <c r="X14" s="383">
        <v>5.5</v>
      </c>
      <c r="Y14" s="384">
        <v>0.18</v>
      </c>
      <c r="Z14" s="290">
        <v>1</v>
      </c>
      <c r="AA14" s="315">
        <f>ROUND(MIN(20,MAX(0,(T14/10)*20))+MIN(20,MAX(0,(O14/120)*20))+MIN(20,MAX(0,(S14/3)*20))+MIN(20,MAX(0,(Q14/0.7)*20))+MIN(10,MAX(0,(R14/0.25)*10))+MIN(10,MAX(0,(W14/0.8)*10)),1)</f>
        <v>79.900000000000006</v>
      </c>
      <c r="AB14" s="397">
        <f>ROUND(MIN(25,MAX(0,(R14/0.25)*25))+MIN(25,MAX(0,(S14/2.5)*25))+MIN(15,MAX(0,(U14/6)*15))+MIN(15,MAX(0,(V14/0.22)*15))+IF(ISNUMBER(AC14),MAX(0,20-((INT(AC14)-1)*32+ROUND(MOD(AC14,1)*100,0))*0.07),IF(LOWER(AC14)="udfa",3,10)),1)</f>
        <v>61.8</v>
      </c>
      <c r="AC14" s="404">
        <v>7.33</v>
      </c>
      <c r="AD14" s="404" t="s">
        <v>142</v>
      </c>
      <c r="AE14" s="387">
        <f>IF(AD14="","1.00",IFERROR(VLOOKUP(AD14,'TE Model Page'!$A:$F,6,FALSE()),1))</f>
        <v>1</v>
      </c>
      <c r="AF14" s="183">
        <f>IF(AND(LOWER(AC14)="udfa",OR(AD14="N/A",AD14="")),-999,ROUND(MIN(99.9,MAX(0,IF((MIN(38,38*EXP(-0.005*(IF(ISNUMBER(AC14),(INT(AC14)-1)*32+ROUND(MOD(AC14,1)*100,0),256)-1)))+MAX(MIN(T14/10,1),0)*8+MAX(MIN(O14/120,1),0)*5+(P14/10)*5+IF(S14&gt;=2.5,22,(S14/2.5)*22)+MIN(3,MAX(0,(1-(X14/10))*3))+IF(R14&gt;=0.28,13,(R14/0.28)*13)*Z14+MIN(6,MAX(0,(Q14/0.65)*6))*Z14+MIN(5,MAX(0,(U14/5)*5))*Z14+MIN(5,MAX(0,(V14/0.22)*5))*Z14+MIN(4,MAX(0,(W14/0.8)*4))*Z14+MIN(4,MAX(0,(Y14/0.25)*4))*Z14)&gt;60,60+SQRT((MIN(38,38*EXP(-0.005*(IF(ISNUMBER(AC14),(INT(AC14)-1)*32+ROUND(MOD(AC14,1)*100,0),256)-1)))+MAX(MIN(T14/10,1),0)*8+MAX(MIN(O14/120,1),0)*5+(P14/10)*5+IF(S14&gt;=2.5,22,(S14/2.5)*22)+MIN(3,MAX(0,(1-(X14/10))*3))+IF(R14&gt;=0.28,13,(R14/0.28)*13)*Z14+MIN(6,MAX(0,(Q14/0.65)*6))*Z14+MIN(5,MAX(0,(U14/5)*5))*Z14+MIN(5,MAX(0,(V14/0.22)*5))*Z14+MIN(4,MAX(0,(W14/0.8)*4))*Z14+MIN(4,MAX(0,(Y14/0.25)*4))*Z14)-60)*4.8,(MIN(38,38*EXP(-0.005*(IF(ISNUMBER(AC14),(INT(AC14)-1)*32+ROUND(MOD(AC14,1)*100,0),256)-1)))+MAX(MIN(T14/10,1),0)*8+MAX(MIN(O14/120,1),0)*5+(P14/10)*5+IF(S14&gt;=2.5,22,(S14/2.5)*22)+MIN(3,MAX(0,(1-(X14/10))*3))+IF(R14&gt;=0.28,13,(R14/0.28)*13)*Z14+MIN(6,MAX(0,(Q14/0.65)*6))*Z14+MIN(5,MAX(0,(U14/5)*5))*Z14+MIN(5,MAX(0,(V14/0.22)*5))*Z14+MIN(4,MAX(0,(W14/0.8)*4))*Z14+MIN(4,MAX(0,(Y14/0.25)*4))*Z14)))*MAX(1,IFERROR(VALUE(AE14),1))),1))</f>
        <v>77.3</v>
      </c>
      <c r="AG14" s="388" t="str">
        <f t="shared" si="0"/>
        <v>TE1 Threat</v>
      </c>
      <c r="AH14" s="123"/>
    </row>
    <row r="15" spans="1:34" ht="15.75" customHeight="1" x14ac:dyDescent="0.3">
      <c r="A15" s="211" t="s">
        <v>111</v>
      </c>
      <c r="B15" s="212">
        <v>9</v>
      </c>
      <c r="C15" s="213" t="s">
        <v>201</v>
      </c>
      <c r="D15" s="212">
        <v>7.5</v>
      </c>
      <c r="E15" s="214">
        <f>IFERROR(VLOOKUP(A15,Vacancy_Calculator!$A$4:$D$35,4,FALSE()),0)</f>
        <v>2</v>
      </c>
      <c r="F15" s="399">
        <f t="shared" si="1"/>
        <v>1</v>
      </c>
      <c r="G15" s="211" t="str">
        <f t="shared" si="2"/>
        <v>Neutral</v>
      </c>
      <c r="H15" s="123"/>
      <c r="I15" s="354" t="s">
        <v>396</v>
      </c>
      <c r="J15" s="71">
        <v>77</v>
      </c>
      <c r="K15" s="72">
        <v>245</v>
      </c>
      <c r="L15" s="347">
        <v>33</v>
      </c>
      <c r="M15" s="346">
        <v>118</v>
      </c>
      <c r="N15" s="99">
        <v>4.6500000000000004</v>
      </c>
      <c r="O15" s="395">
        <f>IFERROR(((K15*200)/(N15^4))*(1+((J15-76.5)/76.5))*(1+(((L15-33)/33)*0.1+((M15-115.5)/115.5)*0.1)),0)</f>
        <v>105.71888497548647</v>
      </c>
      <c r="P15" s="77">
        <v>9.5</v>
      </c>
      <c r="Q15" s="396">
        <v>0.1111</v>
      </c>
      <c r="R15" s="396">
        <v>7.5600000000000001E-2</v>
      </c>
      <c r="S15" s="71">
        <v>1.1755</v>
      </c>
      <c r="T15" s="328">
        <v>9</v>
      </c>
      <c r="U15" s="302">
        <v>7.54</v>
      </c>
      <c r="V15" s="382">
        <v>6.7699999999999996E-2</v>
      </c>
      <c r="W15" s="382">
        <v>0.72050000000000003</v>
      </c>
      <c r="X15" s="383">
        <v>7</v>
      </c>
      <c r="Y15" s="384">
        <v>0.18</v>
      </c>
      <c r="Z15" s="290">
        <v>1</v>
      </c>
      <c r="AA15" s="315">
        <f>ROUND(MIN(20,MAX(0,(T15/10)*20))+MIN(20,MAX(0,(O15/120)*20))+MIN(20,MAX(0,(S15/3)*20))+MIN(20,MAX(0,(Q15/0.7)*20))+MIN(10,MAX(0,(R15/0.25)*10))+MIN(10,MAX(0,(W15/0.8)*10)),1)</f>
        <v>58.7</v>
      </c>
      <c r="AB15" s="397">
        <f>ROUND(MIN(25,MAX(0,(R15/0.25)*25))+MIN(25,MAX(0,(S15/2.5)*25))+MIN(15,MAX(0,(U15/6)*15))+MIN(15,MAX(0,(V15/0.22)*15))+IF(ISNUMBER(AC15),MAX(0,20-((INT(AC15)-1)*32+ROUND(MOD(AC15,1)*100,0))*0.07),IF(LOWER(AC15)="udfa",3,10)),1)</f>
        <v>53.8</v>
      </c>
      <c r="AC15" s="395">
        <v>3.09</v>
      </c>
      <c r="AD15" s="395" t="s">
        <v>138</v>
      </c>
      <c r="AE15" s="387">
        <f>IF(AD15="","1.00",IFERROR(VLOOKUP(AD15,'TE Model Page'!$A:$F,6,FALSE()),1))</f>
        <v>0.9</v>
      </c>
      <c r="AF15" s="183">
        <f>IF(AND(LOWER(AC15)="udfa",OR(AD15="N/A",AD15="")),-999,ROUND(MIN(99.9,MAX(0,IF((MIN(38,38*EXP(-0.005*(IF(ISNUMBER(AC15),(INT(AC15)-1)*32+ROUND(MOD(AC15,1)*100,0),256)-1)))+MAX(MIN(T15/10,1),0)*8+MAX(MIN(O15/120,1),0)*5+(P15/10)*5+IF(S15&gt;=2.5,22,(S15/2.5)*22)+MIN(3,MAX(0,(1-(X15/10))*3))+IF(R15&gt;=0.28,13,(R15/0.28)*13)*Z15+MIN(6,MAX(0,(Q15/0.65)*6))*Z15+MIN(5,MAX(0,(U15/5)*5))*Z15+MIN(5,MAX(0,(V15/0.22)*5))*Z15+MIN(4,MAX(0,(W15/0.8)*4))*Z15+MIN(4,MAX(0,(Y15/0.25)*4))*Z15)&gt;60,60+SQRT((MIN(38,38*EXP(-0.005*(IF(ISNUMBER(AC15),(INT(AC15)-1)*32+ROUND(MOD(AC15,1)*100,0),256)-1)))+MAX(MIN(T15/10,1),0)*8+MAX(MIN(O15/120,1),0)*5+(P15/10)*5+IF(S15&gt;=2.5,22,(S15/2.5)*22)+MIN(3,MAX(0,(1-(X15/10))*3))+IF(R15&gt;=0.28,13,(R15/0.28)*13)*Z15+MIN(6,MAX(0,(Q15/0.65)*6))*Z15+MIN(5,MAX(0,(U15/5)*5))*Z15+MIN(5,MAX(0,(V15/0.22)*5))*Z15+MIN(4,MAX(0,(W15/0.8)*4))*Z15+MIN(4,MAX(0,(Y15/0.25)*4))*Z15)-60)*4.8,(MIN(38,38*EXP(-0.005*(IF(ISNUMBER(AC15),(INT(AC15)-1)*32+ROUND(MOD(AC15,1)*100,0),256)-1)))+MAX(MIN(T15/10,1),0)*8+MAX(MIN(O15/120,1),0)*5+(P15/10)*5+IF(S15&gt;=2.5,22,(S15/2.5)*22)+MIN(3,MAX(0,(1-(X15/10))*3))+IF(R15&gt;=0.28,13,(R15/0.28)*13)*Z15+MIN(6,MAX(0,(Q15/0.65)*6))*Z15+MIN(5,MAX(0,(U15/5)*5))*Z15+MIN(5,MAX(0,(V15/0.22)*5))*Z15+MIN(4,MAX(0,(W15/0.8)*4))*Z15+MIN(4,MAX(0,(Y15/0.25)*4))*Z15)))*MAX(1,IFERROR(VALUE(AE15),1))),1))</f>
        <v>76.400000000000006</v>
      </c>
      <c r="AG15" s="388" t="str">
        <f t="shared" si="0"/>
        <v>Stash</v>
      </c>
      <c r="AH15" s="123"/>
    </row>
    <row r="16" spans="1:34" ht="15.75" customHeight="1" x14ac:dyDescent="0.3">
      <c r="A16" s="211" t="s">
        <v>118</v>
      </c>
      <c r="B16" s="212">
        <v>7</v>
      </c>
      <c r="C16" s="213" t="s">
        <v>187</v>
      </c>
      <c r="D16" s="212">
        <v>7</v>
      </c>
      <c r="E16" s="214">
        <f>IFERROR(VLOOKUP(A16,Vacancy_Calculator!$A$4:$D$35,4,FALSE()),0)</f>
        <v>2</v>
      </c>
      <c r="F16" s="399">
        <f t="shared" si="1"/>
        <v>1</v>
      </c>
      <c r="G16" s="211" t="str">
        <f t="shared" si="2"/>
        <v>Neutral</v>
      </c>
      <c r="H16" s="123"/>
      <c r="I16" s="354" t="s">
        <v>397</v>
      </c>
      <c r="J16" s="71">
        <v>76.5</v>
      </c>
      <c r="K16" s="72">
        <v>245</v>
      </c>
      <c r="L16" s="76">
        <v>36</v>
      </c>
      <c r="M16" s="72">
        <v>119</v>
      </c>
      <c r="N16" s="71">
        <v>4.62</v>
      </c>
      <c r="O16" s="395">
        <f>IFERROR(((K16*200)/(N16^4))*(1+((J16-76.5)/76.5))*(1+(((L16-33)/33)*0.1+((M16-115.5)/115.5)*0.1)),0)</f>
        <v>108.85808867775145</v>
      </c>
      <c r="P16" s="77">
        <v>9.625</v>
      </c>
      <c r="Q16" s="396">
        <v>0.70589999999999997</v>
      </c>
      <c r="R16" s="396">
        <v>0.1439</v>
      </c>
      <c r="S16" s="71">
        <v>1.5705</v>
      </c>
      <c r="T16" s="312">
        <v>8.65</v>
      </c>
      <c r="U16" s="302">
        <v>5.74</v>
      </c>
      <c r="V16" s="382">
        <v>0.1285</v>
      </c>
      <c r="W16" s="382">
        <v>0.7571</v>
      </c>
      <c r="X16" s="383">
        <v>6</v>
      </c>
      <c r="Y16" s="384">
        <v>0.2</v>
      </c>
      <c r="Z16" s="290">
        <v>1</v>
      </c>
      <c r="AA16" s="315">
        <f>ROUND(MIN(20,MAX(0,(T16/10)*20))+MIN(20,MAX(0,(O16/120)*20))+MIN(20,MAX(0,(S16/3)*20))+MIN(20,MAX(0,(Q16/0.7)*20))+MIN(10,MAX(0,(R16/0.25)*10))+MIN(10,MAX(0,(W16/0.8)*10)),1)</f>
        <v>81.099999999999994</v>
      </c>
      <c r="AB16" s="397">
        <f>ROUND(MIN(25,MAX(0,(R16/0.25)*25))+MIN(25,MAX(0,(S16/2.5)*25))+MIN(15,MAX(0,(U16/6)*15))+MIN(15,MAX(0,(V16/0.22)*15))+IF(ISNUMBER(AC16),MAX(0,20-((INT(AC16)-1)*32+ROUND(MOD(AC16,1)*100,0))*0.07),IF(LOWER(AC16)="udfa",3,10)),1)</f>
        <v>57.7</v>
      </c>
      <c r="AC16" s="404">
        <v>7.29</v>
      </c>
      <c r="AD16" s="404" t="s">
        <v>107</v>
      </c>
      <c r="AE16" s="387">
        <f>IF(AD16="","1.00",IFERROR(VLOOKUP(AD16,'TE Model Page'!$A:$F,6,FALSE()),1))</f>
        <v>1</v>
      </c>
      <c r="AF16" s="183">
        <f>IF(AND(LOWER(AC16)="udfa",OR(AD16="N/A",AD16="")),-999,ROUND(MIN(99.9,MAX(0,IF((MIN(38,38*EXP(-0.005*(IF(ISNUMBER(AC16),(INT(AC16)-1)*32+ROUND(MOD(AC16,1)*100,0),256)-1)))+MAX(MIN(T16/10,1),0)*8+MAX(MIN(O16/120,1),0)*5+(P16/10)*5+IF(S16&gt;=2.5,22,(S16/2.5)*22)+MIN(3,MAX(0,(1-(X16/10))*3))+IF(R16&gt;=0.28,13,(R16/0.28)*13)*Z16+MIN(6,MAX(0,(Q16/0.65)*6))*Z16+MIN(5,MAX(0,(U16/5)*5))*Z16+MIN(5,MAX(0,(V16/0.22)*5))*Z16+MIN(4,MAX(0,(W16/0.8)*4))*Z16+MIN(4,MAX(0,(Y16/0.25)*4))*Z16)&gt;60,60+SQRT((MIN(38,38*EXP(-0.005*(IF(ISNUMBER(AC16),(INT(AC16)-1)*32+ROUND(MOD(AC16,1)*100,0),256)-1)))+MAX(MIN(T16/10,1),0)*8+MAX(MIN(O16/120,1),0)*5+(P16/10)*5+IF(S16&gt;=2.5,22,(S16/2.5)*22)+MIN(3,MAX(0,(1-(X16/10))*3))+IF(R16&gt;=0.28,13,(R16/0.28)*13)*Z16+MIN(6,MAX(0,(Q16/0.65)*6))*Z16+MIN(5,MAX(0,(U16/5)*5))*Z16+MIN(5,MAX(0,(V16/0.22)*5))*Z16+MIN(4,MAX(0,(W16/0.8)*4))*Z16+MIN(4,MAX(0,(Y16/0.25)*4))*Z16)-60)*4.8,(MIN(38,38*EXP(-0.005*(IF(ISNUMBER(AC16),(INT(AC16)-1)*32+ROUND(MOD(AC16,1)*100,0),256)-1)))+MAX(MIN(T16/10,1),0)*8+MAX(MIN(O16/120,1),0)*5+(P16/10)*5+IF(S16&gt;=2.5,22,(S16/2.5)*22)+MIN(3,MAX(0,(1-(X16/10))*3))+IF(R16&gt;=0.28,13,(R16/0.28)*13)*Z16+MIN(6,MAX(0,(Q16/0.65)*6))*Z16+MIN(5,MAX(0,(U16/5)*5))*Z16+MIN(5,MAX(0,(V16/0.22)*5))*Z16+MIN(4,MAX(0,(W16/0.8)*4))*Z16+MIN(4,MAX(0,(Y16/0.25)*4))*Z16)))*MAX(1,IFERROR(VALUE(AE16),1))),1))</f>
        <v>76.3</v>
      </c>
      <c r="AG16" s="388" t="str">
        <f t="shared" si="0"/>
        <v>Stash</v>
      </c>
      <c r="AH16" s="123"/>
    </row>
    <row r="17" spans="1:34" ht="15.75" customHeight="1" x14ac:dyDescent="0.3">
      <c r="A17" s="211" t="s">
        <v>121</v>
      </c>
      <c r="B17" s="212">
        <v>7</v>
      </c>
      <c r="C17" s="213" t="s">
        <v>197</v>
      </c>
      <c r="D17" s="212">
        <v>7</v>
      </c>
      <c r="E17" s="214">
        <f>IFERROR(VLOOKUP(A17,Vacancy_Calculator!$A$4:$D$35,4,FALSE()),0)</f>
        <v>0</v>
      </c>
      <c r="F17" s="399">
        <f t="shared" si="1"/>
        <v>0.9</v>
      </c>
      <c r="G17" s="211" t="str">
        <f t="shared" si="2"/>
        <v>Competition Risk</v>
      </c>
      <c r="H17" s="123"/>
      <c r="I17" s="354" t="s">
        <v>398</v>
      </c>
      <c r="J17" s="71">
        <v>77</v>
      </c>
      <c r="K17" s="72">
        <v>247</v>
      </c>
      <c r="L17" s="94">
        <v>33</v>
      </c>
      <c r="M17" s="346">
        <v>118</v>
      </c>
      <c r="N17" s="99">
        <v>4.6500000000000004</v>
      </c>
      <c r="O17" s="395">
        <f>IFERROR(((K17*200)/(N17^4))*(1+((J17-76.5)/76.5))*(1+(((L17-33)/33)*0.1+((M17-115.5)/115.5)*0.1)),0)</f>
        <v>106.5818962814088</v>
      </c>
      <c r="P17" s="77">
        <v>10.75</v>
      </c>
      <c r="Q17" s="396">
        <v>0.58819999999999995</v>
      </c>
      <c r="R17" s="396">
        <v>0.1605</v>
      </c>
      <c r="S17" s="71">
        <v>1.4864999999999999</v>
      </c>
      <c r="T17" s="312">
        <v>8</v>
      </c>
      <c r="U17" s="302">
        <v>6.14</v>
      </c>
      <c r="V17" s="382">
        <v>0.1489</v>
      </c>
      <c r="W17" s="382">
        <v>0.83360000000000001</v>
      </c>
      <c r="X17" s="383">
        <v>5.5</v>
      </c>
      <c r="Y17" s="384">
        <v>0.2</v>
      </c>
      <c r="Z17" s="290">
        <v>0.85</v>
      </c>
      <c r="AA17" s="315">
        <f>ROUND(MIN(20,MAX(0,(T17/10)*20))+MIN(20,MAX(0,(O17/120)*20))+MIN(20,MAX(0,(S17/3)*20))+MIN(20,MAX(0,(Q17/0.7)*20))+MIN(10,MAX(0,(R17/0.25)*10))+MIN(10,MAX(0,(W17/0.8)*10)),1)</f>
        <v>76.900000000000006</v>
      </c>
      <c r="AB17" s="397">
        <f>ROUND(MIN(25,MAX(0,(R17/0.25)*25))+MIN(25,MAX(0,(S17/2.5)*25))+MIN(15,MAX(0,(U17/6)*15))+MIN(15,MAX(0,(V17/0.22)*15))+IF(ISNUMBER(AC17),MAX(0,20-((INT(AC17)-1)*32+ROUND(MOD(AC17,1)*100,0))*0.07),IF(LOWER(AC17)="udfa",3,10)),1)</f>
        <v>64.2</v>
      </c>
      <c r="AC17" s="395">
        <v>5.42</v>
      </c>
      <c r="AD17" s="395" t="s">
        <v>109</v>
      </c>
      <c r="AE17" s="387">
        <f>IF(AD17="","1.00",IFERROR(VLOOKUP(AD17,'TE Model Page'!$A:$F,6,FALSE()),1))</f>
        <v>1</v>
      </c>
      <c r="AF17" s="183">
        <f>IF(AND(LOWER(AC17)="udfa",OR(AD17="N/A",AD17="")),-999,ROUND(MIN(99.9,MAX(0,IF((MIN(38,38*EXP(-0.005*(IF(ISNUMBER(AC17),(INT(AC17)-1)*32+ROUND(MOD(AC17,1)*100,0),256)-1)))+MAX(MIN(T17/10,1),0)*8+MAX(MIN(O17/120,1),0)*5+(P17/10)*5+IF(S17&gt;=2.5,22,(S17/2.5)*22)+MIN(3,MAX(0,(1-(X17/10))*3))+IF(R17&gt;=0.28,13,(R17/0.28)*13)*Z17+MIN(6,MAX(0,(Q17/0.65)*6))*Z17+MIN(5,MAX(0,(U17/5)*5))*Z17+MIN(5,MAX(0,(V17/0.22)*5))*Z17+MIN(4,MAX(0,(W17/0.8)*4))*Z17+MIN(4,MAX(0,(Y17/0.25)*4))*Z17)&gt;60,60+SQRT((MIN(38,38*EXP(-0.005*(IF(ISNUMBER(AC17),(INT(AC17)-1)*32+ROUND(MOD(AC17,1)*100,0),256)-1)))+MAX(MIN(T17/10,1),0)*8+MAX(MIN(O17/120,1),0)*5+(P17/10)*5+IF(S17&gt;=2.5,22,(S17/2.5)*22)+MIN(3,MAX(0,(1-(X17/10))*3))+IF(R17&gt;=0.28,13,(R17/0.28)*13)*Z17+MIN(6,MAX(0,(Q17/0.65)*6))*Z17+MIN(5,MAX(0,(U17/5)*5))*Z17+MIN(5,MAX(0,(V17/0.22)*5))*Z17+MIN(4,MAX(0,(W17/0.8)*4))*Z17+MIN(4,MAX(0,(Y17/0.25)*4))*Z17)-60)*4.8,(MIN(38,38*EXP(-0.005*(IF(ISNUMBER(AC17),(INT(AC17)-1)*32+ROUND(MOD(AC17,1)*100,0),256)-1)))+MAX(MIN(T17/10,1),0)*8+MAX(MIN(O17/120,1),0)*5+(P17/10)*5+IF(S17&gt;=2.5,22,(S17/2.5)*22)+MIN(3,MAX(0,(1-(X17/10))*3))+IF(R17&gt;=0.28,13,(R17/0.28)*13)*Z17+MIN(6,MAX(0,(Q17/0.65)*6))*Z17+MIN(5,MAX(0,(U17/5)*5))*Z17+MIN(5,MAX(0,(V17/0.22)*5))*Z17+MIN(4,MAX(0,(W17/0.8)*4))*Z17+MIN(4,MAX(0,(Y17/0.25)*4))*Z17)))*MAX(1,IFERROR(VALUE(AE17),1))),1))</f>
        <v>76</v>
      </c>
      <c r="AG17" s="388" t="str">
        <f t="shared" si="0"/>
        <v>Stash</v>
      </c>
      <c r="AH17" s="123"/>
    </row>
    <row r="18" spans="1:34" ht="15.75" customHeight="1" x14ac:dyDescent="0.3">
      <c r="A18" s="211" t="s">
        <v>124</v>
      </c>
      <c r="B18" s="212">
        <v>8.5</v>
      </c>
      <c r="C18" s="213" t="s">
        <v>187</v>
      </c>
      <c r="D18" s="212">
        <v>7.5</v>
      </c>
      <c r="E18" s="214">
        <f>IFERROR(VLOOKUP(A18,Vacancy_Calculator!$A$4:$D$35,4,FALSE()),0)</f>
        <v>2</v>
      </c>
      <c r="F18" s="399">
        <f t="shared" si="1"/>
        <v>1</v>
      </c>
      <c r="G18" s="211" t="str">
        <f t="shared" si="2"/>
        <v>Neutral</v>
      </c>
      <c r="H18" s="123"/>
      <c r="I18" s="354" t="s">
        <v>399</v>
      </c>
      <c r="J18" s="99">
        <v>77.5</v>
      </c>
      <c r="K18" s="340">
        <v>261</v>
      </c>
      <c r="L18" s="76">
        <v>36</v>
      </c>
      <c r="M18" s="72">
        <v>119</v>
      </c>
      <c r="N18" s="71">
        <v>4.74</v>
      </c>
      <c r="O18" s="395">
        <f>IFERROR(((K18*200)/(N18^4))*(1+((J18-76.5)/76.5))*(1+(((L18-33)/33)*0.1+((M18-115.5)/115.5)*0.1)),0)</f>
        <v>106.03028544884393</v>
      </c>
      <c r="P18" s="402">
        <v>9.75</v>
      </c>
      <c r="Q18" s="396">
        <v>0.5</v>
      </c>
      <c r="R18" s="396">
        <v>3.2300000000000002E-2</v>
      </c>
      <c r="S18" s="71">
        <v>1.2764</v>
      </c>
      <c r="T18" s="328">
        <v>8.5</v>
      </c>
      <c r="U18" s="302">
        <v>5.96</v>
      </c>
      <c r="V18" s="382">
        <v>3.3500000000000002E-2</v>
      </c>
      <c r="W18" s="382">
        <v>0.61799999999999999</v>
      </c>
      <c r="X18" s="300">
        <v>6.5</v>
      </c>
      <c r="Y18" s="403">
        <v>0.15</v>
      </c>
      <c r="Z18" s="290">
        <v>1</v>
      </c>
      <c r="AA18" s="315">
        <f>ROUND(MIN(20,MAX(0,(T18/10)*20))+MIN(20,MAX(0,(O18/120)*20))+MIN(20,MAX(0,(S18/3)*20))+MIN(20,MAX(0,(Q18/0.7)*20))+MIN(10,MAX(0,(R18/0.25)*10))+MIN(10,MAX(0,(W18/0.8)*10)),1)</f>
        <v>66.5</v>
      </c>
      <c r="AB18" s="397">
        <f>ROUND(MIN(25,MAX(0,(R18/0.25)*25))+MIN(25,MAX(0,(S18/2.5)*25))+MIN(15,MAX(0,(U18/6)*15))+MIN(15,MAX(0,(V18/0.22)*15))+IF(ISNUMBER(AC18),MAX(0,20-((INT(AC18)-1)*32+ROUND(MOD(AC18,1)*100,0))*0.07),IF(LOWER(AC18)="udfa",3,10)),1)</f>
        <v>47.1</v>
      </c>
      <c r="AC18" s="404">
        <v>3.23</v>
      </c>
      <c r="AD18" s="404" t="s">
        <v>133</v>
      </c>
      <c r="AE18" s="387">
        <f>IF(AD18="","1.00",IFERROR(VLOOKUP(AD18,'TE Model Page'!$A:$F,6,FALSE()),1))</f>
        <v>1</v>
      </c>
      <c r="AF18" s="183">
        <f>IF(AND(LOWER(AC18)="udfa",OR(AD18="N/A",AD18="")),-999,ROUND(MIN(99.9,MAX(0,IF((MIN(38,38*EXP(-0.005*(IF(ISNUMBER(AC18),(INT(AC18)-1)*32+ROUND(MOD(AC18,1)*100,0),256)-1)))+MAX(MIN(T18/10,1),0)*8+MAX(MIN(O18/120,1),0)*5+(P18/10)*5+IF(S18&gt;=2.5,22,(S18/2.5)*22)+MIN(3,MAX(0,(1-(X18/10))*3))+IF(R18&gt;=0.28,13,(R18/0.28)*13)*Z18+MIN(6,MAX(0,(Q18/0.65)*6))*Z18+MIN(5,MAX(0,(U18/5)*5))*Z18+MIN(5,MAX(0,(V18/0.22)*5))*Z18+MIN(4,MAX(0,(W18/0.8)*4))*Z18+MIN(4,MAX(0,(Y18/0.25)*4))*Z18)&gt;60,60+SQRT((MIN(38,38*EXP(-0.005*(IF(ISNUMBER(AC18),(INT(AC18)-1)*32+ROUND(MOD(AC18,1)*100,0),256)-1)))+MAX(MIN(T18/10,1),0)*8+MAX(MIN(O18/120,1),0)*5+(P18/10)*5+IF(S18&gt;=2.5,22,(S18/2.5)*22)+MIN(3,MAX(0,(1-(X18/10))*3))+IF(R18&gt;=0.28,13,(R18/0.28)*13)*Z18+MIN(6,MAX(0,(Q18/0.65)*6))*Z18+MIN(5,MAX(0,(U18/5)*5))*Z18+MIN(5,MAX(0,(V18/0.22)*5))*Z18+MIN(4,MAX(0,(W18/0.8)*4))*Z18+MIN(4,MAX(0,(Y18/0.25)*4))*Z18)-60)*4.8,(MIN(38,38*EXP(-0.005*(IF(ISNUMBER(AC18),(INT(AC18)-1)*32+ROUND(MOD(AC18,1)*100,0),256)-1)))+MAX(MIN(T18/10,1),0)*8+MAX(MIN(O18/120,1),0)*5+(P18/10)*5+IF(S18&gt;=2.5,22,(S18/2.5)*22)+MIN(3,MAX(0,(1-(X18/10))*3))+IF(R18&gt;=0.28,13,(R18/0.28)*13)*Z18+MIN(6,MAX(0,(Q18/0.65)*6))*Z18+MIN(5,MAX(0,(U18/5)*5))*Z18+MIN(5,MAX(0,(V18/0.22)*5))*Z18+MIN(4,MAX(0,(W18/0.8)*4))*Z18+MIN(4,MAX(0,(Y18/0.25)*4))*Z18)))*MAX(1,IFERROR(VALUE(AE18),1))),1))</f>
        <v>75.5</v>
      </c>
      <c r="AG18" s="388" t="str">
        <f t="shared" si="0"/>
        <v>Stash</v>
      </c>
      <c r="AH18" s="123"/>
    </row>
    <row r="19" spans="1:34" ht="15.75" customHeight="1" x14ac:dyDescent="0.3">
      <c r="A19" s="211" t="s">
        <v>127</v>
      </c>
      <c r="B19" s="212">
        <v>6</v>
      </c>
      <c r="C19" s="213" t="s">
        <v>187</v>
      </c>
      <c r="D19" s="212">
        <v>6.5</v>
      </c>
      <c r="E19" s="214">
        <f>IFERROR(VLOOKUP(A19,Vacancy_Calculator!$A$4:$D$35,4,FALSE()),0)</f>
        <v>0</v>
      </c>
      <c r="F19" s="399">
        <f t="shared" si="1"/>
        <v>0.9</v>
      </c>
      <c r="G19" s="211" t="str">
        <f t="shared" si="2"/>
        <v>Competition Risk</v>
      </c>
      <c r="H19" s="123"/>
      <c r="I19" s="400" t="s">
        <v>400</v>
      </c>
      <c r="J19" s="241">
        <v>76</v>
      </c>
      <c r="K19" s="400">
        <v>244</v>
      </c>
      <c r="L19" s="171">
        <v>40</v>
      </c>
      <c r="M19" s="400">
        <v>127</v>
      </c>
      <c r="N19" s="400">
        <v>4.58</v>
      </c>
      <c r="O19" s="380">
        <f>IFERROR(((K19*200)/(N19^4))*(1+((J19-76.5)/76.5))*(1+(((L19-33)/33)*0.1+((M19-115.5)/115.5)*0.1)),0)</f>
        <v>113.61609131893913</v>
      </c>
      <c r="P19" s="405">
        <v>9.5</v>
      </c>
      <c r="Q19" s="458">
        <v>0.52</v>
      </c>
      <c r="R19" s="458">
        <v>0.15</v>
      </c>
      <c r="S19" s="241">
        <v>1.2</v>
      </c>
      <c r="T19" s="400">
        <v>9.42</v>
      </c>
      <c r="U19" s="171">
        <v>5</v>
      </c>
      <c r="V19" s="406">
        <v>0.11700000000000001</v>
      </c>
      <c r="W19" s="406">
        <v>0.6</v>
      </c>
      <c r="X19" s="400">
        <v>3</v>
      </c>
      <c r="Y19" s="407">
        <v>0.1</v>
      </c>
      <c r="Z19" s="324">
        <v>1</v>
      </c>
      <c r="AA19" s="325">
        <f>ROUND(MIN(20,MAX(0,(T19/10)*20))+MIN(20,MAX(0,(O19/120)*20))+MIN(20,MAX(0,(S19/3)*20))+MIN(20,MAX(0,(Q19/0.7)*20))+MIN(10,MAX(0,(R19/0.25)*10))+MIN(10,MAX(0,(W19/0.8)*10)),1)</f>
        <v>74.099999999999994</v>
      </c>
      <c r="AB19" s="408">
        <f>ROUND(MIN(25,MAX(0,(R19/0.25)*25))+MIN(25,MAX(0,(S19/2.5)*25))+MIN(15,MAX(0,(U19/6)*15))+MIN(15,MAX(0,(V19/0.22)*15))+IF(ISNUMBER(AC19),MAX(0,20-((INT(AC19)-1)*32+ROUND(MOD(AC19,1)*100,0))*0.07),IF(LOWER(AC19)="udfa",3,10)),1)</f>
        <v>54.9</v>
      </c>
      <c r="AC19" s="409">
        <v>6.2</v>
      </c>
      <c r="AD19" s="409" t="s">
        <v>133</v>
      </c>
      <c r="AE19" s="410">
        <f>IF(AD19="","1.00",IFERROR(VLOOKUP(AD19,'TE Model Page'!$A:$F,6,FALSE()),1))</f>
        <v>1</v>
      </c>
      <c r="AF19" s="183">
        <f>IF(AND(LOWER(AC19)="udfa",OR(AD19="N/A",AD19="")),-999,ROUND(MIN(99.9,MAX(0,IF((MIN(38,38*EXP(-0.005*(IF(ISNUMBER(AC19),(INT(AC19)-1)*32+ROUND(MOD(AC19,1)*100,0),256)-1)))+MAX(MIN(T19/10,1),0)*8+MAX(MIN(O19/120,1),0)*5+(P19/10)*5+IF(S19&gt;=2.5,22,(S19/2.5)*22)+MIN(3,MAX(0,(1-(X19/10))*3))+IF(R19&gt;=0.28,13,(R19/0.28)*13)*Z19+MIN(6,MAX(0,(Q19/0.65)*6))*Z19+MIN(5,MAX(0,(U19/5)*5))*Z19+MIN(5,MAX(0,(V19/0.22)*5))*Z19+MIN(4,MAX(0,(W19/0.8)*4))*Z19+MIN(4,MAX(0,(Y19/0.25)*4))*Z19)&gt;60,60+SQRT((MIN(38,38*EXP(-0.005*(IF(ISNUMBER(AC19),(INT(AC19)-1)*32+ROUND(MOD(AC19,1)*100,0),256)-1)))+MAX(MIN(T19/10,1),0)*8+MAX(MIN(O19/120,1),0)*5+(P19/10)*5+IF(S19&gt;=2.5,22,(S19/2.5)*22)+MIN(3,MAX(0,(1-(X19/10))*3))+IF(R19&gt;=0.28,13,(R19/0.28)*13)*Z19+MIN(6,MAX(0,(Q19/0.65)*6))*Z19+MIN(5,MAX(0,(U19/5)*5))*Z19+MIN(5,MAX(0,(V19/0.22)*5))*Z19+MIN(4,MAX(0,(W19/0.8)*4))*Z19+MIN(4,MAX(0,(Y19/0.25)*4))*Z19)-60)*4.8,(MIN(38,38*EXP(-0.005*(IF(ISNUMBER(AC19),(INT(AC19)-1)*32+ROUND(MOD(AC19,1)*100,0),256)-1)))+MAX(MIN(T19/10,1),0)*8+MAX(MIN(O19/120,1),0)*5+(P19/10)*5+IF(S19&gt;=2.5,22,(S19/2.5)*22)+MIN(3,MAX(0,(1-(X19/10))*3))+IF(R19&gt;=0.28,13,(R19/0.28)*13)*Z19+MIN(6,MAX(0,(Q19/0.65)*6))*Z19+MIN(5,MAX(0,(U19/5)*5))*Z19+MIN(5,MAX(0,(V19/0.22)*5))*Z19+MIN(4,MAX(0,(W19/0.8)*4))*Z19+MIN(4,MAX(0,(Y19/0.25)*4))*Z19)))*MAX(1,IFERROR(VALUE(AE19),1))),1))</f>
        <v>74.599999999999994</v>
      </c>
      <c r="AG19" s="388" t="str">
        <f t="shared" si="0"/>
        <v>Stash</v>
      </c>
      <c r="AH19" s="123"/>
    </row>
    <row r="20" spans="1:34" ht="15.75" customHeight="1" x14ac:dyDescent="0.3">
      <c r="A20" s="211" t="s">
        <v>123</v>
      </c>
      <c r="B20" s="212">
        <v>8</v>
      </c>
      <c r="C20" s="213" t="s">
        <v>187</v>
      </c>
      <c r="D20" s="212">
        <v>9</v>
      </c>
      <c r="E20" s="214">
        <f>IFERROR(VLOOKUP(A20,Vacancy_Calculator!$A$4:$D$35,4,FALSE()),0)</f>
        <v>2</v>
      </c>
      <c r="F20" s="399">
        <f t="shared" si="1"/>
        <v>1</v>
      </c>
      <c r="G20" s="211" t="str">
        <f t="shared" si="2"/>
        <v>Neutral</v>
      </c>
      <c r="H20" s="123"/>
      <c r="I20" s="354" t="s">
        <v>401</v>
      </c>
      <c r="J20" s="99">
        <v>77.5</v>
      </c>
      <c r="K20" s="340">
        <v>249</v>
      </c>
      <c r="L20" s="76">
        <v>35.5</v>
      </c>
      <c r="M20" s="72">
        <v>128</v>
      </c>
      <c r="N20" s="71">
        <v>4.5999999999999996</v>
      </c>
      <c r="O20" s="395">
        <f>IFERROR(((K20*200)/(N20^4))*(1+((J20-76.5)/76.5))*(1+(((L20-33)/33)*0.1+((M20-115.5)/115.5)*0.1)),0)</f>
        <v>114.7508564469814</v>
      </c>
      <c r="P20" s="402">
        <v>10</v>
      </c>
      <c r="Q20" s="396">
        <v>0.47370000000000001</v>
      </c>
      <c r="R20" s="396">
        <v>0.14660000000000001</v>
      </c>
      <c r="S20" s="71">
        <v>1.8836999999999999</v>
      </c>
      <c r="T20" s="312">
        <v>9.9</v>
      </c>
      <c r="U20" s="302">
        <v>5.07</v>
      </c>
      <c r="V20" s="382">
        <v>0.12280000000000001</v>
      </c>
      <c r="W20" s="382">
        <v>0.84940000000000004</v>
      </c>
      <c r="X20" s="383">
        <v>5</v>
      </c>
      <c r="Y20" s="384">
        <v>0.18</v>
      </c>
      <c r="Z20" s="290">
        <v>0.85</v>
      </c>
      <c r="AA20" s="315">
        <f>ROUND(MIN(20,MAX(0,(T20/10)*20))+MIN(20,MAX(0,(O20/120)*20))+MIN(20,MAX(0,(S20/3)*20))+MIN(20,MAX(0,(Q20/0.7)*20))+MIN(10,MAX(0,(R20/0.25)*10))+MIN(10,MAX(0,(W20/0.8)*10)),1)</f>
        <v>80.900000000000006</v>
      </c>
      <c r="AB20" s="397">
        <f>ROUND(MIN(25,MAX(0,(R20/0.25)*25))+MIN(25,MAX(0,(S20/2.5)*25))+MIN(15,MAX(0,(U20/6)*15))+MIN(15,MAX(0,(V20/0.22)*15))+IF(ISNUMBER(AC20),MAX(0,20-((INT(AC20)-1)*32+ROUND(MOD(AC20,1)*100,0))*0.07),IF(LOWER(AC20)="udfa",3,10)),1)</f>
        <v>57.5</v>
      </c>
      <c r="AC20" s="395" t="s">
        <v>95</v>
      </c>
      <c r="AD20" s="395" t="s">
        <v>123</v>
      </c>
      <c r="AE20" s="387">
        <f>IF(AD20="","1.00",IFERROR(VLOOKUP(AD20,'TE Model Page'!$A:$F,6,FALSE()),1))</f>
        <v>1</v>
      </c>
      <c r="AF20" s="183">
        <f>IF(AND(LOWER(AC20)="udfa",OR(AD20="N/A",AD20="")),-999,ROUND(MIN(99.9,MAX(0,IF((MIN(38,38*EXP(-0.005*(IF(ISNUMBER(AC20),(INT(AC20)-1)*32+ROUND(MOD(AC20,1)*100,0),256)-1)))+MAX(MIN(T20/10,1),0)*8+MAX(MIN(O20/120,1),0)*5+(P20/10)*5+IF(S20&gt;=2.5,22,(S20/2.5)*22)+MIN(3,MAX(0,(1-(X20/10))*3))+IF(R20&gt;=0.28,13,(R20/0.28)*13)*Z20+MIN(6,MAX(0,(Q20/0.65)*6))*Z20+MIN(5,MAX(0,(U20/5)*5))*Z20+MIN(5,MAX(0,(V20/0.22)*5))*Z20+MIN(4,MAX(0,(W20/0.8)*4))*Z20+MIN(4,MAX(0,(Y20/0.25)*4))*Z20)&gt;60,60+SQRT((MIN(38,38*EXP(-0.005*(IF(ISNUMBER(AC20),(INT(AC20)-1)*32+ROUND(MOD(AC20,1)*100,0),256)-1)))+MAX(MIN(T20/10,1),0)*8+MAX(MIN(O20/120,1),0)*5+(P20/10)*5+IF(S20&gt;=2.5,22,(S20/2.5)*22)+MIN(3,MAX(0,(1-(X20/10))*3))+IF(R20&gt;=0.28,13,(R20/0.28)*13)*Z20+MIN(6,MAX(0,(Q20/0.65)*6))*Z20+MIN(5,MAX(0,(U20/5)*5))*Z20+MIN(5,MAX(0,(V20/0.22)*5))*Z20+MIN(4,MAX(0,(W20/0.8)*4))*Z20+MIN(4,MAX(0,(Y20/0.25)*4))*Z20)-60)*4.8,(MIN(38,38*EXP(-0.005*(IF(ISNUMBER(AC20),(INT(AC20)-1)*32+ROUND(MOD(AC20,1)*100,0),256)-1)))+MAX(MIN(T20/10,1),0)*8+MAX(MIN(O20/120,1),0)*5+(P20/10)*5+IF(S20&gt;=2.5,22,(S20/2.5)*22)+MIN(3,MAX(0,(1-(X20/10))*3))+IF(R20&gt;=0.28,13,(R20/0.28)*13)*Z20+MIN(6,MAX(0,(Q20/0.65)*6))*Z20+MIN(5,MAX(0,(U20/5)*5))*Z20+MIN(5,MAX(0,(V20/0.22)*5))*Z20+MIN(4,MAX(0,(W20/0.8)*4))*Z20+MIN(4,MAX(0,(Y20/0.25)*4))*Z20)))*MAX(1,IFERROR(VALUE(AE20),1))),1))</f>
        <v>73.900000000000006</v>
      </c>
      <c r="AG20" s="388" t="str">
        <f t="shared" si="0"/>
        <v>Stash</v>
      </c>
      <c r="AH20" s="123"/>
    </row>
    <row r="21" spans="1:34" ht="15.75" customHeight="1" x14ac:dyDescent="0.3">
      <c r="A21" s="211" t="s">
        <v>131</v>
      </c>
      <c r="B21" s="212">
        <v>7.5</v>
      </c>
      <c r="C21" s="213" t="s">
        <v>197</v>
      </c>
      <c r="D21" s="212">
        <v>7</v>
      </c>
      <c r="E21" s="214">
        <f>IFERROR(VLOOKUP(A21,Vacancy_Calculator!$A$4:$D$35,4,FALSE()),0)</f>
        <v>2</v>
      </c>
      <c r="F21" s="399">
        <f t="shared" si="1"/>
        <v>1</v>
      </c>
      <c r="G21" s="211" t="str">
        <f t="shared" si="2"/>
        <v>Neutral</v>
      </c>
      <c r="H21" s="123"/>
      <c r="I21" s="354" t="s">
        <v>402</v>
      </c>
      <c r="J21" s="71">
        <v>76</v>
      </c>
      <c r="K21" s="72">
        <v>246</v>
      </c>
      <c r="L21" s="94">
        <v>34</v>
      </c>
      <c r="M21" s="340">
        <v>115</v>
      </c>
      <c r="N21" s="99">
        <v>4.6399999999999997</v>
      </c>
      <c r="O21" s="395">
        <f>IFERROR(((K21*200)/(N21^4))*(1+((J21-76.5)/76.5))*(1+(((L21-33)/33)*0.1+((M21-115.5)/115.5)*0.1)),0)</f>
        <v>105.72359268275494</v>
      </c>
      <c r="P21" s="77">
        <v>9.25</v>
      </c>
      <c r="Q21" s="396">
        <v>0.4</v>
      </c>
      <c r="R21" s="396">
        <v>0.1162</v>
      </c>
      <c r="S21" s="71">
        <v>1.7865</v>
      </c>
      <c r="T21" s="312">
        <v>9</v>
      </c>
      <c r="U21" s="302">
        <v>8.76</v>
      </c>
      <c r="V21" s="382">
        <v>0.1038</v>
      </c>
      <c r="W21" s="382">
        <v>0.78049999999999997</v>
      </c>
      <c r="X21" s="300">
        <v>5.5</v>
      </c>
      <c r="Y21" s="403">
        <v>0.24</v>
      </c>
      <c r="Z21" s="290">
        <v>1</v>
      </c>
      <c r="AA21" s="304">
        <f>ROUND(MIN(20,MAX(0,(T21/10)*20))+MIN(20,MAX(0,(O21/120)*20))+MIN(20,MAX(0,(S21/3)*20))+MIN(20,MAX(0,(Q21/0.7)*20))+MIN(10,MAX(0,(R21/0.25)*10))+MIN(10,MAX(0,(W21/0.8)*10)),1)</f>
        <v>73.400000000000006</v>
      </c>
      <c r="AB21" s="385">
        <f>ROUND(MIN(25,MAX(0,(R21/0.25)*25))+MIN(25,MAX(0,(S21/2.5)*25))+MIN(15,MAX(0,(U21/6)*15))+MIN(15,MAX(0,(V21/0.22)*15))+IF(ISNUMBER(AC21),MAX(0,20-((INT(AC21)-1)*32+ROUND(MOD(AC21,1)*100,0))*0.07),IF(LOWER(AC21)="udfa",3,10)),1)</f>
        <v>54.6</v>
      </c>
      <c r="AC21" s="395" t="s">
        <v>95</v>
      </c>
      <c r="AD21" s="395" t="s">
        <v>120</v>
      </c>
      <c r="AE21" s="387">
        <f>IF(AD21="","1.00",IFERROR(VLOOKUP(AD21,'TE Model Page'!$A:$F,6,FALSE()),1))</f>
        <v>1</v>
      </c>
      <c r="AF21" s="183">
        <f>IF(AND(LOWER(AC21)="udfa",OR(AD21="N/A",AD21="")),-999,ROUND(MIN(99.9,MAX(0,IF((MIN(38,38*EXP(-0.005*(IF(ISNUMBER(AC21),(INT(AC21)-1)*32+ROUND(MOD(AC21,1)*100,0),256)-1)))+MAX(MIN(T21/10,1),0)*8+MAX(MIN(O21/120,1),0)*5+(P21/10)*5+IF(S21&gt;=2.5,22,(S21/2.5)*22)+MIN(3,MAX(0,(1-(X21/10))*3))+IF(R21&gt;=0.28,13,(R21/0.28)*13)*Z21+MIN(6,MAX(0,(Q21/0.65)*6))*Z21+MIN(5,MAX(0,(U21/5)*5))*Z21+MIN(5,MAX(0,(V21/0.22)*5))*Z21+MIN(4,MAX(0,(W21/0.8)*4))*Z21+MIN(4,MAX(0,(Y21/0.25)*4))*Z21)&gt;60,60+SQRT((MIN(38,38*EXP(-0.005*(IF(ISNUMBER(AC21),(INT(AC21)-1)*32+ROUND(MOD(AC21,1)*100,0),256)-1)))+MAX(MIN(T21/10,1),0)*8+MAX(MIN(O21/120,1),0)*5+(P21/10)*5+IF(S21&gt;=2.5,22,(S21/2.5)*22)+MIN(3,MAX(0,(1-(X21/10))*3))+IF(R21&gt;=0.28,13,(R21/0.28)*13)*Z21+MIN(6,MAX(0,(Q21/0.65)*6))*Z21+MIN(5,MAX(0,(U21/5)*5))*Z21+MIN(5,MAX(0,(V21/0.22)*5))*Z21+MIN(4,MAX(0,(W21/0.8)*4))*Z21+MIN(4,MAX(0,(Y21/0.25)*4))*Z21)-60)*4.8,(MIN(38,38*EXP(-0.005*(IF(ISNUMBER(AC21),(INT(AC21)-1)*32+ROUND(MOD(AC21,1)*100,0),256)-1)))+MAX(MIN(T21/10,1),0)*8+MAX(MIN(O21/120,1),0)*5+(P21/10)*5+IF(S21&gt;=2.5,22,(S21/2.5)*22)+MIN(3,MAX(0,(1-(X21/10))*3))+IF(R21&gt;=0.28,13,(R21/0.28)*13)*Z21+MIN(6,MAX(0,(Q21/0.65)*6))*Z21+MIN(5,MAX(0,(U21/5)*5))*Z21+MIN(5,MAX(0,(V21/0.22)*5))*Z21+MIN(4,MAX(0,(W21/0.8)*4))*Z21+MIN(4,MAX(0,(Y21/0.25)*4))*Z21)))*MAX(1,IFERROR(VALUE(AE21),1))),1))</f>
        <v>73.7</v>
      </c>
      <c r="AG21" s="388" t="str">
        <f t="shared" si="0"/>
        <v>Stash</v>
      </c>
      <c r="AH21" s="123"/>
    </row>
    <row r="22" spans="1:34" ht="15.75" customHeight="1" x14ac:dyDescent="0.3">
      <c r="A22" s="211" t="s">
        <v>92</v>
      </c>
      <c r="B22" s="212">
        <v>7.5</v>
      </c>
      <c r="C22" s="213" t="s">
        <v>201</v>
      </c>
      <c r="D22" s="212">
        <v>7</v>
      </c>
      <c r="E22" s="214">
        <f>IFERROR(VLOOKUP(A22,Vacancy_Calculator!$A$4:$D$35,4,FALSE()),0)</f>
        <v>0</v>
      </c>
      <c r="F22" s="399">
        <f t="shared" si="1"/>
        <v>0.9</v>
      </c>
      <c r="G22" s="211" t="str">
        <f t="shared" si="2"/>
        <v>Competition Risk</v>
      </c>
      <c r="H22" s="123"/>
      <c r="I22" s="354" t="s">
        <v>403</v>
      </c>
      <c r="J22" s="99">
        <v>76.099999999999994</v>
      </c>
      <c r="K22" s="340">
        <v>236</v>
      </c>
      <c r="L22" s="76">
        <v>33</v>
      </c>
      <c r="M22" s="72">
        <v>122</v>
      </c>
      <c r="N22" s="71">
        <v>4.51</v>
      </c>
      <c r="O22" s="395">
        <f>IFERROR(((K22*200)/(N22^4))*(1+((J22-76.5)/76.5))*(1+(((L22-33)/33)*0.1+((M22-115.5)/115.5)*0.1)),0)</f>
        <v>114.12907112704524</v>
      </c>
      <c r="P22" s="402">
        <v>9</v>
      </c>
      <c r="Q22" s="396">
        <v>0.35709999999999997</v>
      </c>
      <c r="R22" s="396">
        <v>9.4500000000000001E-2</v>
      </c>
      <c r="S22" s="71">
        <v>2.0701000000000001</v>
      </c>
      <c r="T22" s="312">
        <v>8.58</v>
      </c>
      <c r="U22" s="302">
        <v>6.08</v>
      </c>
      <c r="V22" s="382">
        <v>8.3199999999999996E-2</v>
      </c>
      <c r="W22" s="382">
        <v>0.88170000000000004</v>
      </c>
      <c r="X22" s="300">
        <v>6</v>
      </c>
      <c r="Y22" s="403">
        <v>0.18</v>
      </c>
      <c r="Z22" s="290">
        <v>1</v>
      </c>
      <c r="AA22" s="315">
        <f>ROUND(MIN(20,MAX(0,(T22/10)*20))+MIN(20,MAX(0,(O22/120)*20))+MIN(20,MAX(0,(S22/3)*20))+MIN(20,MAX(0,(Q22/0.7)*20))+MIN(10,MAX(0,(R22/0.25)*10))+MIN(10,MAX(0,(W22/0.8)*10)),1)</f>
        <v>74</v>
      </c>
      <c r="AB22" s="397">
        <f>ROUND(MIN(25,MAX(0,(R22/0.25)*25))+MIN(25,MAX(0,(S22/2.5)*25))+MIN(15,MAX(0,(U22/6)*15))+MIN(15,MAX(0,(V22/0.22)*15))+IF(ISNUMBER(AC22),MAX(0,20-((INT(AC22)-1)*32+ROUND(MOD(AC22,1)*100,0))*0.07),IF(LOWER(AC22)="udfa",3,10)),1)</f>
        <v>53.8</v>
      </c>
      <c r="AC22" s="404" t="s">
        <v>95</v>
      </c>
      <c r="AD22" s="404" t="s">
        <v>118</v>
      </c>
      <c r="AE22" s="387">
        <f>IF(AD22="","1.00",IFERROR(VLOOKUP(AD22,'TE Model Page'!$A:$F,6,FALSE()),1))</f>
        <v>1</v>
      </c>
      <c r="AF22" s="183">
        <f>IF(AND(LOWER(AC22)="udfa",OR(AD22="N/A",AD22="")),-999,ROUND(MIN(99.9,MAX(0,IF((MIN(38,38*EXP(-0.005*(IF(ISNUMBER(AC22),(INT(AC22)-1)*32+ROUND(MOD(AC22,1)*100,0),256)-1)))+MAX(MIN(T22/10,1),0)*8+MAX(MIN(O22/120,1),0)*5+(P22/10)*5+IF(S22&gt;=2.5,22,(S22/2.5)*22)+MIN(3,MAX(0,(1-(X22/10))*3))+IF(R22&gt;=0.28,13,(R22/0.28)*13)*Z22+MIN(6,MAX(0,(Q22/0.65)*6))*Z22+MIN(5,MAX(0,(U22/5)*5))*Z22+MIN(5,MAX(0,(V22/0.22)*5))*Z22+MIN(4,MAX(0,(W22/0.8)*4))*Z22+MIN(4,MAX(0,(Y22/0.25)*4))*Z22)&gt;60,60+SQRT((MIN(38,38*EXP(-0.005*(IF(ISNUMBER(AC22),(INT(AC22)-1)*32+ROUND(MOD(AC22,1)*100,0),256)-1)))+MAX(MIN(T22/10,1),0)*8+MAX(MIN(O22/120,1),0)*5+(P22/10)*5+IF(S22&gt;=2.5,22,(S22/2.5)*22)+MIN(3,MAX(0,(1-(X22/10))*3))+IF(R22&gt;=0.28,13,(R22/0.28)*13)*Z22+MIN(6,MAX(0,(Q22/0.65)*6))*Z22+MIN(5,MAX(0,(U22/5)*5))*Z22+MIN(5,MAX(0,(V22/0.22)*5))*Z22+MIN(4,MAX(0,(W22/0.8)*4))*Z22+MIN(4,MAX(0,(Y22/0.25)*4))*Z22)-60)*4.8,(MIN(38,38*EXP(-0.005*(IF(ISNUMBER(AC22),(INT(AC22)-1)*32+ROUND(MOD(AC22,1)*100,0),256)-1)))+MAX(MIN(T22/10,1),0)*8+MAX(MIN(O22/120,1),0)*5+(P22/10)*5+IF(S22&gt;=2.5,22,(S22/2.5)*22)+MIN(3,MAX(0,(1-(X22/10))*3))+IF(R22&gt;=0.28,13,(R22/0.28)*13)*Z22+MIN(6,MAX(0,(Q22/0.65)*6))*Z22+MIN(5,MAX(0,(U22/5)*5))*Z22+MIN(5,MAX(0,(V22/0.22)*5))*Z22+MIN(4,MAX(0,(W22/0.8)*4))*Z22+MIN(4,MAX(0,(Y22/0.25)*4))*Z22)))*MAX(1,IFERROR(VALUE(AE22),1))),1))</f>
        <v>73.2</v>
      </c>
      <c r="AG22" s="388" t="str">
        <f t="shared" si="0"/>
        <v>Stash</v>
      </c>
      <c r="AH22" s="123"/>
    </row>
    <row r="23" spans="1:34" ht="15.75" customHeight="1" x14ac:dyDescent="0.3">
      <c r="A23" s="211" t="s">
        <v>89</v>
      </c>
      <c r="B23" s="212">
        <v>5.5</v>
      </c>
      <c r="C23" s="213" t="s">
        <v>197</v>
      </c>
      <c r="D23" s="212">
        <v>6</v>
      </c>
      <c r="E23" s="214">
        <f>IFERROR(VLOOKUP(A23,Vacancy_Calculator!$A$4:$D$35,4,FALSE()),0)</f>
        <v>2</v>
      </c>
      <c r="F23" s="399">
        <f t="shared" si="1"/>
        <v>0.9</v>
      </c>
      <c r="G23" s="211" t="str">
        <f t="shared" si="2"/>
        <v>Competition Risk</v>
      </c>
      <c r="H23" s="123"/>
      <c r="I23" s="354" t="s">
        <v>404</v>
      </c>
      <c r="J23" s="71">
        <v>74</v>
      </c>
      <c r="K23" s="72">
        <v>250</v>
      </c>
      <c r="L23" s="76">
        <v>33.5</v>
      </c>
      <c r="M23" s="72">
        <v>119</v>
      </c>
      <c r="N23" s="71">
        <v>4.66</v>
      </c>
      <c r="O23" s="395">
        <f>IFERROR(((K23*200)/(N23^4))*(1+((J23-76.5)/76.5))*(1+(((L23-33)/33)*0.1+((M23-115.5)/115.5)*0.1)),0)</f>
        <v>103.03059669380747</v>
      </c>
      <c r="P23" s="77">
        <v>8.75</v>
      </c>
      <c r="Q23" s="396">
        <v>0.55559999999999998</v>
      </c>
      <c r="R23" s="396">
        <v>5.8999999999999997E-2</v>
      </c>
      <c r="S23" s="71">
        <v>1.2163999999999999</v>
      </c>
      <c r="T23" s="328">
        <v>8.1999999999999993</v>
      </c>
      <c r="U23" s="302">
        <v>6.51</v>
      </c>
      <c r="V23" s="382">
        <v>6.5799999999999997E-2</v>
      </c>
      <c r="W23" s="382">
        <v>0.65339999999999998</v>
      </c>
      <c r="X23" s="300">
        <v>6</v>
      </c>
      <c r="Y23" s="403">
        <v>0.15</v>
      </c>
      <c r="Z23" s="290">
        <v>1</v>
      </c>
      <c r="AA23" s="315">
        <f>ROUND(MIN(20,MAX(0,(T23/10)*20))+MIN(20,MAX(0,(O23/120)*20))+MIN(20,MAX(0,(S23/3)*20))+MIN(20,MAX(0,(Q23/0.7)*20))+MIN(10,MAX(0,(R23/0.25)*10))+MIN(10,MAX(0,(W23/0.8)*10)),1)</f>
        <v>68.099999999999994</v>
      </c>
      <c r="AB23" s="397">
        <f>ROUND(MIN(25,MAX(0,(R23/0.25)*25))+MIN(25,MAX(0,(S23/2.5)*25))+MIN(15,MAX(0,(U23/6)*15))+MIN(15,MAX(0,(V23/0.22)*15))+IF(ISNUMBER(AC23),MAX(0,20-((INT(AC23)-1)*32+ROUND(MOD(AC23,1)*100,0))*0.07),IF(LOWER(AC23)="udfa",3,10)),1)</f>
        <v>45.7</v>
      </c>
      <c r="AC23" s="404">
        <v>5.41</v>
      </c>
      <c r="AD23" s="404" t="s">
        <v>103</v>
      </c>
      <c r="AE23" s="387">
        <f>IF(AD23="","1.00",IFERROR(VLOOKUP(AD23,'TE Model Page'!$A:$F,6,FALSE()),1))</f>
        <v>1.05</v>
      </c>
      <c r="AF23" s="183">
        <f>IF(AND(LOWER(AC23)="udfa",OR(AD23="N/A",AD23="")),-999,ROUND(MIN(99.9,MAX(0,IF((MIN(38,38*EXP(-0.005*(IF(ISNUMBER(AC23),(INT(AC23)-1)*32+ROUND(MOD(AC23,1)*100,0),256)-1)))+MAX(MIN(T23/10,1),0)*8+MAX(MIN(O23/120,1),0)*5+(P23/10)*5+IF(S23&gt;=2.5,22,(S23/2.5)*22)+MIN(3,MAX(0,(1-(X23/10))*3))+IF(R23&gt;=0.28,13,(R23/0.28)*13)*Z23+MIN(6,MAX(0,(Q23/0.65)*6))*Z23+MIN(5,MAX(0,(U23/5)*5))*Z23+MIN(5,MAX(0,(V23/0.22)*5))*Z23+MIN(4,MAX(0,(W23/0.8)*4))*Z23+MIN(4,MAX(0,(Y23/0.25)*4))*Z23)&gt;60,60+SQRT((MIN(38,38*EXP(-0.005*(IF(ISNUMBER(AC23),(INT(AC23)-1)*32+ROUND(MOD(AC23,1)*100,0),256)-1)))+MAX(MIN(T23/10,1),0)*8+MAX(MIN(O23/120,1),0)*5+(P23/10)*5+IF(S23&gt;=2.5,22,(S23/2.5)*22)+MIN(3,MAX(0,(1-(X23/10))*3))+IF(R23&gt;=0.28,13,(R23/0.28)*13)*Z23+MIN(6,MAX(0,(Q23/0.65)*6))*Z23+MIN(5,MAX(0,(U23/5)*5))*Z23+MIN(5,MAX(0,(V23/0.22)*5))*Z23+MIN(4,MAX(0,(W23/0.8)*4))*Z23+MIN(4,MAX(0,(Y23/0.25)*4))*Z23)-60)*4.8,(MIN(38,38*EXP(-0.005*(IF(ISNUMBER(AC23),(INT(AC23)-1)*32+ROUND(MOD(AC23,1)*100,0),256)-1)))+MAX(MIN(T23/10,1),0)*8+MAX(MIN(O23/120,1),0)*5+(P23/10)*5+IF(S23&gt;=2.5,22,(S23/2.5)*22)+MIN(3,MAX(0,(1-(X23/10))*3))+IF(R23&gt;=0.28,13,(R23/0.28)*13)*Z23+MIN(6,MAX(0,(Q23/0.65)*6))*Z23+MIN(5,MAX(0,(U23/5)*5))*Z23+MIN(5,MAX(0,(V23/0.22)*5))*Z23+MIN(4,MAX(0,(W23/0.8)*4))*Z23+MIN(4,MAX(0,(Y23/0.25)*4))*Z23)))*MAX(1,IFERROR(VALUE(AE23),1))),1))</f>
        <v>72.5</v>
      </c>
      <c r="AG23" s="388" t="str">
        <f t="shared" si="0"/>
        <v>Stash</v>
      </c>
      <c r="AH23" s="123"/>
    </row>
    <row r="24" spans="1:34" ht="15.75" customHeight="1" x14ac:dyDescent="0.3">
      <c r="A24" s="211" t="s">
        <v>133</v>
      </c>
      <c r="B24" s="212">
        <v>6.5</v>
      </c>
      <c r="C24" s="213" t="s">
        <v>187</v>
      </c>
      <c r="D24" s="212">
        <v>7</v>
      </c>
      <c r="E24" s="214">
        <f>IFERROR(VLOOKUP(A24,Vacancy_Calculator!$A$4:$D$35,4,FALSE()),0)</f>
        <v>4</v>
      </c>
      <c r="F24" s="399">
        <f t="shared" si="1"/>
        <v>1</v>
      </c>
      <c r="G24" s="211" t="str">
        <f t="shared" si="2"/>
        <v>Neutral</v>
      </c>
      <c r="H24" s="123"/>
      <c r="I24" s="354" t="s">
        <v>405</v>
      </c>
      <c r="J24" s="71">
        <v>77</v>
      </c>
      <c r="K24" s="72">
        <v>249</v>
      </c>
      <c r="L24" s="76">
        <v>35</v>
      </c>
      <c r="M24" s="72">
        <v>120</v>
      </c>
      <c r="N24" s="71">
        <v>4.63</v>
      </c>
      <c r="O24" s="395">
        <f>IFERROR(((K24*200)/(N24^4))*(1+((J24-76.5)/76.5))*(1+(((L24-33)/33)*0.1+((M24-115.5)/115.5)*0.1)),0)</f>
        <v>110.1634244568633</v>
      </c>
      <c r="P24" s="77">
        <v>9.625</v>
      </c>
      <c r="Q24" s="396">
        <v>0.5</v>
      </c>
      <c r="R24" s="396">
        <v>0.1128</v>
      </c>
      <c r="S24" s="71">
        <v>1.1000000000000001</v>
      </c>
      <c r="T24" s="328">
        <v>8.3000000000000007</v>
      </c>
      <c r="U24" s="302">
        <v>5</v>
      </c>
      <c r="V24" s="382">
        <v>0.1176</v>
      </c>
      <c r="W24" s="382">
        <v>0.75800000000000001</v>
      </c>
      <c r="X24" s="300">
        <v>6.5</v>
      </c>
      <c r="Y24" s="403">
        <v>0.16</v>
      </c>
      <c r="Z24" s="290">
        <v>1</v>
      </c>
      <c r="AA24" s="315">
        <f>ROUND(MIN(20,MAX(0,(T24/10)*20))+MIN(20,MAX(0,(O24/120)*20))+MIN(20,MAX(0,(S24/3)*20))+MIN(20,MAX(0,(Q24/0.7)*20))+MIN(10,MAX(0,(R24/0.25)*10))+MIN(10,MAX(0,(W24/0.8)*10)),1)</f>
        <v>70.599999999999994</v>
      </c>
      <c r="AB24" s="397">
        <f>ROUND(MIN(25,MAX(0,(R24/0.25)*25))+MIN(25,MAX(0,(S24/2.5)*25))+MIN(15,MAX(0,(U24/6)*15))+MIN(15,MAX(0,(V24/0.22)*15))+IF(ISNUMBER(AC24),MAX(0,20-((INT(AC24)-1)*32+ROUND(MOD(AC24,1)*100,0))*0.07),IF(LOWER(AC24)="udfa",3,10)),1)</f>
        <v>49.8</v>
      </c>
      <c r="AC24" s="404">
        <v>6.25</v>
      </c>
      <c r="AD24" s="404" t="s">
        <v>126</v>
      </c>
      <c r="AE24" s="387">
        <f>IF(AD24="","1.00",IFERROR(VLOOKUP(AD24,'TE Model Page'!$A:$F,6,FALSE()),1))</f>
        <v>1</v>
      </c>
      <c r="AF24" s="183">
        <f>IF(AND(LOWER(AC24)="udfa",OR(AD24="N/A",AD24="")),-999,ROUND(MIN(99.9,MAX(0,IF((MIN(38,38*EXP(-0.005*(IF(ISNUMBER(AC24),(INT(AC24)-1)*32+ROUND(MOD(AC24,1)*100,0),256)-1)))+MAX(MIN(T24/10,1),0)*8+MAX(MIN(O24/120,1),0)*5+(P24/10)*5+IF(S24&gt;=2.5,22,(S24/2.5)*22)+MIN(3,MAX(0,(1-(X24/10))*3))+IF(R24&gt;=0.28,13,(R24/0.28)*13)*Z24+MIN(6,MAX(0,(Q24/0.65)*6))*Z24+MIN(5,MAX(0,(U24/5)*5))*Z24+MIN(5,MAX(0,(V24/0.22)*5))*Z24+MIN(4,MAX(0,(W24/0.8)*4))*Z24+MIN(4,MAX(0,(Y24/0.25)*4))*Z24)&gt;60,60+SQRT((MIN(38,38*EXP(-0.005*(IF(ISNUMBER(AC24),(INT(AC24)-1)*32+ROUND(MOD(AC24,1)*100,0),256)-1)))+MAX(MIN(T24/10,1),0)*8+MAX(MIN(O24/120,1),0)*5+(P24/10)*5+IF(S24&gt;=2.5,22,(S24/2.5)*22)+MIN(3,MAX(0,(1-(X24/10))*3))+IF(R24&gt;=0.28,13,(R24/0.28)*13)*Z24+MIN(6,MAX(0,(Q24/0.65)*6))*Z24+MIN(5,MAX(0,(U24/5)*5))*Z24+MIN(5,MAX(0,(V24/0.22)*5))*Z24+MIN(4,MAX(0,(W24/0.8)*4))*Z24+MIN(4,MAX(0,(Y24/0.25)*4))*Z24)-60)*4.8,(MIN(38,38*EXP(-0.005*(IF(ISNUMBER(AC24),(INT(AC24)-1)*32+ROUND(MOD(AC24,1)*100,0),256)-1)))+MAX(MIN(T24/10,1),0)*8+MAX(MIN(O24/120,1),0)*5+(P24/10)*5+IF(S24&gt;=2.5,22,(S24/2.5)*22)+MIN(3,MAX(0,(1-(X24/10))*3))+IF(R24&gt;=0.28,13,(R24/0.28)*13)*Z24+MIN(6,MAX(0,(Q24/0.65)*6))*Z24+MIN(5,MAX(0,(U24/5)*5))*Z24+MIN(5,MAX(0,(V24/0.22)*5))*Z24+MIN(4,MAX(0,(W24/0.8)*4))*Z24+MIN(4,MAX(0,(Y24/0.25)*4))*Z24)))*MAX(1,IFERROR(VALUE(AE24),1))),1))</f>
        <v>71.599999999999994</v>
      </c>
      <c r="AG24" s="388" t="str">
        <f t="shared" si="0"/>
        <v>Stash</v>
      </c>
      <c r="AH24" s="123"/>
    </row>
    <row r="25" spans="1:34" ht="15.75" customHeight="1" x14ac:dyDescent="0.3">
      <c r="A25" s="211" t="s">
        <v>137</v>
      </c>
      <c r="B25" s="212">
        <v>8</v>
      </c>
      <c r="C25" s="213" t="s">
        <v>187</v>
      </c>
      <c r="D25" s="212">
        <v>7</v>
      </c>
      <c r="E25" s="214">
        <f>IFERROR(VLOOKUP(A25,Vacancy_Calculator!$A$4:$D$35,4,FALSE()),0)</f>
        <v>2</v>
      </c>
      <c r="F25" s="399">
        <f t="shared" si="1"/>
        <v>1</v>
      </c>
      <c r="G25" s="211" t="str">
        <f t="shared" si="2"/>
        <v>Neutral</v>
      </c>
      <c r="H25" s="123"/>
      <c r="I25" s="354" t="s">
        <v>406</v>
      </c>
      <c r="J25" s="71">
        <v>76.099999999999994</v>
      </c>
      <c r="K25" s="72">
        <v>253</v>
      </c>
      <c r="L25" s="76">
        <v>35</v>
      </c>
      <c r="M25" s="72">
        <v>118</v>
      </c>
      <c r="N25" s="71">
        <v>4.62</v>
      </c>
      <c r="O25" s="395">
        <f>IFERROR(((K25*200)/(N25^4))*(1+((J25-76.5)/76.5))*(1+(((L25-33)/33)*0.1+((M25-115.5)/115.5)*0.1)),0)</f>
        <v>111.39439647712976</v>
      </c>
      <c r="P25" s="77">
        <v>9.25</v>
      </c>
      <c r="Q25" s="396">
        <v>0.23530000000000001</v>
      </c>
      <c r="R25" s="396">
        <v>0.11360000000000001</v>
      </c>
      <c r="S25" s="71">
        <v>1.5264</v>
      </c>
      <c r="T25" s="312">
        <v>9.3699999999999992</v>
      </c>
      <c r="U25" s="302">
        <v>5.28</v>
      </c>
      <c r="V25" s="382">
        <v>0.1178</v>
      </c>
      <c r="W25" s="382">
        <v>0.80149999999999999</v>
      </c>
      <c r="X25" s="383">
        <v>7</v>
      </c>
      <c r="Y25" s="384">
        <v>0.16</v>
      </c>
      <c r="Z25" s="290">
        <v>1</v>
      </c>
      <c r="AA25" s="315">
        <f>ROUND(MIN(20,MAX(0,(T25/10)*20))+MIN(20,MAX(0,(O25/120)*20))+MIN(20,MAX(0,(S25/3)*20))+MIN(20,MAX(0,(Q25/0.7)*20))+MIN(10,MAX(0,(R25/0.25)*10))+MIN(10,MAX(0,(W25/0.8)*10)),1)</f>
        <v>68.7</v>
      </c>
      <c r="AB25" s="397">
        <f>ROUND(MIN(25,MAX(0,(R25/0.25)*25))+MIN(25,MAX(0,(S25/2.5)*25))+MIN(15,MAX(0,(U25/6)*15))+MIN(15,MAX(0,(V25/0.22)*15))+IF(ISNUMBER(AC25),MAX(0,20-((INT(AC25)-1)*32+ROUND(MOD(AC25,1)*100,0))*0.07),IF(LOWER(AC25)="udfa",3,10)),1)</f>
        <v>49.9</v>
      </c>
      <c r="AC25" s="395">
        <v>7.64</v>
      </c>
      <c r="AD25" s="395" t="s">
        <v>115</v>
      </c>
      <c r="AE25" s="387">
        <f>IF(AD25="","1.00",IFERROR(VLOOKUP(AD25,'TE Model Page'!$A:$F,6,FALSE()),1))</f>
        <v>0.9</v>
      </c>
      <c r="AF25" s="183">
        <f>IF(AND(LOWER(AC25)="udfa",OR(AD25="N/A",AD25="")),-999,ROUND(MIN(99.9,MAX(0,IF((MIN(38,38*EXP(-0.005*(IF(ISNUMBER(AC25),(INT(AC25)-1)*32+ROUND(MOD(AC25,1)*100,0),256)-1)))+MAX(MIN(T25/10,1),0)*8+MAX(MIN(O25/120,1),0)*5+(P25/10)*5+IF(S25&gt;=2.5,22,(S25/2.5)*22)+MIN(3,MAX(0,(1-(X25/10))*3))+IF(R25&gt;=0.28,13,(R25/0.28)*13)*Z25+MIN(6,MAX(0,(Q25/0.65)*6))*Z25+MIN(5,MAX(0,(U25/5)*5))*Z25+MIN(5,MAX(0,(V25/0.22)*5))*Z25+MIN(4,MAX(0,(W25/0.8)*4))*Z25+MIN(4,MAX(0,(Y25/0.25)*4))*Z25)&gt;60,60+SQRT((MIN(38,38*EXP(-0.005*(IF(ISNUMBER(AC25),(INT(AC25)-1)*32+ROUND(MOD(AC25,1)*100,0),256)-1)))+MAX(MIN(T25/10,1),0)*8+MAX(MIN(O25/120,1),0)*5+(P25/10)*5+IF(S25&gt;=2.5,22,(S25/2.5)*22)+MIN(3,MAX(0,(1-(X25/10))*3))+IF(R25&gt;=0.28,13,(R25/0.28)*13)*Z25+MIN(6,MAX(0,(Q25/0.65)*6))*Z25+MIN(5,MAX(0,(U25/5)*5))*Z25+MIN(5,MAX(0,(V25/0.22)*5))*Z25+MIN(4,MAX(0,(W25/0.8)*4))*Z25+MIN(4,MAX(0,(Y25/0.25)*4))*Z25)-60)*4.8,(MIN(38,38*EXP(-0.005*(IF(ISNUMBER(AC25),(INT(AC25)-1)*32+ROUND(MOD(AC25,1)*100,0),256)-1)))+MAX(MIN(T25/10,1),0)*8+MAX(MIN(O25/120,1),0)*5+(P25/10)*5+IF(S25&gt;=2.5,22,(S25/2.5)*22)+MIN(3,MAX(0,(1-(X25/10))*3))+IF(R25&gt;=0.28,13,(R25/0.28)*13)*Z25+MIN(6,MAX(0,(Q25/0.65)*6))*Z25+MIN(5,MAX(0,(U25/5)*5))*Z25+MIN(5,MAX(0,(V25/0.22)*5))*Z25+MIN(4,MAX(0,(W25/0.8)*4))*Z25+MIN(4,MAX(0,(Y25/0.25)*4))*Z25)))*MAX(1,IFERROR(VALUE(AE25),1))),1))</f>
        <v>68.8</v>
      </c>
      <c r="AG25" s="388" t="str">
        <f t="shared" si="0"/>
        <v>Stash</v>
      </c>
      <c r="AH25" s="123"/>
    </row>
    <row r="26" spans="1:34" ht="15.75" customHeight="1" x14ac:dyDescent="0.3">
      <c r="A26" s="211" t="s">
        <v>114</v>
      </c>
      <c r="B26" s="212">
        <v>7</v>
      </c>
      <c r="C26" s="213" t="s">
        <v>201</v>
      </c>
      <c r="D26" s="212">
        <v>7</v>
      </c>
      <c r="E26" s="214">
        <f>IFERROR(VLOOKUP(A26,Vacancy_Calculator!$A$4:$D$35,4,FALSE()),0)</f>
        <v>2</v>
      </c>
      <c r="F26" s="399">
        <f t="shared" si="1"/>
        <v>1</v>
      </c>
      <c r="G26" s="211" t="str">
        <f t="shared" si="2"/>
        <v>Neutral</v>
      </c>
      <c r="H26" s="123"/>
      <c r="I26" s="354" t="s">
        <v>412</v>
      </c>
      <c r="J26" s="99">
        <v>75</v>
      </c>
      <c r="K26" s="340">
        <v>250</v>
      </c>
      <c r="L26" s="94">
        <v>35</v>
      </c>
      <c r="M26" s="340">
        <v>122</v>
      </c>
      <c r="N26" s="99">
        <v>4.55</v>
      </c>
      <c r="O26" s="395">
        <f>IFERROR(((K26*200)/(N26^4))*(1+((J26-76.5)/76.5))*(1+(((L26-33)/33)*0.1+((M26-115.5)/115.5)*0.1)),0)</f>
        <v>115.71002260944</v>
      </c>
      <c r="P26" s="402">
        <v>9.5</v>
      </c>
      <c r="Q26" s="414">
        <v>0.5</v>
      </c>
      <c r="R26" s="396">
        <v>5.6800000000000003E-2</v>
      </c>
      <c r="S26" s="71">
        <v>1.3857999999999999</v>
      </c>
      <c r="T26" s="312">
        <v>9.5</v>
      </c>
      <c r="U26" s="302">
        <v>5.24</v>
      </c>
      <c r="V26" s="382">
        <v>4.5699999999999998E-2</v>
      </c>
      <c r="W26" s="382">
        <v>0.83830000000000005</v>
      </c>
      <c r="X26" s="383">
        <v>6</v>
      </c>
      <c r="Y26" s="384">
        <v>0.18</v>
      </c>
      <c r="Z26" s="290">
        <v>1</v>
      </c>
      <c r="AA26" s="315">
        <f>ROUND(MIN(20,MAX(0,(T26/10)*20))+MIN(20,MAX(0,(O26/120)*20))+MIN(20,MAX(0,(S26/3)*20))+MIN(20,MAX(0,(Q26/0.7)*20))+MIN(10,MAX(0,(R26/0.25)*10))+MIN(10,MAX(0,(W26/0.8)*10)),1)</f>
        <v>74.099999999999994</v>
      </c>
      <c r="AB26" s="397">
        <f>ROUND(MIN(25,MAX(0,(R26/0.25)*25))+MIN(25,MAX(0,(S26/2.5)*25))+MIN(15,MAX(0,(U26/6)*15))+MIN(15,MAX(0,(V26/0.22)*15))+IF(ISNUMBER(AC26),MAX(0,20-((INT(AC26)-1)*32+ROUND(MOD(AC26,1)*100,0))*0.07),IF(LOWER(AC26)="udfa",3,10)),1)</f>
        <v>38.799999999999997</v>
      </c>
      <c r="AC26" s="395" t="s">
        <v>95</v>
      </c>
      <c r="AD26" s="395" t="s">
        <v>95</v>
      </c>
      <c r="AE26" s="387">
        <f>IF(AD26="","1.00",IFERROR(VLOOKUP(AD26,'TE Model Page'!$A:$F,6,FALSE()),1))</f>
        <v>1</v>
      </c>
      <c r="AF26" s="183">
        <f>IF(AND(LOWER(AC26)="udfa",OR(AD26="N/A",AD26="")),-999,ROUND(MIN(99.9,MAX(0,IF((MIN(38,38*EXP(-0.005*(IF(ISNUMBER(AC26),(INT(AC26)-1)*32+ROUND(MOD(AC26,1)*100,0),256)-1)))+MAX(MIN(T26/10,1),0)*8+MAX(MIN(O26/120,1),0)*5+(P26/10)*5+IF(S26&gt;=2.5,22,(S26/2.5)*22)+MIN(3,MAX(0,(1-(X26/10))*3))+IF(R26&gt;=0.28,13,(R26/0.28)*13)*Z26+MIN(6,MAX(0,(Q26/0.65)*6))*Z26+MIN(5,MAX(0,(U26/5)*5))*Z26+MIN(5,MAX(0,(V26/0.22)*5))*Z26+MIN(4,MAX(0,(W26/0.8)*4))*Z26+MIN(4,MAX(0,(Y26/0.25)*4))*Z26)&gt;60,60+SQRT((MIN(38,38*EXP(-0.005*(IF(ISNUMBER(AC26),(INT(AC26)-1)*32+ROUND(MOD(AC26,1)*100,0),256)-1)))+MAX(MIN(T26/10,1),0)*8+MAX(MIN(O26/120,1),0)*5+(P26/10)*5+IF(S26&gt;=2.5,22,(S26/2.5)*22)+MIN(3,MAX(0,(1-(X26/10))*3))+IF(R26&gt;=0.28,13,(R26/0.28)*13)*Z26+MIN(6,MAX(0,(Q26/0.65)*6))*Z26+MIN(5,MAX(0,(U26/5)*5))*Z26+MIN(5,MAX(0,(V26/0.22)*5))*Z26+MIN(4,MAX(0,(W26/0.8)*4))*Z26+MIN(4,MAX(0,(Y26/0.25)*4))*Z26)-60)*4.8,(MIN(38,38*EXP(-0.005*(IF(ISNUMBER(AC26),(INT(AC26)-1)*32+ROUND(MOD(AC26,1)*100,0),256)-1)))+MAX(MIN(T26/10,1),0)*8+MAX(MIN(O26/120,1),0)*5+(P26/10)*5+IF(S26&gt;=2.5,22,(S26/2.5)*22)+MIN(3,MAX(0,(1-(X26/10))*3))+IF(R26&gt;=0.28,13,(R26/0.28)*13)*Z26+MIN(6,MAX(0,(Q26/0.65)*6))*Z26+MIN(5,MAX(0,(U26/5)*5))*Z26+MIN(5,MAX(0,(V26/0.22)*5))*Z26+MIN(4,MAX(0,(W26/0.8)*4))*Z26+MIN(4,MAX(0,(Y26/0.25)*4))*Z26)))*MAX(1,IFERROR(VALUE(AE26),1))),1))</f>
        <v>65.599999999999994</v>
      </c>
      <c r="AG26" s="388" t="str">
        <f t="shared" si="0"/>
        <v>Stash</v>
      </c>
      <c r="AH26" s="123"/>
    </row>
    <row r="27" spans="1:34" ht="15.75" customHeight="1" x14ac:dyDescent="0.3">
      <c r="A27" s="211" t="s">
        <v>138</v>
      </c>
      <c r="B27" s="212">
        <v>7.5</v>
      </c>
      <c r="C27" s="213" t="s">
        <v>187</v>
      </c>
      <c r="D27" s="212">
        <v>8</v>
      </c>
      <c r="E27" s="214">
        <f>IFERROR(VLOOKUP(A27,Vacancy_Calculator!$A$4:$D$35,4,FALSE()),0)</f>
        <v>0</v>
      </c>
      <c r="F27" s="399">
        <f t="shared" si="1"/>
        <v>0.9</v>
      </c>
      <c r="G27" s="211" t="str">
        <f t="shared" si="2"/>
        <v>Competition Risk</v>
      </c>
      <c r="H27" s="123"/>
      <c r="I27" s="354" t="s">
        <v>407</v>
      </c>
      <c r="J27" s="71">
        <v>76</v>
      </c>
      <c r="K27" s="72">
        <v>258</v>
      </c>
      <c r="L27" s="94">
        <v>34</v>
      </c>
      <c r="M27" s="340">
        <v>116</v>
      </c>
      <c r="N27" s="99">
        <v>4.75</v>
      </c>
      <c r="O27" s="395">
        <f>IFERROR(((K27*200)/(N27^4))*(1+((J27-76.5)/76.5))*(1+(((L27-33)/33)*0.1+((M27-115.5)/115.5)*0.1)),0)</f>
        <v>101.04826754003876</v>
      </c>
      <c r="P27" s="77">
        <v>9.5</v>
      </c>
      <c r="Q27" s="396">
        <v>0.66669999999999996</v>
      </c>
      <c r="R27" s="396">
        <v>6.08E-2</v>
      </c>
      <c r="S27" s="71">
        <v>1.2629999999999999</v>
      </c>
      <c r="T27" s="312">
        <v>7.2</v>
      </c>
      <c r="U27" s="302">
        <v>5.67</v>
      </c>
      <c r="V27" s="382">
        <v>6.3299999999999995E-2</v>
      </c>
      <c r="W27" s="382">
        <v>0.76519999999999999</v>
      </c>
      <c r="X27" s="383">
        <v>6</v>
      </c>
      <c r="Y27" s="384">
        <v>0.18</v>
      </c>
      <c r="Z27" s="290">
        <v>1</v>
      </c>
      <c r="AA27" s="315">
        <f>ROUND(MIN(20,MAX(0,(T27/10)*20))+MIN(20,MAX(0,(O27/120)*20))+MIN(20,MAX(0,(S27/3)*20))+MIN(20,MAX(0,(Q27/0.7)*20))+MIN(10,MAX(0,(R27/0.25)*10))+MIN(10,MAX(0,(W27/0.8)*10)),1)</f>
        <v>70.7</v>
      </c>
      <c r="AB27" s="397">
        <f>ROUND(MIN(25,MAX(0,(R27/0.25)*25))+MIN(25,MAX(0,(S27/2.5)*25))+MIN(15,MAX(0,(U27/6)*15))+MIN(15,MAX(0,(V27/0.22)*15))+IF(ISNUMBER(AC27),MAX(0,20-((INT(AC27)-1)*32+ROUND(MOD(AC27,1)*100,0))*0.07),IF(LOWER(AC27)="udfa",3,10)),1)</f>
        <v>40.200000000000003</v>
      </c>
      <c r="AC27" s="395" t="s">
        <v>95</v>
      </c>
      <c r="AD27" s="395" t="s">
        <v>112</v>
      </c>
      <c r="AE27" s="387">
        <f>IF(AD27="","1.00",IFERROR(VLOOKUP(AD27,'TE Model Page'!$A:$F,6,FALSE()),1))</f>
        <v>0.9</v>
      </c>
      <c r="AF27" s="183">
        <f>IF(AND(LOWER(AC27)="udfa",OR(AD27="N/A",AD27="")),-999,ROUND(MIN(99.9,MAX(0,IF((MIN(38,38*EXP(-0.005*(IF(ISNUMBER(AC27),(INT(AC27)-1)*32+ROUND(MOD(AC27,1)*100,0),256)-1)))+MAX(MIN(T27/10,1),0)*8+MAX(MIN(O27/120,1),0)*5+(P27/10)*5+IF(S27&gt;=2.5,22,(S27/2.5)*22)+MIN(3,MAX(0,(1-(X27/10))*3))+IF(R27&gt;=0.28,13,(R27/0.28)*13)*Z27+MIN(6,MAX(0,(Q27/0.65)*6))*Z27+MIN(5,MAX(0,(U27/5)*5))*Z27+MIN(5,MAX(0,(V27/0.22)*5))*Z27+MIN(4,MAX(0,(W27/0.8)*4))*Z27+MIN(4,MAX(0,(Y27/0.25)*4))*Z27)&gt;60,60+SQRT((MIN(38,38*EXP(-0.005*(IF(ISNUMBER(AC27),(INT(AC27)-1)*32+ROUND(MOD(AC27,1)*100,0),256)-1)))+MAX(MIN(T27/10,1),0)*8+MAX(MIN(O27/120,1),0)*5+(P27/10)*5+IF(S27&gt;=2.5,22,(S27/2.5)*22)+MIN(3,MAX(0,(1-(X27/10))*3))+IF(R27&gt;=0.28,13,(R27/0.28)*13)*Z27+MIN(6,MAX(0,(Q27/0.65)*6))*Z27+MIN(5,MAX(0,(U27/5)*5))*Z27+MIN(5,MAX(0,(V27/0.22)*5))*Z27+MIN(4,MAX(0,(W27/0.8)*4))*Z27+MIN(4,MAX(0,(Y27/0.25)*4))*Z27)-60)*4.8,(MIN(38,38*EXP(-0.005*(IF(ISNUMBER(AC27),(INT(AC27)-1)*32+ROUND(MOD(AC27,1)*100,0),256)-1)))+MAX(MIN(T27/10,1),0)*8+MAX(MIN(O27/120,1),0)*5+(P27/10)*5+IF(S27&gt;=2.5,22,(S27/2.5)*22)+MIN(3,MAX(0,(1-(X27/10))*3))+IF(R27&gt;=0.28,13,(R27/0.28)*13)*Z27+MIN(6,MAX(0,(Q27/0.65)*6))*Z27+MIN(5,MAX(0,(U27/5)*5))*Z27+MIN(5,MAX(0,(V27/0.22)*5))*Z27+MIN(4,MAX(0,(W27/0.8)*4))*Z27+MIN(4,MAX(0,(Y27/0.25)*4))*Z27)))*MAX(1,IFERROR(VALUE(AE27),1))),1))</f>
        <v>59.6</v>
      </c>
      <c r="AG27" s="388" t="str">
        <f t="shared" si="0"/>
        <v>Street Free Agent</v>
      </c>
      <c r="AH27" s="123"/>
    </row>
    <row r="28" spans="1:34" ht="15.75" customHeight="1" x14ac:dyDescent="0.3">
      <c r="A28" s="211" t="s">
        <v>139</v>
      </c>
      <c r="B28" s="212">
        <v>5.5</v>
      </c>
      <c r="C28" s="213" t="s">
        <v>197</v>
      </c>
      <c r="D28" s="212">
        <v>6</v>
      </c>
      <c r="E28" s="214">
        <f>IFERROR(VLOOKUP(A28,Vacancy_Calculator!$A$4:$D$35,4,FALSE()),0)</f>
        <v>0</v>
      </c>
      <c r="F28" s="399">
        <f t="shared" si="1"/>
        <v>0.9</v>
      </c>
      <c r="G28" s="211" t="str">
        <f t="shared" si="2"/>
        <v>Competition Risk</v>
      </c>
      <c r="H28" s="123"/>
      <c r="I28" s="354" t="s">
        <v>408</v>
      </c>
      <c r="J28" s="99">
        <v>77</v>
      </c>
      <c r="K28" s="340">
        <v>251</v>
      </c>
      <c r="L28" s="76">
        <v>34.5</v>
      </c>
      <c r="M28" s="72">
        <v>116</v>
      </c>
      <c r="N28" s="71">
        <v>4.9000000000000004</v>
      </c>
      <c r="O28" s="395">
        <f>IFERROR(((K28*200)/(N28^4))*(1+((J28-76.5)/76.5))*(1+(((L28-33)/33)*0.1+((M28-115.5)/115.5)*0.1)),0)</f>
        <v>88.0856970017213</v>
      </c>
      <c r="P28" s="402">
        <v>9.875</v>
      </c>
      <c r="Q28" s="396">
        <v>0.30769999999999997</v>
      </c>
      <c r="R28" s="396">
        <v>9.2999999999999999E-2</v>
      </c>
      <c r="S28" s="71">
        <v>1.4196</v>
      </c>
      <c r="T28" s="312">
        <v>6.8</v>
      </c>
      <c r="U28" s="302">
        <v>5.16</v>
      </c>
      <c r="V28" s="382">
        <v>8.77E-2</v>
      </c>
      <c r="W28" s="382">
        <v>0.71579999999999999</v>
      </c>
      <c r="X28" s="383">
        <v>6</v>
      </c>
      <c r="Y28" s="384">
        <v>0.15</v>
      </c>
      <c r="Z28" s="290">
        <v>1</v>
      </c>
      <c r="AA28" s="315">
        <f>ROUND(MIN(20,MAX(0,(T28/10)*20))+MIN(20,MAX(0,(O28/120)*20))+MIN(20,MAX(0,(S28/3)*20))+MIN(20,MAX(0,(Q28/0.7)*20))+MIN(10,MAX(0,(R28/0.25)*10))+MIN(10,MAX(0,(W28/0.8)*10)),1)</f>
        <v>59.2</v>
      </c>
      <c r="AB28" s="397">
        <f>ROUND(MIN(25,MAX(0,(R28/0.25)*25))+MIN(25,MAX(0,(S28/2.5)*25))+MIN(15,MAX(0,(U28/6)*15))+MIN(15,MAX(0,(V28/0.22)*15))+IF(ISNUMBER(AC28),MAX(0,20-((INT(AC28)-1)*32+ROUND(MOD(AC28,1)*100,0))*0.07),IF(LOWER(AC28)="udfa",3,10)),1)</f>
        <v>45.4</v>
      </c>
      <c r="AC28" s="395" t="s">
        <v>95</v>
      </c>
      <c r="AD28" s="395" t="s">
        <v>111</v>
      </c>
      <c r="AE28" s="387">
        <f>IF(AD28="","1.00",IFERROR(VLOOKUP(AD28,'TE Model Page'!$A:$F,6,FALSE()),1))</f>
        <v>1</v>
      </c>
      <c r="AF28" s="183">
        <f>IF(AND(LOWER(AC28)="udfa",OR(AD28="N/A",AD28="")),-999,ROUND(MIN(99.9,MAX(0,IF((MIN(38,38*EXP(-0.005*(IF(ISNUMBER(AC28),(INT(AC28)-1)*32+ROUND(MOD(AC28,1)*100,0),256)-1)))+MAX(MIN(T28/10,1),0)*8+MAX(MIN(O28/120,1),0)*5+(P28/10)*5+IF(S28&gt;=2.5,22,(S28/2.5)*22)+MIN(3,MAX(0,(1-(X28/10))*3))+IF(R28&gt;=0.28,13,(R28/0.28)*13)*Z28+MIN(6,MAX(0,(Q28/0.65)*6))*Z28+MIN(5,MAX(0,(U28/5)*5))*Z28+MIN(5,MAX(0,(V28/0.22)*5))*Z28+MIN(4,MAX(0,(W28/0.8)*4))*Z28+MIN(4,MAX(0,(Y28/0.25)*4))*Z28)&gt;60,60+SQRT((MIN(38,38*EXP(-0.005*(IF(ISNUMBER(AC28),(INT(AC28)-1)*32+ROUND(MOD(AC28,1)*100,0),256)-1)))+MAX(MIN(T28/10,1),0)*8+MAX(MIN(O28/120,1),0)*5+(P28/10)*5+IF(S28&gt;=2.5,22,(S28/2.5)*22)+MIN(3,MAX(0,(1-(X28/10))*3))+IF(R28&gt;=0.28,13,(R28/0.28)*13)*Z28+MIN(6,MAX(0,(Q28/0.65)*6))*Z28+MIN(5,MAX(0,(U28/5)*5))*Z28+MIN(5,MAX(0,(V28/0.22)*5))*Z28+MIN(4,MAX(0,(W28/0.8)*4))*Z28+MIN(4,MAX(0,(Y28/0.25)*4))*Z28)-60)*4.8,(MIN(38,38*EXP(-0.005*(IF(ISNUMBER(AC28),(INT(AC28)-1)*32+ROUND(MOD(AC28,1)*100,0),256)-1)))+MAX(MIN(T28/10,1),0)*8+MAX(MIN(O28/120,1),0)*5+(P28/10)*5+IF(S28&gt;=2.5,22,(S28/2.5)*22)+MIN(3,MAX(0,(1-(X28/10))*3))+IF(R28&gt;=0.28,13,(R28/0.28)*13)*Z28+MIN(6,MAX(0,(Q28/0.65)*6))*Z28+MIN(5,MAX(0,(U28/5)*5))*Z28+MIN(5,MAX(0,(V28/0.22)*5))*Z28+MIN(4,MAX(0,(W28/0.8)*4))*Z28+MIN(4,MAX(0,(Y28/0.25)*4))*Z28)))*MAX(1,IFERROR(VALUE(AE28),1))),1))</f>
        <v>58.5</v>
      </c>
      <c r="AG28" s="388" t="str">
        <f t="shared" si="0"/>
        <v>Street Free Agent</v>
      </c>
      <c r="AH28" s="123"/>
    </row>
    <row r="29" spans="1:34" s="14" customFormat="1" ht="15.75" customHeight="1" x14ac:dyDescent="0.3">
      <c r="A29" s="213" t="s">
        <v>101</v>
      </c>
      <c r="B29" s="411">
        <v>6.5</v>
      </c>
      <c r="C29" s="213" t="s">
        <v>197</v>
      </c>
      <c r="D29" s="411">
        <v>6.5</v>
      </c>
      <c r="E29" s="412">
        <f>IFERROR(VLOOKUP(A29,Vacancy_Calculator!$A$4:$D$35,4,FALSE()),0)</f>
        <v>2</v>
      </c>
      <c r="F29" s="413">
        <f t="shared" si="1"/>
        <v>1</v>
      </c>
      <c r="G29" s="213" t="str">
        <f t="shared" si="2"/>
        <v>Neutral</v>
      </c>
      <c r="H29" s="127"/>
      <c r="I29" s="354" t="s">
        <v>411</v>
      </c>
      <c r="J29" s="99">
        <v>77</v>
      </c>
      <c r="K29" s="340">
        <v>230</v>
      </c>
      <c r="L29" s="94">
        <v>35.5</v>
      </c>
      <c r="M29" s="340">
        <v>128</v>
      </c>
      <c r="N29" s="99">
        <v>4.5999999999999996</v>
      </c>
      <c r="O29" s="395">
        <f>IFERROR(((K29*200)/(N29^4))*(1+((J29-76.5)/76.5))*(1+(((L29-33)/33)*0.1+((M29-115.5)/115.5)*0.1)),0)</f>
        <v>105.31092979277319</v>
      </c>
      <c r="P29" s="402">
        <v>9.25</v>
      </c>
      <c r="Q29" s="396">
        <v>0.75</v>
      </c>
      <c r="R29" s="396">
        <v>3.8300000000000001E-2</v>
      </c>
      <c r="S29" s="71">
        <v>1.0667</v>
      </c>
      <c r="T29" s="312">
        <v>9.6</v>
      </c>
      <c r="U29" s="302">
        <v>4.7699999999999996</v>
      </c>
      <c r="V29" s="382">
        <v>4.1099999999999998E-2</v>
      </c>
      <c r="W29" s="382">
        <v>0.74139999999999995</v>
      </c>
      <c r="X29" s="383">
        <v>5.5</v>
      </c>
      <c r="Y29" s="384">
        <v>0.18</v>
      </c>
      <c r="Z29" s="290">
        <v>1</v>
      </c>
      <c r="AA29" s="315">
        <f>ROUND(MIN(20,MAX(0,(T29/10)*20))+MIN(20,MAX(0,(O29/120)*20))+MIN(20,MAX(0,(S29/3)*20))+MIN(20,MAX(0,(Q29/0.7)*20))+MIN(10,MAX(0,(R29/0.25)*10))+MIN(10,MAX(0,(W29/0.8)*10)),1)</f>
        <v>74.7</v>
      </c>
      <c r="AB29" s="397">
        <f>ROUND(MIN(25,MAX(0,(R29/0.25)*25))+MIN(25,MAX(0,(S29/2.5)*25))+MIN(15,MAX(0,(U29/6)*15))+MIN(15,MAX(0,(V29/0.22)*15))+IF(ISNUMBER(AC29),MAX(0,20-((INT(AC29)-1)*32+ROUND(MOD(AC29,1)*100,0))*0.07),IF(LOWER(AC29)="udfa",3,10)),1)</f>
        <v>32.200000000000003</v>
      </c>
      <c r="AC29" s="395" t="s">
        <v>95</v>
      </c>
      <c r="AD29" s="395" t="s">
        <v>95</v>
      </c>
      <c r="AE29" s="387">
        <f>IF(AD29="","1.00",IFERROR(VLOOKUP(AD29,'TE Model Page'!$A:$F,6,FALSE()),1))</f>
        <v>1</v>
      </c>
      <c r="AF29" s="183">
        <f>IF(AND(LOWER(AC29)="udfa",OR(AD29="N/A",AD29="")),-999,ROUND(MIN(99.9,MAX(0,IF((MIN(38,38*EXP(-0.005*(IF(ISNUMBER(AC29),(INT(AC29)-1)*32+ROUND(MOD(AC29,1)*100,0),256)-1)))+MAX(MIN(T29/10,1),0)*8+MAX(MIN(O29/120,1),0)*5+(P29/10)*5+IF(S29&gt;=2.5,22,(S29/2.5)*22)+MIN(3,MAX(0,(1-(X29/10))*3))+IF(R29&gt;=0.28,13,(R29/0.28)*13)*Z29+MIN(6,MAX(0,(Q29/0.65)*6))*Z29+MIN(5,MAX(0,(U29/5)*5))*Z29+MIN(5,MAX(0,(V29/0.22)*5))*Z29+MIN(4,MAX(0,(W29/0.8)*4))*Z29+MIN(4,MAX(0,(Y29/0.25)*4))*Z29)&gt;60,60+SQRT((MIN(38,38*EXP(-0.005*(IF(ISNUMBER(AC29),(INT(AC29)-1)*32+ROUND(MOD(AC29,1)*100,0),256)-1)))+MAX(MIN(T29/10,1),0)*8+MAX(MIN(O29/120,1),0)*5+(P29/10)*5+IF(S29&gt;=2.5,22,(S29/2.5)*22)+MIN(3,MAX(0,(1-(X29/10))*3))+IF(R29&gt;=0.28,13,(R29/0.28)*13)*Z29+MIN(6,MAX(0,(Q29/0.65)*6))*Z29+MIN(5,MAX(0,(U29/5)*5))*Z29+MIN(5,MAX(0,(V29/0.22)*5))*Z29+MIN(4,MAX(0,(W29/0.8)*4))*Z29+MIN(4,MAX(0,(Y29/0.25)*4))*Z29)-60)*4.8,(MIN(38,38*EXP(-0.005*(IF(ISNUMBER(AC29),(INT(AC29)-1)*32+ROUND(MOD(AC29,1)*100,0),256)-1)))+MAX(MIN(T29/10,1),0)*8+MAX(MIN(O29/120,1),0)*5+(P29/10)*5+IF(S29&gt;=2.5,22,(S29/2.5)*22)+MIN(3,MAX(0,(1-(X29/10))*3))+IF(R29&gt;=0.28,13,(R29/0.28)*13)*Z29+MIN(6,MAX(0,(Q29/0.65)*6))*Z29+MIN(5,MAX(0,(U29/5)*5))*Z29+MIN(5,MAX(0,(V29/0.22)*5))*Z29+MIN(4,MAX(0,(W29/0.8)*4))*Z29+MIN(4,MAX(0,(Y29/0.25)*4))*Z29)))*MAX(1,IFERROR(VALUE(AE29),1))),1))</f>
        <v>58.1</v>
      </c>
      <c r="AG29" s="388" t="str">
        <f t="shared" si="0"/>
        <v>Street Free Agent</v>
      </c>
      <c r="AH29" s="127"/>
    </row>
    <row r="30" spans="1:34" ht="15.75" customHeight="1" x14ac:dyDescent="0.3">
      <c r="A30" s="211" t="s">
        <v>120</v>
      </c>
      <c r="B30" s="212">
        <v>9</v>
      </c>
      <c r="C30" s="213" t="s">
        <v>201</v>
      </c>
      <c r="D30" s="212">
        <v>7.5</v>
      </c>
      <c r="E30" s="214">
        <f>IFERROR(VLOOKUP(A30,Vacancy_Calculator!$A$4:$D$35,4,FALSE()),0)</f>
        <v>0</v>
      </c>
      <c r="F30" s="399">
        <f t="shared" si="1"/>
        <v>1</v>
      </c>
      <c r="G30" s="211" t="str">
        <f t="shared" si="2"/>
        <v>Neutral</v>
      </c>
      <c r="H30" s="123"/>
      <c r="I30" s="354" t="s">
        <v>409</v>
      </c>
      <c r="J30" s="99">
        <v>76</v>
      </c>
      <c r="K30" s="340">
        <v>245</v>
      </c>
      <c r="L30" s="94">
        <v>32</v>
      </c>
      <c r="M30" s="340">
        <v>110</v>
      </c>
      <c r="N30" s="99">
        <v>4.68</v>
      </c>
      <c r="O30" s="395">
        <f>IFERROR(((K30*200)/(N30^4))*(1+((J30-76.5)/76.5))*(1+(((L30-33)/33)*0.1+((M30-115.5)/115.5)*0.1)),0)</f>
        <v>100.68562221677767</v>
      </c>
      <c r="P30" s="402">
        <v>9.8800000000000008</v>
      </c>
      <c r="Q30" s="396">
        <v>0.45450000000000002</v>
      </c>
      <c r="R30" s="396">
        <v>7.4300000000000005E-2</v>
      </c>
      <c r="S30" s="71">
        <v>0.96660000000000001</v>
      </c>
      <c r="T30" s="312">
        <v>8.6999999999999993</v>
      </c>
      <c r="U30" s="302">
        <v>4.3600000000000003</v>
      </c>
      <c r="V30" s="382">
        <v>8.3500000000000005E-2</v>
      </c>
      <c r="W30" s="382">
        <v>0.75549999999999995</v>
      </c>
      <c r="X30" s="383">
        <v>5</v>
      </c>
      <c r="Y30" s="384">
        <v>0.15</v>
      </c>
      <c r="Z30" s="290">
        <v>1</v>
      </c>
      <c r="AA30" s="315">
        <f>ROUND(MIN(20,MAX(0,(T30/10)*20))+MIN(20,MAX(0,(O30/120)*20))+MIN(20,MAX(0,(S30/3)*20))+MIN(20,MAX(0,(Q30/0.7)*20))+MIN(10,MAX(0,(R30/0.25)*10))+MIN(10,MAX(0,(W30/0.8)*10)),1)</f>
        <v>66</v>
      </c>
      <c r="AB30" s="397">
        <f>ROUND(MIN(25,MAX(0,(R30/0.25)*25))+MIN(25,MAX(0,(S30/2.5)*25))+MIN(15,MAX(0,(U30/6)*15))+MIN(15,MAX(0,(V30/0.22)*15))+IF(ISNUMBER(AC30),MAX(0,20-((INT(AC30)-1)*32+ROUND(MOD(AC30,1)*100,0))*0.07),IF(LOWER(AC30)="udfa",3,10)),1)</f>
        <v>36.700000000000003</v>
      </c>
      <c r="AC30" s="395" t="s">
        <v>95</v>
      </c>
      <c r="AD30" s="395" t="s">
        <v>92</v>
      </c>
      <c r="AE30" s="387">
        <f>IF(AD30="","1.00",IFERROR(VLOOKUP(AD30,'TE Model Page'!$A:$F,6,FALSE()),1))</f>
        <v>0.9</v>
      </c>
      <c r="AF30" s="183">
        <f>IF(AND(LOWER(AC30)="udfa",OR(AD30="N/A",AD30="")),-999,ROUND(MIN(99.9,MAX(0,IF((MIN(38,38*EXP(-0.005*(IF(ISNUMBER(AC30),(INT(AC30)-1)*32+ROUND(MOD(AC30,1)*100,0),256)-1)))+MAX(MIN(T30/10,1),0)*8+MAX(MIN(O30/120,1),0)*5+(P30/10)*5+IF(S30&gt;=2.5,22,(S30/2.5)*22)+MIN(3,MAX(0,(1-(X30/10))*3))+IF(R30&gt;=0.28,13,(R30/0.28)*13)*Z30+MIN(6,MAX(0,(Q30/0.65)*6))*Z30+MIN(5,MAX(0,(U30/5)*5))*Z30+MIN(5,MAX(0,(V30/0.22)*5))*Z30+MIN(4,MAX(0,(W30/0.8)*4))*Z30+MIN(4,MAX(0,(Y30/0.25)*4))*Z30)&gt;60,60+SQRT((MIN(38,38*EXP(-0.005*(IF(ISNUMBER(AC30),(INT(AC30)-1)*32+ROUND(MOD(AC30,1)*100,0),256)-1)))+MAX(MIN(T30/10,1),0)*8+MAX(MIN(O30/120,1),0)*5+(P30/10)*5+IF(S30&gt;=2.5,22,(S30/2.5)*22)+MIN(3,MAX(0,(1-(X30/10))*3))+IF(R30&gt;=0.28,13,(R30/0.28)*13)*Z30+MIN(6,MAX(0,(Q30/0.65)*6))*Z30+MIN(5,MAX(0,(U30/5)*5))*Z30+MIN(5,MAX(0,(V30/0.22)*5))*Z30+MIN(4,MAX(0,(W30/0.8)*4))*Z30+MIN(4,MAX(0,(Y30/0.25)*4))*Z30)-60)*4.8,(MIN(38,38*EXP(-0.005*(IF(ISNUMBER(AC30),(INT(AC30)-1)*32+ROUND(MOD(AC30,1)*100,0),256)-1)))+MAX(MIN(T30/10,1),0)*8+MAX(MIN(O30/120,1),0)*5+(P30/10)*5+IF(S30&gt;=2.5,22,(S30/2.5)*22)+MIN(3,MAX(0,(1-(X30/10))*3))+IF(R30&gt;=0.28,13,(R30/0.28)*13)*Z30+MIN(6,MAX(0,(Q30/0.65)*6))*Z30+MIN(5,MAX(0,(U30/5)*5))*Z30+MIN(5,MAX(0,(V30/0.22)*5))*Z30+MIN(4,MAX(0,(W30/0.8)*4))*Z30+MIN(4,MAX(0,(Y30/0.25)*4))*Z30)))*MAX(1,IFERROR(VALUE(AE30),1))),1))</f>
        <v>56.8</v>
      </c>
      <c r="AG30" s="388" t="str">
        <f t="shared" si="0"/>
        <v>Street Free Agent</v>
      </c>
      <c r="AH30" s="123"/>
    </row>
    <row r="31" spans="1:34" ht="15.75" customHeight="1" x14ac:dyDescent="0.3">
      <c r="A31" s="211" t="s">
        <v>103</v>
      </c>
      <c r="B31" s="212">
        <v>7.5</v>
      </c>
      <c r="C31" s="213" t="s">
        <v>201</v>
      </c>
      <c r="D31" s="212">
        <v>7.5</v>
      </c>
      <c r="E31" s="214">
        <f>IFERROR(VLOOKUP(A31,Vacancy_Calculator!$A$4:$D$35,4,FALSE()),0)</f>
        <v>6</v>
      </c>
      <c r="F31" s="399">
        <f t="shared" si="1"/>
        <v>1.05</v>
      </c>
      <c r="G31" s="211" t="str">
        <f t="shared" si="2"/>
        <v>Contributor</v>
      </c>
      <c r="H31" s="123"/>
      <c r="I31" s="354" t="s">
        <v>414</v>
      </c>
      <c r="J31" s="99">
        <v>76</v>
      </c>
      <c r="K31" s="340">
        <v>240</v>
      </c>
      <c r="L31" s="94">
        <v>34</v>
      </c>
      <c r="M31" s="340">
        <v>118</v>
      </c>
      <c r="N31" s="99">
        <v>4.62</v>
      </c>
      <c r="O31" s="395">
        <f>IFERROR(((K31*200)/(N31^4))*(1+((J31-76.5)/76.5))*(1+(((L31-33)/33)*0.1+((M31-115.5)/115.5)*0.1)),0)</f>
        <v>105.2145320068977</v>
      </c>
      <c r="P31" s="402">
        <v>9.75</v>
      </c>
      <c r="Q31" s="396">
        <v>0.1</v>
      </c>
      <c r="R31" s="396">
        <v>7.7600000000000002E-2</v>
      </c>
      <c r="S31" s="71">
        <v>1.1235999999999999</v>
      </c>
      <c r="T31" s="312">
        <v>9.1</v>
      </c>
      <c r="U31" s="302">
        <v>4.21</v>
      </c>
      <c r="V31" s="382">
        <v>7.1300000000000002E-2</v>
      </c>
      <c r="W31" s="382">
        <v>0.81200000000000006</v>
      </c>
      <c r="X31" s="383">
        <v>6.5</v>
      </c>
      <c r="Y31" s="384">
        <v>0.18</v>
      </c>
      <c r="Z31" s="290">
        <v>1</v>
      </c>
      <c r="AA31" s="315">
        <f>ROUND(MIN(20,MAX(0,(T31/10)*20))+MIN(20,MAX(0,(O31/120)*20))+MIN(20,MAX(0,(S31/3)*20))+MIN(20,MAX(0,(Q31/0.7)*20))+MIN(10,MAX(0,(R31/0.25)*10))+MIN(10,MAX(0,(W31/0.8)*10)),1)</f>
        <v>59.2</v>
      </c>
      <c r="AB31" s="397">
        <f>ROUND(MIN(25,MAX(0,(R31/0.25)*25))+MIN(25,MAX(0,(S31/2.5)*25))+MIN(15,MAX(0,(U31/6)*15))+MIN(15,MAX(0,(V31/0.22)*15))+IF(ISNUMBER(AC31),MAX(0,20-((INT(AC31)-1)*32+ROUND(MOD(AC31,1)*100,0))*0.07),IF(LOWER(AC31)="udfa",3,10)),1)</f>
        <v>37.4</v>
      </c>
      <c r="AC31" s="395" t="s">
        <v>95</v>
      </c>
      <c r="AD31" s="395" t="s">
        <v>95</v>
      </c>
      <c r="AE31" s="387">
        <f>IF(AD31="","1.00",IFERROR(VLOOKUP(AD31,'TE Model Page'!$A:$F,6,FALSE()),1))</f>
        <v>1</v>
      </c>
      <c r="AF31" s="183">
        <f>IF(AND(LOWER(AC31)="udfa",OR(AD31="N/A",AD31="")),-999,ROUND(MIN(99.9,MAX(0,IF((MIN(38,38*EXP(-0.005*(IF(ISNUMBER(AC31),(INT(AC31)-1)*32+ROUND(MOD(AC31,1)*100,0),256)-1)))+MAX(MIN(T31/10,1),0)*8+MAX(MIN(O31/120,1),0)*5+(P31/10)*5+IF(S31&gt;=2.5,22,(S31/2.5)*22)+MIN(3,MAX(0,(1-(X31/10))*3))+IF(R31&gt;=0.28,13,(R31/0.28)*13)*Z31+MIN(6,MAX(0,(Q31/0.65)*6))*Z31+MIN(5,MAX(0,(U31/5)*5))*Z31+MIN(5,MAX(0,(V31/0.22)*5))*Z31+MIN(4,MAX(0,(W31/0.8)*4))*Z31+MIN(4,MAX(0,(Y31/0.25)*4))*Z31)&gt;60,60+SQRT((MIN(38,38*EXP(-0.005*(IF(ISNUMBER(AC31),(INT(AC31)-1)*32+ROUND(MOD(AC31,1)*100,0),256)-1)))+MAX(MIN(T31/10,1),0)*8+MAX(MIN(O31/120,1),0)*5+(P31/10)*5+IF(S31&gt;=2.5,22,(S31/2.5)*22)+MIN(3,MAX(0,(1-(X31/10))*3))+IF(R31&gt;=0.28,13,(R31/0.28)*13)*Z31+MIN(6,MAX(0,(Q31/0.65)*6))*Z31+MIN(5,MAX(0,(U31/5)*5))*Z31+MIN(5,MAX(0,(V31/0.22)*5))*Z31+MIN(4,MAX(0,(W31/0.8)*4))*Z31+MIN(4,MAX(0,(Y31/0.25)*4))*Z31)-60)*4.8,(MIN(38,38*EXP(-0.005*(IF(ISNUMBER(AC31),(INT(AC31)-1)*32+ROUND(MOD(AC31,1)*100,0),256)-1)))+MAX(MIN(T31/10,1),0)*8+MAX(MIN(O31/120,1),0)*5+(P31/10)*5+IF(S31&gt;=2.5,22,(S31/2.5)*22)+MIN(3,MAX(0,(1-(X31/10))*3))+IF(R31&gt;=0.28,13,(R31/0.28)*13)*Z31+MIN(6,MAX(0,(Q31/0.65)*6))*Z31+MIN(5,MAX(0,(U31/5)*5))*Z31+MIN(5,MAX(0,(V31/0.22)*5))*Z31+MIN(4,MAX(0,(W31/0.8)*4))*Z31+MIN(4,MAX(0,(Y31/0.25)*4))*Z31)))*MAX(1,IFERROR(VALUE(AE31),1))),1))</f>
        <v>55.3</v>
      </c>
      <c r="AG31" s="388" t="str">
        <f t="shared" si="0"/>
        <v>Street Free Agent</v>
      </c>
      <c r="AH31" s="123"/>
    </row>
    <row r="32" spans="1:34" ht="15.75" customHeight="1" x14ac:dyDescent="0.3">
      <c r="A32" s="211" t="s">
        <v>140</v>
      </c>
      <c r="B32" s="212">
        <v>5.5</v>
      </c>
      <c r="C32" s="213" t="s">
        <v>187</v>
      </c>
      <c r="D32" s="212">
        <v>6</v>
      </c>
      <c r="E32" s="214">
        <f>IFERROR(VLOOKUP(A32,Vacancy_Calculator!$A$4:$D$35,4,FALSE()),0)</f>
        <v>0</v>
      </c>
      <c r="F32" s="399">
        <f t="shared" si="1"/>
        <v>0.9</v>
      </c>
      <c r="G32" s="211" t="str">
        <f t="shared" si="2"/>
        <v>Competition Risk</v>
      </c>
      <c r="H32" s="123"/>
      <c r="I32" s="415" t="s">
        <v>410</v>
      </c>
      <c r="J32" s="416">
        <v>76</v>
      </c>
      <c r="K32" s="417">
        <v>251</v>
      </c>
      <c r="L32" s="464">
        <v>32.5</v>
      </c>
      <c r="M32" s="465">
        <v>119</v>
      </c>
      <c r="N32" s="421">
        <v>4.72</v>
      </c>
      <c r="O32" s="418">
        <f>IFERROR(((K32*200)/(N32^4))*(1+((J32-76.5)/76.5))*(1+(((L32-33)/33)*0.1+((M32-115.5)/115.5)*0.1)),0)</f>
        <v>100.63415485995621</v>
      </c>
      <c r="P32" s="419">
        <v>9.5</v>
      </c>
      <c r="Q32" s="420">
        <v>0.5</v>
      </c>
      <c r="R32" s="420">
        <v>5.6599999999999998E-2</v>
      </c>
      <c r="S32" s="421">
        <v>1</v>
      </c>
      <c r="T32" s="466">
        <v>8</v>
      </c>
      <c r="U32" s="422">
        <v>4.43</v>
      </c>
      <c r="V32" s="423">
        <v>5.6800000000000003E-2</v>
      </c>
      <c r="W32" s="423">
        <v>0.71709999999999996</v>
      </c>
      <c r="X32" s="467">
        <v>6.5</v>
      </c>
      <c r="Y32" s="468">
        <v>0.15</v>
      </c>
      <c r="Z32" s="424">
        <v>1</v>
      </c>
      <c r="AA32" s="425">
        <f>ROUND(MIN(20,MAX(0,(T32/10)*20))+MIN(20,MAX(0,(O32/120)*20))+MIN(20,MAX(0,(S32/3)*20))+MIN(20,MAX(0,(Q32/0.7)*20))+MIN(10,MAX(0,(R32/0.25)*10))+MIN(10,MAX(0,(W32/0.8)*10)),1)</f>
        <v>65</v>
      </c>
      <c r="AB32" s="426">
        <f>ROUND(MIN(25,MAX(0,(R32/0.25)*25))+MIN(25,MAX(0,(S32/2.5)*25))+MIN(15,MAX(0,(U32/6)*15))+MIN(15,MAX(0,(V32/0.22)*15))+IF(ISNUMBER(AC32),MAX(0,20-((INT(AC32)-1)*32+ROUND(MOD(AC32,1)*100,0))*0.07),IF(LOWER(AC32)="udfa",3,10)),1)</f>
        <v>33.6</v>
      </c>
      <c r="AC32" s="418" t="s">
        <v>95</v>
      </c>
      <c r="AD32" s="418" t="s">
        <v>141</v>
      </c>
      <c r="AE32" s="427">
        <f>IF(AD32="","1.00",IFERROR(VLOOKUP(AD32,'TE Model Page'!$A:$F,6,FALSE()),1))</f>
        <v>1</v>
      </c>
      <c r="AF32" s="428">
        <f>IF(AND(LOWER(AC32)="udfa",OR(AD32="N/A",AD32="")),-999,ROUND(MIN(99.9,MAX(0,IF((MIN(38,38*EXP(-0.005*(IF(ISNUMBER(AC32),(INT(AC32)-1)*32+ROUND(MOD(AC32,1)*100,0),256)-1)))+MAX(MIN(T32/10,1),0)*8+MAX(MIN(O32/120,1),0)*5+(P32/10)*5+IF(S32&gt;=2.5,22,(S32/2.5)*22)+MIN(3,MAX(0,(1-(X32/10))*3))+IF(R32&gt;=0.28,13,(R32/0.28)*13)*Z32+MIN(6,MAX(0,(Q32/0.65)*6))*Z32+MIN(5,MAX(0,(U32/5)*5))*Z32+MIN(5,MAX(0,(V32/0.22)*5))*Z32+MIN(4,MAX(0,(W32/0.8)*4))*Z32+MIN(4,MAX(0,(Y32/0.25)*4))*Z32)&gt;60,60+SQRT((MIN(38,38*EXP(-0.005*(IF(ISNUMBER(AC32),(INT(AC32)-1)*32+ROUND(MOD(AC32,1)*100,0),256)-1)))+MAX(MIN(T32/10,1),0)*8+MAX(MIN(O32/120,1),0)*5+(P32/10)*5+IF(S32&gt;=2.5,22,(S32/2.5)*22)+MIN(3,MAX(0,(1-(X32/10))*3))+IF(R32&gt;=0.28,13,(R32/0.28)*13)*Z32+MIN(6,MAX(0,(Q32/0.65)*6))*Z32+MIN(5,MAX(0,(U32/5)*5))*Z32+MIN(5,MAX(0,(V32/0.22)*5))*Z32+MIN(4,MAX(0,(W32/0.8)*4))*Z32+MIN(4,MAX(0,(Y32/0.25)*4))*Z32)-60)*4.8,(MIN(38,38*EXP(-0.005*(IF(ISNUMBER(AC32),(INT(AC32)-1)*32+ROUND(MOD(AC32,1)*100,0),256)-1)))+MAX(MIN(T32/10,1),0)*8+MAX(MIN(O32/120,1),0)*5+(P32/10)*5+IF(S32&gt;=2.5,22,(S32/2.5)*22)+MIN(3,MAX(0,(1-(X32/10))*3))+IF(R32&gt;=0.28,13,(R32/0.28)*13)*Z32+MIN(6,MAX(0,(Q32/0.65)*6))*Z32+MIN(5,MAX(0,(U32/5)*5))*Z32+MIN(5,MAX(0,(V32/0.22)*5))*Z32+MIN(4,MAX(0,(W32/0.8)*4))*Z32+MIN(4,MAX(0,(Y32/0.25)*4))*Z32)))*MAX(1,IFERROR(VALUE(AE32),1))),1))</f>
        <v>54.8</v>
      </c>
      <c r="AG32" s="388" t="str">
        <f t="shared" si="0"/>
        <v>Street Free Agent</v>
      </c>
      <c r="AH32" s="123"/>
    </row>
    <row r="33" spans="1:34" ht="15.75" customHeight="1" x14ac:dyDescent="0.3">
      <c r="A33" s="211" t="s">
        <v>141</v>
      </c>
      <c r="B33" s="212">
        <v>8.5</v>
      </c>
      <c r="C33" s="213" t="s">
        <v>187</v>
      </c>
      <c r="D33" s="212">
        <v>7.5</v>
      </c>
      <c r="E33" s="214">
        <f>IFERROR(VLOOKUP(A33,Vacancy_Calculator!$A$4:$D$35,4,FALSE()),0)</f>
        <v>0</v>
      </c>
      <c r="F33" s="399">
        <f t="shared" si="1"/>
        <v>1</v>
      </c>
      <c r="G33" s="211" t="str">
        <f t="shared" si="2"/>
        <v>Neutral</v>
      </c>
      <c r="H33" s="123"/>
      <c r="I33" s="354" t="s">
        <v>413</v>
      </c>
      <c r="J33" s="99">
        <v>75</v>
      </c>
      <c r="K33" s="340">
        <v>246</v>
      </c>
      <c r="L33" s="94">
        <v>30</v>
      </c>
      <c r="M33" s="340">
        <v>110</v>
      </c>
      <c r="N33" s="99">
        <v>4.8</v>
      </c>
      <c r="O33" s="395">
        <f>IFERROR(((K33*200)/(N33^4))*(1+((J33-76.5)/76.5))*(1+(((L33-33)/33)*0.1+((M33-115.5)/115.5)*0.1)),0)</f>
        <v>89.606955383865099</v>
      </c>
      <c r="P33" s="402">
        <v>9.75</v>
      </c>
      <c r="Q33" s="396">
        <v>0.5</v>
      </c>
      <c r="R33" s="396">
        <v>4.6699999999999998E-2</v>
      </c>
      <c r="S33" s="71">
        <v>0.88929999999999998</v>
      </c>
      <c r="T33" s="312">
        <v>6.5</v>
      </c>
      <c r="U33" s="302">
        <v>3</v>
      </c>
      <c r="V33" s="382">
        <v>6.2399999999999997E-2</v>
      </c>
      <c r="W33" s="382">
        <v>0.88329999999999997</v>
      </c>
      <c r="X33" s="383">
        <v>7</v>
      </c>
      <c r="Y33" s="429">
        <v>0.14000000000000001</v>
      </c>
      <c r="Z33" s="430">
        <v>1</v>
      </c>
      <c r="AA33" s="431">
        <f>ROUND(MIN(20,MAX(0,(T33/10)*20))+MIN(20,MAX(0,(O33/120)*20))+MIN(20,MAX(0,(S33/3)*20))+MIN(20,MAX(0,(Q33/0.7)*20))+MIN(10,MAX(0,(R33/0.25)*10))+MIN(10,MAX(0,(W33/0.8)*10)),1)</f>
        <v>60</v>
      </c>
      <c r="AB33" s="431">
        <f>ROUND(MIN(25,MAX(0,(R33/0.25)*25))+MIN(25,MAX(0,(S33/2.5)*25))+MIN(15,MAX(0,(U33/6)*15))+MIN(15,MAX(0,(V33/0.22)*15))+IF(ISNUMBER(AC33),MAX(0,20-((INT(AC33)-1)*32+ROUND(MOD(AC33,1)*100,0))*0.07),IF(LOWER(AC33)="udfa",3,10)),1)</f>
        <v>28.3</v>
      </c>
      <c r="AC33" s="395" t="s">
        <v>95</v>
      </c>
      <c r="AD33" s="395" t="s">
        <v>95</v>
      </c>
      <c r="AE33" s="432">
        <f>IF(AD33="","1.00",IFERROR(VLOOKUP(AD33,'TE Model Page'!$A:$F,6,FALSE()),1))</f>
        <v>1</v>
      </c>
      <c r="AF33" s="433">
        <f>IF(AND(LOWER(AC33)="udfa",OR(AD33="N/A",AD33="")),-999,ROUND(MIN(99.9,MAX(0,IF((MIN(38,38*EXP(-0.005*(IF(ISNUMBER(AC33),(INT(AC33)-1)*32+ROUND(MOD(AC33,1)*100,0),256)-1)))+MAX(MIN(T33/10,1),0)*8+MAX(MIN(O33/120,1),0)*5+(P33/10)*5+IF(S33&gt;=2.5,22,(S33/2.5)*22)+MIN(3,MAX(0,(1-(X33/10))*3))+IF(R33&gt;=0.28,13,(R33/0.28)*13)*Z33+MIN(6,MAX(0,(Q33/0.65)*6))*Z33+MIN(5,MAX(0,(U33/5)*5))*Z33+MIN(5,MAX(0,(V33/0.22)*5))*Z33+MIN(4,MAX(0,(W33/0.8)*4))*Z33+MIN(4,MAX(0,(Y33/0.25)*4))*Z33)&gt;60,60+SQRT((MIN(38,38*EXP(-0.005*(IF(ISNUMBER(AC33),(INT(AC33)-1)*32+ROUND(MOD(AC33,1)*100,0),256)-1)))+MAX(MIN(T33/10,1),0)*8+MAX(MIN(O33/120,1),0)*5+(P33/10)*5+IF(S33&gt;=2.5,22,(S33/2.5)*22)+MIN(3,MAX(0,(1-(X33/10))*3))+IF(R33&gt;=0.28,13,(R33/0.28)*13)*Z33+MIN(6,MAX(0,(Q33/0.65)*6))*Z33+MIN(5,MAX(0,(U33/5)*5))*Z33+MIN(5,MAX(0,(V33/0.22)*5))*Z33+MIN(4,MAX(0,(W33/0.8)*4))*Z33+MIN(4,MAX(0,(Y33/0.25)*4))*Z33)-60)*4.8,(MIN(38,38*EXP(-0.005*(IF(ISNUMBER(AC33),(INT(AC33)-1)*32+ROUND(MOD(AC33,1)*100,0),256)-1)))+MAX(MIN(T33/10,1),0)*8+MAX(MIN(O33/120,1),0)*5+(P33/10)*5+IF(S33&gt;=2.5,22,(S33/2.5)*22)+MIN(3,MAX(0,(1-(X33/10))*3))+IF(R33&gt;=0.28,13,(R33/0.28)*13)*Z33+MIN(6,MAX(0,(Q33/0.65)*6))*Z33+MIN(5,MAX(0,(U33/5)*5))*Z33+MIN(5,MAX(0,(V33/0.22)*5))*Z33+MIN(4,MAX(0,(W33/0.8)*4))*Z33+MIN(4,MAX(0,(Y33/0.25)*4))*Z33)))*MAX(1,IFERROR(VALUE(AE33),1))),1))</f>
        <v>50.6</v>
      </c>
      <c r="AG33" s="388" t="str">
        <f t="shared" si="0"/>
        <v>Street Free Agent</v>
      </c>
      <c r="AH33" s="123"/>
    </row>
    <row r="34" spans="1:34" ht="15.75" customHeight="1" x14ac:dyDescent="0.3">
      <c r="A34" s="211" t="s">
        <v>142</v>
      </c>
      <c r="B34" s="212">
        <v>6.5</v>
      </c>
      <c r="C34" s="213" t="s">
        <v>201</v>
      </c>
      <c r="D34" s="212">
        <v>6.5</v>
      </c>
      <c r="E34" s="214">
        <f>IFERROR(VLOOKUP(A34,Vacancy_Calculator!$A$4:$D$35,4,FALSE()),0)</f>
        <v>4</v>
      </c>
      <c r="F34" s="399">
        <f t="shared" si="1"/>
        <v>1</v>
      </c>
      <c r="G34" s="211" t="str">
        <f t="shared" si="2"/>
        <v>Neutral</v>
      </c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361"/>
      <c r="AG34" s="361"/>
      <c r="AH34" s="123"/>
    </row>
    <row r="35" spans="1:34" ht="15.75" customHeight="1" x14ac:dyDescent="0.3">
      <c r="A35" s="211" t="s">
        <v>143</v>
      </c>
      <c r="B35" s="212">
        <v>8</v>
      </c>
      <c r="C35" s="213" t="s">
        <v>187</v>
      </c>
      <c r="D35" s="212">
        <v>7</v>
      </c>
      <c r="E35" s="214">
        <f>IFERROR(VLOOKUP(A35,Vacancy_Calculator!$A$4:$D$35,4,FALSE()),0)</f>
        <v>0</v>
      </c>
      <c r="F35" s="399">
        <f t="shared" si="1"/>
        <v>0.9</v>
      </c>
      <c r="G35" s="211" t="str">
        <f t="shared" si="2"/>
        <v>Competition Risk</v>
      </c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361"/>
      <c r="AG35" s="361"/>
      <c r="AH35" s="123"/>
    </row>
    <row r="36" spans="1:34" ht="15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361"/>
      <c r="AG36" s="361"/>
      <c r="AH36" s="123"/>
    </row>
    <row r="37" spans="1:34" ht="15" customHeight="1" x14ac:dyDescent="0.3">
      <c r="A37" s="11" t="s">
        <v>254</v>
      </c>
      <c r="B37" s="11"/>
      <c r="C37" s="11"/>
      <c r="D37" s="11"/>
      <c r="E37" s="11"/>
      <c r="F37" s="11"/>
      <c r="G37" s="11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361"/>
      <c r="AG37" s="361"/>
      <c r="AH37" s="123"/>
    </row>
    <row r="38" spans="1:34" ht="15" customHeight="1" x14ac:dyDescent="0.3">
      <c r="A38" s="266" t="s">
        <v>255</v>
      </c>
      <c r="B38" s="267" t="s">
        <v>256</v>
      </c>
      <c r="C38" s="8" t="s">
        <v>257</v>
      </c>
      <c r="D38" s="8"/>
      <c r="E38" s="8"/>
      <c r="F38" s="8"/>
      <c r="G38" s="8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361"/>
      <c r="AG38" s="361"/>
      <c r="AH38" s="123"/>
    </row>
    <row r="39" spans="1:34" ht="15" customHeight="1" x14ac:dyDescent="0.3">
      <c r="A39" s="266" t="s">
        <v>258</v>
      </c>
      <c r="B39" s="268" t="s">
        <v>259</v>
      </c>
      <c r="C39" s="8" t="s">
        <v>260</v>
      </c>
      <c r="D39" s="8"/>
      <c r="E39" s="8"/>
      <c r="F39" s="8"/>
      <c r="G39" s="8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361"/>
      <c r="AG39" s="361"/>
      <c r="AH39" s="123"/>
    </row>
    <row r="40" spans="1:34" ht="15" customHeight="1" x14ac:dyDescent="0.3">
      <c r="A40" s="266" t="s">
        <v>261</v>
      </c>
      <c r="B40" s="269" t="s">
        <v>262</v>
      </c>
      <c r="C40" s="8" t="s">
        <v>263</v>
      </c>
      <c r="D40" s="8"/>
      <c r="E40" s="8"/>
      <c r="F40" s="8"/>
      <c r="G40" s="8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361"/>
      <c r="AG40" s="361"/>
      <c r="AH40" s="123"/>
    </row>
    <row r="41" spans="1:34" ht="15" customHeight="1" x14ac:dyDescent="0.3">
      <c r="A41" s="266" t="s">
        <v>264</v>
      </c>
      <c r="B41" s="270" t="s">
        <v>265</v>
      </c>
      <c r="C41" s="8" t="s">
        <v>266</v>
      </c>
      <c r="D41" s="8"/>
      <c r="E41" s="8"/>
      <c r="F41" s="8"/>
      <c r="G41" s="8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361"/>
      <c r="AG41" s="361"/>
      <c r="AH41" s="123"/>
    </row>
    <row r="42" spans="1:34" ht="15" customHeight="1" x14ac:dyDescent="0.3">
      <c r="A42" s="266" t="s">
        <v>267</v>
      </c>
      <c r="B42" s="271" t="s">
        <v>268</v>
      </c>
      <c r="C42" s="8" t="s">
        <v>269</v>
      </c>
      <c r="D42" s="8"/>
      <c r="E42" s="8"/>
      <c r="F42" s="8"/>
      <c r="G42" s="8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361"/>
      <c r="AG42" s="361"/>
      <c r="AH42" s="123"/>
    </row>
    <row r="43" spans="1:34" ht="15" customHeight="1" x14ac:dyDescent="0.3">
      <c r="A43" s="266" t="s">
        <v>270</v>
      </c>
      <c r="B43" s="272" t="s">
        <v>271</v>
      </c>
      <c r="C43" s="8" t="s">
        <v>272</v>
      </c>
      <c r="D43" s="8"/>
      <c r="E43" s="8"/>
      <c r="F43" s="8"/>
      <c r="G43" s="8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361"/>
      <c r="AG43" s="361"/>
      <c r="AH43" s="123"/>
    </row>
    <row r="44" spans="1:34" ht="15" customHeight="1" x14ac:dyDescent="0.3">
      <c r="A44" s="266" t="s">
        <v>273</v>
      </c>
      <c r="B44" s="273" t="s">
        <v>274</v>
      </c>
      <c r="C44" s="8" t="s">
        <v>275</v>
      </c>
      <c r="D44" s="8"/>
      <c r="E44" s="8"/>
      <c r="F44" s="8"/>
      <c r="G44" s="8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361"/>
      <c r="AG44" s="361"/>
      <c r="AH44" s="123"/>
    </row>
    <row r="45" spans="1:34" ht="15" customHeight="1" x14ac:dyDescent="0.3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361"/>
      <c r="AG45" s="361"/>
      <c r="AH45" s="123"/>
    </row>
  </sheetData>
  <autoFilter ref="I1:AF1" xr:uid="{00000000-0009-0000-0000-000004000000}">
    <sortState xmlns:xlrd2="http://schemas.microsoft.com/office/spreadsheetml/2017/richdata2" ref="I2:AF33">
      <sortCondition descending="1" ref="AF1"/>
    </sortState>
  </autoFilter>
  <mergeCells count="10">
    <mergeCell ref="C40:G40"/>
    <mergeCell ref="C41:G41"/>
    <mergeCell ref="C42:G42"/>
    <mergeCell ref="C43:G43"/>
    <mergeCell ref="C44:G44"/>
    <mergeCell ref="A1:G1"/>
    <mergeCell ref="A2:G2"/>
    <mergeCell ref="A37:G37"/>
    <mergeCell ref="C38:G38"/>
    <mergeCell ref="C39:G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zoomScaleNormal="100" workbookViewId="0">
      <selection activeCell="H10" sqref="H10"/>
    </sheetView>
  </sheetViews>
  <sheetFormatPr defaultColWidth="8.7109375" defaultRowHeight="15" x14ac:dyDescent="0.25"/>
  <cols>
    <col min="1" max="1" width="8.140625" customWidth="1"/>
    <col min="2" max="2" width="10.85546875" customWidth="1"/>
    <col min="3" max="3" width="11.5703125" customWidth="1"/>
    <col min="4" max="4" width="10.5703125" customWidth="1"/>
    <col min="5" max="5" width="17.140625" customWidth="1"/>
    <col min="6" max="6" width="17" customWidth="1"/>
    <col min="7" max="7" width="16" customWidth="1"/>
    <col min="8" max="8" width="3.7109375" customWidth="1"/>
    <col min="9" max="9" width="157.5703125" customWidth="1"/>
  </cols>
  <sheetData>
    <row r="1" spans="1:15" ht="21.75" customHeight="1" x14ac:dyDescent="0.3">
      <c r="A1" s="7" t="s">
        <v>415</v>
      </c>
      <c r="B1" s="7"/>
      <c r="C1" s="7"/>
      <c r="D1" s="7"/>
      <c r="E1" s="7"/>
      <c r="F1" s="7"/>
      <c r="G1" s="7"/>
      <c r="H1" s="434"/>
      <c r="I1" s="434"/>
      <c r="J1" s="434"/>
    </row>
    <row r="2" spans="1:15" ht="15" customHeight="1" x14ac:dyDescent="0.25">
      <c r="A2" s="6"/>
      <c r="B2" s="6"/>
      <c r="C2" s="6"/>
      <c r="D2" s="6"/>
      <c r="E2" s="6"/>
      <c r="F2" s="6"/>
      <c r="G2" s="6"/>
      <c r="H2" s="434"/>
      <c r="I2" s="434"/>
      <c r="J2" s="434"/>
    </row>
    <row r="3" spans="1:15" s="37" customFormat="1" ht="18" customHeight="1" x14ac:dyDescent="0.3">
      <c r="A3" s="435" t="s">
        <v>84</v>
      </c>
      <c r="B3" s="435" t="s">
        <v>416</v>
      </c>
      <c r="C3" s="435" t="s">
        <v>417</v>
      </c>
      <c r="D3" s="435" t="s">
        <v>418</v>
      </c>
      <c r="E3" s="435" t="s">
        <v>419</v>
      </c>
      <c r="F3" s="435" t="s">
        <v>420</v>
      </c>
      <c r="G3" s="435" t="s">
        <v>421</v>
      </c>
      <c r="H3" s="123"/>
      <c r="I3" s="436" t="s">
        <v>422</v>
      </c>
      <c r="J3" s="123"/>
    </row>
    <row r="4" spans="1:15" ht="15" customHeight="1" x14ac:dyDescent="0.25">
      <c r="A4" s="14" t="s">
        <v>131</v>
      </c>
      <c r="B4" s="14">
        <v>0</v>
      </c>
      <c r="C4" s="14">
        <v>10</v>
      </c>
      <c r="D4" s="14">
        <v>2</v>
      </c>
      <c r="E4" s="14">
        <v>-29</v>
      </c>
      <c r="F4" s="14">
        <v>165</v>
      </c>
      <c r="G4" s="14">
        <v>11</v>
      </c>
      <c r="H4" s="434"/>
      <c r="I4" s="437" t="s">
        <v>423</v>
      </c>
      <c r="J4" s="123"/>
      <c r="K4" s="37"/>
      <c r="L4" s="37"/>
      <c r="M4" s="37"/>
      <c r="N4" s="37"/>
      <c r="O4" s="37"/>
    </row>
    <row r="5" spans="1:15" ht="15" customHeight="1" x14ac:dyDescent="0.25">
      <c r="A5" s="14" t="s">
        <v>104</v>
      </c>
      <c r="B5" s="14">
        <v>2</v>
      </c>
      <c r="C5" s="14">
        <v>8</v>
      </c>
      <c r="D5" s="14">
        <v>2</v>
      </c>
      <c r="E5" s="14">
        <v>1</v>
      </c>
      <c r="F5" s="14">
        <v>125</v>
      </c>
      <c r="G5" s="14">
        <v>6</v>
      </c>
      <c r="H5" s="434"/>
      <c r="I5" s="437" t="s">
        <v>424</v>
      </c>
      <c r="J5" s="434"/>
    </row>
    <row r="6" spans="1:15" ht="15" customHeight="1" x14ac:dyDescent="0.25">
      <c r="A6" s="14" t="s">
        <v>123</v>
      </c>
      <c r="B6" s="14">
        <v>2</v>
      </c>
      <c r="C6" s="14">
        <v>8</v>
      </c>
      <c r="D6" s="14">
        <v>2</v>
      </c>
      <c r="E6" s="14">
        <v>32</v>
      </c>
      <c r="F6" s="14">
        <v>119</v>
      </c>
      <c r="G6" s="14">
        <v>1</v>
      </c>
      <c r="H6" s="434"/>
      <c r="I6" s="437" t="s">
        <v>425</v>
      </c>
      <c r="J6" s="434"/>
    </row>
    <row r="7" spans="1:15" ht="15" customHeight="1" x14ac:dyDescent="0.25">
      <c r="A7" s="14" t="s">
        <v>133</v>
      </c>
      <c r="B7" s="14">
        <v>0</v>
      </c>
      <c r="C7" s="14">
        <v>6</v>
      </c>
      <c r="D7" s="14">
        <v>4</v>
      </c>
      <c r="E7" s="14">
        <v>0</v>
      </c>
      <c r="F7" s="14">
        <v>100</v>
      </c>
      <c r="G7" s="14">
        <v>29</v>
      </c>
      <c r="H7" s="434"/>
      <c r="I7" s="438"/>
      <c r="J7" s="434"/>
    </row>
    <row r="8" spans="1:15" ht="15" customHeight="1" x14ac:dyDescent="0.25">
      <c r="A8" s="14" t="s">
        <v>124</v>
      </c>
      <c r="B8" s="14">
        <v>2</v>
      </c>
      <c r="C8" s="14">
        <v>6</v>
      </c>
      <c r="D8" s="14">
        <v>2</v>
      </c>
      <c r="E8" s="14">
        <v>30</v>
      </c>
      <c r="F8" s="14">
        <v>91</v>
      </c>
      <c r="G8" s="14">
        <v>6</v>
      </c>
      <c r="H8" s="434"/>
      <c r="I8" s="437" t="s">
        <v>426</v>
      </c>
      <c r="J8" s="434"/>
    </row>
    <row r="9" spans="1:15" ht="15" customHeight="1" x14ac:dyDescent="0.25">
      <c r="A9" s="14" t="s">
        <v>118</v>
      </c>
      <c r="B9" s="14">
        <v>6</v>
      </c>
      <c r="C9" s="14">
        <v>6</v>
      </c>
      <c r="D9" s="14">
        <v>2</v>
      </c>
      <c r="E9" s="14">
        <v>140</v>
      </c>
      <c r="F9" s="14">
        <v>85</v>
      </c>
      <c r="G9" s="14">
        <v>15</v>
      </c>
      <c r="H9" s="434"/>
      <c r="I9" s="434"/>
      <c r="J9" s="434"/>
    </row>
    <row r="10" spans="1:15" ht="15" customHeight="1" x14ac:dyDescent="0.25">
      <c r="A10" s="14" t="s">
        <v>101</v>
      </c>
      <c r="B10" s="14">
        <v>2</v>
      </c>
      <c r="C10" s="14">
        <v>4</v>
      </c>
      <c r="D10" s="14">
        <v>2</v>
      </c>
      <c r="E10" s="14">
        <v>7</v>
      </c>
      <c r="F10" s="14">
        <v>66</v>
      </c>
      <c r="G10" s="14">
        <v>9</v>
      </c>
      <c r="H10" s="434"/>
      <c r="I10" s="434"/>
      <c r="J10" s="434"/>
    </row>
    <row r="11" spans="1:15" ht="15" customHeight="1" x14ac:dyDescent="0.25">
      <c r="A11" s="14" t="s">
        <v>126</v>
      </c>
      <c r="B11" s="14">
        <v>0</v>
      </c>
      <c r="C11" s="14">
        <v>4</v>
      </c>
      <c r="D11" s="14">
        <v>0</v>
      </c>
      <c r="E11" s="14">
        <v>-15</v>
      </c>
      <c r="F11" s="14">
        <v>66</v>
      </c>
      <c r="G11" s="14">
        <v>0</v>
      </c>
      <c r="H11" s="434"/>
      <c r="I11" s="434"/>
      <c r="J11" s="434"/>
    </row>
    <row r="12" spans="1:15" ht="15" customHeight="1" x14ac:dyDescent="0.25">
      <c r="A12" s="14" t="s">
        <v>121</v>
      </c>
      <c r="B12" s="14">
        <v>0</v>
      </c>
      <c r="C12" s="14">
        <v>4</v>
      </c>
      <c r="D12" s="14">
        <v>0</v>
      </c>
      <c r="E12" s="14">
        <v>-26</v>
      </c>
      <c r="F12" s="14">
        <v>60</v>
      </c>
      <c r="G12" s="14">
        <v>-4</v>
      </c>
      <c r="H12" s="434"/>
      <c r="I12" s="434"/>
      <c r="J12" s="434"/>
    </row>
    <row r="13" spans="1:15" ht="15" customHeight="1" x14ac:dyDescent="0.25">
      <c r="A13" s="14" t="s">
        <v>137</v>
      </c>
      <c r="B13" s="14">
        <v>2</v>
      </c>
      <c r="C13" s="14">
        <v>4</v>
      </c>
      <c r="D13" s="14">
        <v>2</v>
      </c>
      <c r="E13" s="14">
        <v>20</v>
      </c>
      <c r="F13" s="14">
        <v>53</v>
      </c>
      <c r="G13" s="14">
        <v>6</v>
      </c>
      <c r="H13" s="434"/>
      <c r="I13" s="434"/>
      <c r="J13" s="434"/>
    </row>
    <row r="14" spans="1:15" ht="15" customHeight="1" x14ac:dyDescent="0.25">
      <c r="A14" s="14" t="s">
        <v>97</v>
      </c>
      <c r="B14" s="14">
        <v>4</v>
      </c>
      <c r="C14" s="14">
        <v>4</v>
      </c>
      <c r="D14" s="14">
        <v>6</v>
      </c>
      <c r="E14" s="14">
        <v>68</v>
      </c>
      <c r="F14" s="14">
        <v>47</v>
      </c>
      <c r="G14" s="14">
        <v>45</v>
      </c>
      <c r="H14" s="434"/>
      <c r="I14" s="434"/>
      <c r="J14" s="434"/>
    </row>
    <row r="15" spans="1:15" ht="15" customHeight="1" x14ac:dyDescent="0.25">
      <c r="A15" s="14" t="s">
        <v>120</v>
      </c>
      <c r="B15" s="14">
        <v>2</v>
      </c>
      <c r="C15" s="14">
        <v>2</v>
      </c>
      <c r="D15" s="14">
        <v>0</v>
      </c>
      <c r="E15" s="14">
        <v>1</v>
      </c>
      <c r="F15" s="14">
        <v>38</v>
      </c>
      <c r="G15" s="14">
        <v>-19</v>
      </c>
      <c r="H15" s="434"/>
      <c r="I15" s="434"/>
      <c r="J15" s="434"/>
    </row>
    <row r="16" spans="1:15" ht="15" customHeight="1" x14ac:dyDescent="0.25">
      <c r="A16" s="14" t="s">
        <v>112</v>
      </c>
      <c r="B16" s="14">
        <v>2</v>
      </c>
      <c r="C16" s="14">
        <v>2</v>
      </c>
      <c r="D16" s="14">
        <v>0</v>
      </c>
      <c r="E16" s="14">
        <v>28</v>
      </c>
      <c r="F16" s="14">
        <v>34</v>
      </c>
      <c r="G16" s="14">
        <v>0</v>
      </c>
      <c r="H16" s="434"/>
      <c r="I16" s="434"/>
      <c r="J16" s="434"/>
    </row>
    <row r="17" spans="1:10" ht="15" customHeight="1" x14ac:dyDescent="0.25">
      <c r="A17" s="14" t="s">
        <v>99</v>
      </c>
      <c r="B17" s="14">
        <v>0</v>
      </c>
      <c r="C17" s="14">
        <v>2</v>
      </c>
      <c r="D17" s="14">
        <v>0</v>
      </c>
      <c r="E17" s="14">
        <v>0</v>
      </c>
      <c r="F17" s="14">
        <v>32</v>
      </c>
      <c r="G17" s="14">
        <v>0</v>
      </c>
      <c r="H17" s="434"/>
      <c r="I17" s="434"/>
      <c r="J17" s="434"/>
    </row>
    <row r="18" spans="1:10" ht="15" customHeight="1" x14ac:dyDescent="0.25">
      <c r="A18" s="14" t="s">
        <v>139</v>
      </c>
      <c r="B18" s="14">
        <v>0</v>
      </c>
      <c r="C18" s="14">
        <v>2</v>
      </c>
      <c r="D18" s="14">
        <v>0</v>
      </c>
      <c r="E18" s="14">
        <v>0</v>
      </c>
      <c r="F18" s="14">
        <v>22</v>
      </c>
      <c r="G18" s="14">
        <v>-25</v>
      </c>
      <c r="H18" s="434"/>
      <c r="I18" s="434"/>
      <c r="J18" s="434"/>
    </row>
    <row r="19" spans="1:10" ht="15" customHeight="1" x14ac:dyDescent="0.25">
      <c r="A19" s="14" t="s">
        <v>114</v>
      </c>
      <c r="B19" s="14">
        <v>2</v>
      </c>
      <c r="C19" s="14">
        <v>2</v>
      </c>
      <c r="D19" s="14">
        <v>2</v>
      </c>
      <c r="E19" s="14">
        <v>41</v>
      </c>
      <c r="F19" s="14">
        <v>17</v>
      </c>
      <c r="G19" s="14">
        <v>6</v>
      </c>
      <c r="H19" s="434"/>
      <c r="I19" s="434"/>
      <c r="J19" s="434"/>
    </row>
    <row r="20" spans="1:10" ht="15" customHeight="1" x14ac:dyDescent="0.25">
      <c r="A20" s="14" t="s">
        <v>140</v>
      </c>
      <c r="B20" s="14">
        <v>4</v>
      </c>
      <c r="C20" s="14">
        <v>2</v>
      </c>
      <c r="D20" s="14">
        <v>0</v>
      </c>
      <c r="E20" s="14">
        <v>115</v>
      </c>
      <c r="F20" s="14">
        <v>3</v>
      </c>
      <c r="G20" s="14">
        <v>0</v>
      </c>
      <c r="H20" s="434"/>
      <c r="I20" s="434"/>
      <c r="J20" s="434"/>
    </row>
    <row r="21" spans="1:10" ht="15" customHeight="1" x14ac:dyDescent="0.25">
      <c r="A21" s="14" t="s">
        <v>89</v>
      </c>
      <c r="B21" s="14">
        <v>2</v>
      </c>
      <c r="C21" s="14">
        <v>2</v>
      </c>
      <c r="D21" s="14">
        <v>2</v>
      </c>
      <c r="E21" s="14">
        <v>50</v>
      </c>
      <c r="F21" s="14">
        <v>2</v>
      </c>
      <c r="G21" s="14">
        <v>9</v>
      </c>
      <c r="H21" s="434"/>
      <c r="I21" s="434"/>
      <c r="J21" s="434"/>
    </row>
    <row r="22" spans="1:10" ht="15" customHeight="1" x14ac:dyDescent="0.25">
      <c r="A22" s="14" t="s">
        <v>107</v>
      </c>
      <c r="B22" s="14">
        <v>0</v>
      </c>
      <c r="C22" s="14">
        <v>0</v>
      </c>
      <c r="D22" s="14">
        <v>4</v>
      </c>
      <c r="E22" s="14">
        <v>0</v>
      </c>
      <c r="F22" s="14">
        <v>0</v>
      </c>
      <c r="G22" s="14">
        <v>41</v>
      </c>
      <c r="H22" s="434"/>
      <c r="I22" s="434"/>
      <c r="J22" s="434"/>
    </row>
    <row r="23" spans="1:10" ht="15" customHeight="1" x14ac:dyDescent="0.25">
      <c r="A23" s="14" t="s">
        <v>138</v>
      </c>
      <c r="B23" s="14">
        <v>0</v>
      </c>
      <c r="C23" s="14">
        <v>0</v>
      </c>
      <c r="D23" s="14">
        <v>0</v>
      </c>
      <c r="E23" s="14">
        <v>-256</v>
      </c>
      <c r="F23" s="14">
        <v>0</v>
      </c>
      <c r="G23" s="14">
        <v>-4</v>
      </c>
      <c r="H23" s="434"/>
      <c r="I23" s="434"/>
      <c r="J23" s="434"/>
    </row>
    <row r="24" spans="1:10" ht="15" customHeight="1" x14ac:dyDescent="0.25">
      <c r="A24" s="14" t="s">
        <v>90</v>
      </c>
      <c r="B24" s="14">
        <v>2</v>
      </c>
      <c r="C24" s="14">
        <v>0</v>
      </c>
      <c r="D24" s="14">
        <v>2</v>
      </c>
      <c r="E24" s="14">
        <v>25</v>
      </c>
      <c r="F24" s="14">
        <v>-1</v>
      </c>
      <c r="G24" s="14">
        <v>7</v>
      </c>
      <c r="H24" s="434"/>
      <c r="I24" s="434"/>
      <c r="J24" s="434"/>
    </row>
    <row r="25" spans="1:10" ht="15" customHeight="1" x14ac:dyDescent="0.25">
      <c r="A25" s="14" t="s">
        <v>111</v>
      </c>
      <c r="B25" s="14">
        <v>2</v>
      </c>
      <c r="C25" s="14">
        <v>0</v>
      </c>
      <c r="D25" s="14">
        <v>2</v>
      </c>
      <c r="E25" s="14">
        <v>48</v>
      </c>
      <c r="F25" s="14">
        <v>-3</v>
      </c>
      <c r="G25" s="14">
        <v>11</v>
      </c>
      <c r="H25" s="434"/>
      <c r="I25" s="434"/>
      <c r="J25" s="434"/>
    </row>
    <row r="26" spans="1:10" ht="15" customHeight="1" x14ac:dyDescent="0.25">
      <c r="A26" s="14" t="s">
        <v>103</v>
      </c>
      <c r="B26" s="14">
        <v>0</v>
      </c>
      <c r="C26" s="14">
        <v>0</v>
      </c>
      <c r="D26" s="14">
        <v>6</v>
      </c>
      <c r="E26" s="14">
        <v>-89</v>
      </c>
      <c r="F26" s="14">
        <v>-7</v>
      </c>
      <c r="G26" s="14">
        <v>58</v>
      </c>
      <c r="H26" s="434"/>
      <c r="I26" s="434"/>
      <c r="J26" s="434"/>
    </row>
    <row r="27" spans="1:10" ht="15" customHeight="1" x14ac:dyDescent="0.25">
      <c r="A27" s="14" t="s">
        <v>109</v>
      </c>
      <c r="B27" s="14">
        <v>4</v>
      </c>
      <c r="C27" s="14">
        <v>0</v>
      </c>
      <c r="D27" s="14">
        <v>4</v>
      </c>
      <c r="E27" s="14">
        <v>68</v>
      </c>
      <c r="F27" s="14">
        <v>-8</v>
      </c>
      <c r="G27" s="14">
        <v>37</v>
      </c>
      <c r="H27" s="434"/>
      <c r="I27" s="434"/>
      <c r="J27" s="434"/>
    </row>
    <row r="28" spans="1:10" ht="15" customHeight="1" x14ac:dyDescent="0.25">
      <c r="A28" s="14" t="s">
        <v>96</v>
      </c>
      <c r="B28" s="14">
        <v>10</v>
      </c>
      <c r="C28" s="14">
        <v>0</v>
      </c>
      <c r="D28" s="14">
        <v>0</v>
      </c>
      <c r="E28" s="14">
        <v>260</v>
      </c>
      <c r="F28" s="14">
        <v>-22</v>
      </c>
      <c r="G28" s="14">
        <v>0</v>
      </c>
      <c r="H28" s="434"/>
      <c r="I28" s="434"/>
      <c r="J28" s="434"/>
    </row>
    <row r="29" spans="1:10" ht="15" customHeight="1" x14ac:dyDescent="0.25">
      <c r="A29" s="14" t="s">
        <v>93</v>
      </c>
      <c r="B29" s="14">
        <v>4</v>
      </c>
      <c r="C29" s="14">
        <v>0</v>
      </c>
      <c r="D29" s="14">
        <v>0</v>
      </c>
      <c r="E29" s="14">
        <v>66</v>
      </c>
      <c r="F29" s="14">
        <v>-26</v>
      </c>
      <c r="G29" s="14">
        <v>-26</v>
      </c>
      <c r="H29" s="434"/>
      <c r="I29" s="434"/>
      <c r="J29" s="434"/>
    </row>
    <row r="30" spans="1:10" ht="15" customHeight="1" x14ac:dyDescent="0.25">
      <c r="A30" s="14" t="s">
        <v>141</v>
      </c>
      <c r="B30" s="14">
        <v>4</v>
      </c>
      <c r="C30" s="14">
        <v>0</v>
      </c>
      <c r="D30" s="14">
        <v>0</v>
      </c>
      <c r="E30" s="14">
        <v>100</v>
      </c>
      <c r="F30" s="14">
        <v>-54</v>
      </c>
      <c r="G30" s="14">
        <v>0</v>
      </c>
      <c r="H30" s="434"/>
      <c r="I30" s="434"/>
      <c r="J30" s="434"/>
    </row>
    <row r="31" spans="1:10" ht="15" customHeight="1" x14ac:dyDescent="0.25">
      <c r="A31" s="14" t="s">
        <v>143</v>
      </c>
      <c r="B31" s="14">
        <v>0</v>
      </c>
      <c r="C31" s="14">
        <v>0</v>
      </c>
      <c r="D31" s="14">
        <v>0</v>
      </c>
      <c r="E31" s="14">
        <v>-107</v>
      </c>
      <c r="F31" s="14">
        <v>-78</v>
      </c>
      <c r="G31" s="14">
        <v>-79</v>
      </c>
      <c r="H31" s="434"/>
      <c r="I31" s="434"/>
      <c r="J31" s="434"/>
    </row>
    <row r="32" spans="1:10" ht="15" customHeight="1" x14ac:dyDescent="0.25">
      <c r="A32" s="14" t="s">
        <v>142</v>
      </c>
      <c r="B32" s="14">
        <v>0</v>
      </c>
      <c r="C32" s="14">
        <v>0</v>
      </c>
      <c r="D32" s="14">
        <v>4</v>
      </c>
      <c r="E32" s="14">
        <v>0</v>
      </c>
      <c r="F32" s="14">
        <v>-88</v>
      </c>
      <c r="G32" s="14">
        <v>44</v>
      </c>
      <c r="H32" s="434"/>
      <c r="I32" s="434"/>
      <c r="J32" s="434"/>
    </row>
    <row r="33" spans="1:10" ht="15" customHeight="1" x14ac:dyDescent="0.25">
      <c r="A33" s="14" t="s">
        <v>115</v>
      </c>
      <c r="B33" s="14">
        <v>2</v>
      </c>
      <c r="C33" s="14">
        <v>0</v>
      </c>
      <c r="D33" s="14">
        <v>0</v>
      </c>
      <c r="E33" s="14">
        <v>16</v>
      </c>
      <c r="F33" s="14">
        <v>-100</v>
      </c>
      <c r="G33" s="14">
        <v>0</v>
      </c>
      <c r="H33" s="434"/>
      <c r="I33" s="434"/>
      <c r="J33" s="434"/>
    </row>
    <row r="34" spans="1:10" ht="15" customHeight="1" x14ac:dyDescent="0.25">
      <c r="A34" s="14" t="s">
        <v>127</v>
      </c>
      <c r="B34" s="14">
        <v>0</v>
      </c>
      <c r="C34" s="14">
        <v>0</v>
      </c>
      <c r="D34" s="14">
        <v>0</v>
      </c>
      <c r="E34" s="14">
        <v>-244</v>
      </c>
      <c r="F34" s="14">
        <v>-352</v>
      </c>
      <c r="G34" s="14">
        <v>-86</v>
      </c>
      <c r="H34" s="434"/>
      <c r="I34" s="434"/>
      <c r="J34" s="434"/>
    </row>
    <row r="35" spans="1:10" ht="15" customHeight="1" x14ac:dyDescent="0.25">
      <c r="A35" s="14" t="s">
        <v>92</v>
      </c>
      <c r="B35" s="14">
        <v>0</v>
      </c>
      <c r="C35" s="14">
        <v>0</v>
      </c>
      <c r="D35" s="14">
        <v>0</v>
      </c>
      <c r="E35" s="14">
        <v>-457</v>
      </c>
      <c r="F35" s="14">
        <v>-352</v>
      </c>
      <c r="G35" s="14">
        <v>-150</v>
      </c>
      <c r="H35" s="434"/>
      <c r="I35" s="434"/>
      <c r="J35" s="434"/>
    </row>
    <row r="36" spans="1:10" ht="15" customHeight="1" x14ac:dyDescent="0.25">
      <c r="A36" s="434"/>
      <c r="B36" s="434"/>
      <c r="C36" s="434"/>
      <c r="D36" s="434"/>
      <c r="E36" s="434"/>
      <c r="F36" s="434"/>
      <c r="G36" s="434"/>
      <c r="H36" s="434"/>
      <c r="I36" s="434"/>
      <c r="J36" s="434"/>
    </row>
  </sheetData>
  <mergeCells count="2">
    <mergeCell ref="A1:G1"/>
    <mergeCell ref="A2:G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12"/>
  <sheetViews>
    <sheetView zoomScaleNormal="100" workbookViewId="0">
      <selection activeCell="G14" sqref="G14"/>
    </sheetView>
  </sheetViews>
  <sheetFormatPr defaultColWidth="8.7109375" defaultRowHeight="15" x14ac:dyDescent="0.25"/>
  <cols>
    <col min="1" max="1" width="24.28515625" customWidth="1"/>
    <col min="2" max="2" width="16.42578125" style="439" customWidth="1"/>
    <col min="3" max="3" width="13.140625" style="439" customWidth="1"/>
  </cols>
  <sheetData>
    <row r="1" spans="1:3" ht="15" customHeight="1" x14ac:dyDescent="0.25">
      <c r="A1" s="440" t="s">
        <v>427</v>
      </c>
      <c r="B1" s="440" t="s">
        <v>428</v>
      </c>
      <c r="C1" s="440" t="s">
        <v>429</v>
      </c>
    </row>
    <row r="2" spans="1:3" ht="15" customHeight="1" x14ac:dyDescent="0.25">
      <c r="A2" t="s">
        <v>430</v>
      </c>
      <c r="B2" s="439" t="s">
        <v>90</v>
      </c>
      <c r="C2" s="439" t="s">
        <v>431</v>
      </c>
    </row>
    <row r="3" spans="1:3" ht="15" customHeight="1" x14ac:dyDescent="0.25">
      <c r="A3" t="s">
        <v>432</v>
      </c>
      <c r="B3" s="439" t="s">
        <v>90</v>
      </c>
      <c r="C3" s="439" t="s">
        <v>10</v>
      </c>
    </row>
    <row r="4" spans="1:3" ht="15" customHeight="1" x14ac:dyDescent="0.25">
      <c r="A4" t="s">
        <v>433</v>
      </c>
      <c r="B4" s="439" t="s">
        <v>90</v>
      </c>
      <c r="C4" s="439" t="s">
        <v>431</v>
      </c>
    </row>
    <row r="5" spans="1:3" ht="15" customHeight="1" x14ac:dyDescent="0.25">
      <c r="A5" t="s">
        <v>434</v>
      </c>
      <c r="B5" s="439" t="s">
        <v>90</v>
      </c>
      <c r="C5" s="439" t="s">
        <v>10</v>
      </c>
    </row>
    <row r="6" spans="1:3" ht="15" customHeight="1" x14ac:dyDescent="0.25">
      <c r="A6" t="s">
        <v>435</v>
      </c>
      <c r="B6" s="439" t="s">
        <v>90</v>
      </c>
      <c r="C6" s="439" t="s">
        <v>10</v>
      </c>
    </row>
    <row r="7" spans="1:3" ht="15" customHeight="1" x14ac:dyDescent="0.25">
      <c r="A7" t="s">
        <v>436</v>
      </c>
      <c r="B7" s="439" t="s">
        <v>90</v>
      </c>
      <c r="C7" s="439" t="s">
        <v>431</v>
      </c>
    </row>
    <row r="8" spans="1:3" ht="15" customHeight="1" x14ac:dyDescent="0.25">
      <c r="A8" t="s">
        <v>437</v>
      </c>
      <c r="B8" s="439" t="s">
        <v>90</v>
      </c>
      <c r="C8" s="439" t="s">
        <v>10</v>
      </c>
    </row>
    <row r="9" spans="1:3" ht="15" customHeight="1" x14ac:dyDescent="0.25">
      <c r="A9" t="s">
        <v>438</v>
      </c>
      <c r="B9" s="439" t="s">
        <v>90</v>
      </c>
      <c r="C9" s="439" t="s">
        <v>439</v>
      </c>
    </row>
    <row r="10" spans="1:3" ht="15" customHeight="1" x14ac:dyDescent="0.25">
      <c r="A10" t="s">
        <v>440</v>
      </c>
      <c r="B10" s="439" t="s">
        <v>90</v>
      </c>
      <c r="C10" s="439" t="s">
        <v>10</v>
      </c>
    </row>
    <row r="11" spans="1:3" ht="15" customHeight="1" x14ac:dyDescent="0.25">
      <c r="A11" t="s">
        <v>441</v>
      </c>
      <c r="B11" s="439" t="s">
        <v>90</v>
      </c>
      <c r="C11" s="439" t="s">
        <v>10</v>
      </c>
    </row>
    <row r="12" spans="1:3" ht="15" customHeight="1" x14ac:dyDescent="0.25">
      <c r="A12" t="s">
        <v>442</v>
      </c>
      <c r="B12" s="439" t="s">
        <v>90</v>
      </c>
      <c r="C12" s="439" t="s">
        <v>10</v>
      </c>
    </row>
    <row r="13" spans="1:3" ht="15" customHeight="1" x14ac:dyDescent="0.25">
      <c r="A13" t="s">
        <v>443</v>
      </c>
      <c r="B13" s="439" t="s">
        <v>90</v>
      </c>
      <c r="C13" s="439" t="s">
        <v>439</v>
      </c>
    </row>
    <row r="14" spans="1:3" ht="15" customHeight="1" x14ac:dyDescent="0.25">
      <c r="A14" t="s">
        <v>444</v>
      </c>
      <c r="B14" s="439" t="s">
        <v>90</v>
      </c>
      <c r="C14" s="439" t="s">
        <v>431</v>
      </c>
    </row>
    <row r="15" spans="1:3" ht="15" customHeight="1" x14ac:dyDescent="0.25">
      <c r="A15" t="s">
        <v>445</v>
      </c>
      <c r="B15" s="439" t="s">
        <v>90</v>
      </c>
      <c r="C15" s="439" t="s">
        <v>431</v>
      </c>
    </row>
    <row r="16" spans="1:3" ht="15" customHeight="1" x14ac:dyDescent="0.25">
      <c r="A16" t="s">
        <v>446</v>
      </c>
      <c r="B16" s="439" t="s">
        <v>90</v>
      </c>
      <c r="C16" s="439" t="s">
        <v>439</v>
      </c>
    </row>
    <row r="17" spans="1:3" ht="15" customHeight="1" x14ac:dyDescent="0.25">
      <c r="A17" t="s">
        <v>447</v>
      </c>
      <c r="B17" s="439" t="s">
        <v>90</v>
      </c>
      <c r="C17" s="439" t="s">
        <v>10</v>
      </c>
    </row>
    <row r="18" spans="1:3" ht="15" customHeight="1" x14ac:dyDescent="0.25">
      <c r="A18" t="s">
        <v>448</v>
      </c>
      <c r="B18" s="439" t="s">
        <v>90</v>
      </c>
      <c r="C18" s="439" t="s">
        <v>439</v>
      </c>
    </row>
    <row r="19" spans="1:3" ht="15" customHeight="1" x14ac:dyDescent="0.25">
      <c r="A19" t="s">
        <v>449</v>
      </c>
      <c r="B19" s="439" t="s">
        <v>90</v>
      </c>
      <c r="C19" s="439" t="s">
        <v>439</v>
      </c>
    </row>
    <row r="20" spans="1:3" ht="15" customHeight="1" x14ac:dyDescent="0.25">
      <c r="A20" t="s">
        <v>450</v>
      </c>
      <c r="B20" s="439" t="s">
        <v>90</v>
      </c>
      <c r="C20" s="439" t="s">
        <v>10</v>
      </c>
    </row>
    <row r="21" spans="1:3" ht="15" customHeight="1" x14ac:dyDescent="0.25">
      <c r="A21" t="s">
        <v>451</v>
      </c>
      <c r="B21" s="439" t="s">
        <v>90</v>
      </c>
      <c r="C21" s="439" t="s">
        <v>439</v>
      </c>
    </row>
    <row r="22" spans="1:3" ht="15" customHeight="1" x14ac:dyDescent="0.25">
      <c r="A22" t="s">
        <v>452</v>
      </c>
      <c r="B22" s="439" t="s">
        <v>90</v>
      </c>
      <c r="C22" s="439" t="s">
        <v>10</v>
      </c>
    </row>
    <row r="23" spans="1:3" ht="15" customHeight="1" x14ac:dyDescent="0.25">
      <c r="A23" t="s">
        <v>453</v>
      </c>
      <c r="B23" s="439" t="s">
        <v>90</v>
      </c>
      <c r="C23" s="439" t="s">
        <v>10</v>
      </c>
    </row>
    <row r="24" spans="1:3" ht="15" customHeight="1" x14ac:dyDescent="0.25">
      <c r="A24" t="s">
        <v>454</v>
      </c>
      <c r="B24" s="439" t="s">
        <v>93</v>
      </c>
      <c r="C24" s="439" t="s">
        <v>10</v>
      </c>
    </row>
    <row r="25" spans="1:3" ht="15" customHeight="1" x14ac:dyDescent="0.25">
      <c r="A25" t="s">
        <v>455</v>
      </c>
      <c r="B25" s="439" t="s">
        <v>93</v>
      </c>
      <c r="C25" s="439" t="s">
        <v>431</v>
      </c>
    </row>
    <row r="26" spans="1:3" ht="15" customHeight="1" x14ac:dyDescent="0.25">
      <c r="A26" t="s">
        <v>456</v>
      </c>
      <c r="B26" s="439" t="s">
        <v>93</v>
      </c>
      <c r="C26" s="439" t="s">
        <v>10</v>
      </c>
    </row>
    <row r="27" spans="1:3" ht="15" customHeight="1" x14ac:dyDescent="0.25">
      <c r="A27" t="s">
        <v>457</v>
      </c>
      <c r="B27" s="439" t="s">
        <v>93</v>
      </c>
      <c r="C27" s="439" t="s">
        <v>10</v>
      </c>
    </row>
    <row r="28" spans="1:3" ht="15" customHeight="1" x14ac:dyDescent="0.25">
      <c r="A28" t="s">
        <v>458</v>
      </c>
      <c r="B28" s="439" t="s">
        <v>93</v>
      </c>
      <c r="C28" s="439" t="s">
        <v>10</v>
      </c>
    </row>
    <row r="29" spans="1:3" ht="15" customHeight="1" x14ac:dyDescent="0.25">
      <c r="A29" t="s">
        <v>459</v>
      </c>
      <c r="B29" s="439" t="s">
        <v>93</v>
      </c>
      <c r="C29" s="439" t="s">
        <v>439</v>
      </c>
    </row>
    <row r="30" spans="1:3" ht="15" customHeight="1" x14ac:dyDescent="0.25">
      <c r="A30" t="s">
        <v>460</v>
      </c>
      <c r="B30" s="439" t="s">
        <v>93</v>
      </c>
      <c r="C30" s="439" t="s">
        <v>10</v>
      </c>
    </row>
    <row r="31" spans="1:3" ht="15" customHeight="1" x14ac:dyDescent="0.25">
      <c r="A31" t="s">
        <v>461</v>
      </c>
      <c r="B31" s="439" t="s">
        <v>93</v>
      </c>
      <c r="C31" s="439" t="s">
        <v>439</v>
      </c>
    </row>
    <row r="32" spans="1:3" ht="15" customHeight="1" x14ac:dyDescent="0.25">
      <c r="A32" t="s">
        <v>462</v>
      </c>
      <c r="B32" s="439" t="s">
        <v>93</v>
      </c>
      <c r="C32" s="439" t="s">
        <v>431</v>
      </c>
    </row>
    <row r="33" spans="1:3" ht="15" customHeight="1" x14ac:dyDescent="0.25">
      <c r="A33" t="s">
        <v>463</v>
      </c>
      <c r="B33" s="439" t="s">
        <v>93</v>
      </c>
      <c r="C33" s="439" t="s">
        <v>431</v>
      </c>
    </row>
    <row r="34" spans="1:3" ht="15" customHeight="1" x14ac:dyDescent="0.25">
      <c r="A34" t="s">
        <v>464</v>
      </c>
      <c r="B34" s="439" t="s">
        <v>93</v>
      </c>
      <c r="C34" s="439" t="s">
        <v>10</v>
      </c>
    </row>
    <row r="35" spans="1:3" ht="15" customHeight="1" x14ac:dyDescent="0.25">
      <c r="A35" t="s">
        <v>465</v>
      </c>
      <c r="B35" s="439" t="s">
        <v>93</v>
      </c>
      <c r="C35" s="439" t="s">
        <v>439</v>
      </c>
    </row>
    <row r="36" spans="1:3" ht="15" customHeight="1" x14ac:dyDescent="0.25">
      <c r="A36" t="s">
        <v>466</v>
      </c>
      <c r="B36" s="439" t="s">
        <v>93</v>
      </c>
      <c r="C36" s="439" t="s">
        <v>10</v>
      </c>
    </row>
    <row r="37" spans="1:3" ht="15" customHeight="1" x14ac:dyDescent="0.25">
      <c r="A37" t="s">
        <v>467</v>
      </c>
      <c r="B37" s="439" t="s">
        <v>93</v>
      </c>
      <c r="C37" s="439" t="s">
        <v>10</v>
      </c>
    </row>
    <row r="38" spans="1:3" ht="15" customHeight="1" x14ac:dyDescent="0.25">
      <c r="A38" t="s">
        <v>468</v>
      </c>
      <c r="B38" s="439" t="s">
        <v>93</v>
      </c>
      <c r="C38" s="439" t="s">
        <v>431</v>
      </c>
    </row>
    <row r="39" spans="1:3" ht="15" customHeight="1" x14ac:dyDescent="0.25">
      <c r="A39" t="s">
        <v>469</v>
      </c>
      <c r="B39" s="439" t="s">
        <v>93</v>
      </c>
      <c r="C39" s="439" t="s">
        <v>439</v>
      </c>
    </row>
    <row r="40" spans="1:3" ht="15" customHeight="1" x14ac:dyDescent="0.25">
      <c r="A40" t="s">
        <v>470</v>
      </c>
      <c r="B40" s="439" t="s">
        <v>93</v>
      </c>
      <c r="C40" s="439" t="s">
        <v>10</v>
      </c>
    </row>
    <row r="41" spans="1:3" ht="15" customHeight="1" x14ac:dyDescent="0.25">
      <c r="A41" t="s">
        <v>471</v>
      </c>
      <c r="B41" s="439" t="s">
        <v>97</v>
      </c>
      <c r="C41" s="439" t="s">
        <v>431</v>
      </c>
    </row>
    <row r="42" spans="1:3" ht="15" customHeight="1" x14ac:dyDescent="0.25">
      <c r="A42" t="s">
        <v>472</v>
      </c>
      <c r="B42" s="439" t="s">
        <v>97</v>
      </c>
      <c r="C42" s="439" t="s">
        <v>439</v>
      </c>
    </row>
    <row r="43" spans="1:3" ht="15" customHeight="1" x14ac:dyDescent="0.25">
      <c r="A43" t="s">
        <v>473</v>
      </c>
      <c r="B43" s="439" t="s">
        <v>97</v>
      </c>
      <c r="C43" s="439" t="s">
        <v>10</v>
      </c>
    </row>
    <row r="44" spans="1:3" ht="15" customHeight="1" x14ac:dyDescent="0.25">
      <c r="A44" t="s">
        <v>474</v>
      </c>
      <c r="B44" s="439" t="s">
        <v>97</v>
      </c>
      <c r="C44" s="439" t="s">
        <v>10</v>
      </c>
    </row>
    <row r="45" spans="1:3" ht="15" customHeight="1" x14ac:dyDescent="0.25">
      <c r="A45" t="s">
        <v>475</v>
      </c>
      <c r="B45" s="439" t="s">
        <v>97</v>
      </c>
      <c r="C45" s="439" t="s">
        <v>431</v>
      </c>
    </row>
    <row r="46" spans="1:3" ht="15" customHeight="1" x14ac:dyDescent="0.25">
      <c r="A46" t="s">
        <v>476</v>
      </c>
      <c r="B46" s="439" t="s">
        <v>97</v>
      </c>
      <c r="C46" s="439" t="s">
        <v>431</v>
      </c>
    </row>
    <row r="47" spans="1:3" ht="15" customHeight="1" x14ac:dyDescent="0.25">
      <c r="A47" t="s">
        <v>477</v>
      </c>
      <c r="B47" s="439" t="s">
        <v>97</v>
      </c>
      <c r="C47" s="439" t="s">
        <v>10</v>
      </c>
    </row>
    <row r="48" spans="1:3" ht="15" customHeight="1" x14ac:dyDescent="0.25">
      <c r="A48" t="s">
        <v>478</v>
      </c>
      <c r="B48" s="439" t="s">
        <v>97</v>
      </c>
      <c r="C48" s="439" t="s">
        <v>439</v>
      </c>
    </row>
    <row r="49" spans="1:3" ht="15" customHeight="1" x14ac:dyDescent="0.25">
      <c r="A49" t="s">
        <v>479</v>
      </c>
      <c r="B49" s="439" t="s">
        <v>97</v>
      </c>
      <c r="C49" s="439" t="s">
        <v>10</v>
      </c>
    </row>
    <row r="50" spans="1:3" ht="15" customHeight="1" x14ac:dyDescent="0.25">
      <c r="A50" t="s">
        <v>480</v>
      </c>
      <c r="B50" s="439" t="s">
        <v>97</v>
      </c>
      <c r="C50" s="439" t="s">
        <v>10</v>
      </c>
    </row>
    <row r="51" spans="1:3" ht="15" customHeight="1" x14ac:dyDescent="0.25">
      <c r="A51" t="s">
        <v>481</v>
      </c>
      <c r="B51" s="439" t="s">
        <v>97</v>
      </c>
      <c r="C51" s="439" t="s">
        <v>10</v>
      </c>
    </row>
    <row r="52" spans="1:3" ht="15" customHeight="1" x14ac:dyDescent="0.25">
      <c r="A52" t="s">
        <v>482</v>
      </c>
      <c r="B52" s="439" t="s">
        <v>99</v>
      </c>
      <c r="C52" s="439" t="s">
        <v>10</v>
      </c>
    </row>
    <row r="53" spans="1:3" ht="15" customHeight="1" x14ac:dyDescent="0.25">
      <c r="A53" t="s">
        <v>483</v>
      </c>
      <c r="B53" s="439" t="s">
        <v>99</v>
      </c>
      <c r="C53" s="439" t="s">
        <v>431</v>
      </c>
    </row>
    <row r="54" spans="1:3" ht="15" customHeight="1" x14ac:dyDescent="0.25">
      <c r="A54" t="s">
        <v>484</v>
      </c>
      <c r="B54" s="439" t="s">
        <v>99</v>
      </c>
      <c r="C54" s="439" t="s">
        <v>431</v>
      </c>
    </row>
    <row r="55" spans="1:3" ht="15" customHeight="1" x14ac:dyDescent="0.25">
      <c r="A55" t="s">
        <v>485</v>
      </c>
      <c r="B55" s="439" t="s">
        <v>99</v>
      </c>
      <c r="C55" s="439" t="s">
        <v>431</v>
      </c>
    </row>
    <row r="56" spans="1:3" ht="15" customHeight="1" x14ac:dyDescent="0.25">
      <c r="A56" t="s">
        <v>486</v>
      </c>
      <c r="B56" s="439" t="s">
        <v>99</v>
      </c>
      <c r="C56" s="439" t="s">
        <v>10</v>
      </c>
    </row>
    <row r="57" spans="1:3" ht="15" customHeight="1" x14ac:dyDescent="0.25">
      <c r="A57" t="s">
        <v>487</v>
      </c>
      <c r="B57" s="439" t="s">
        <v>99</v>
      </c>
      <c r="C57" s="439" t="s">
        <v>10</v>
      </c>
    </row>
    <row r="58" spans="1:3" ht="15" customHeight="1" x14ac:dyDescent="0.25">
      <c r="A58" t="s">
        <v>488</v>
      </c>
      <c r="B58" s="439" t="s">
        <v>99</v>
      </c>
      <c r="C58" s="439" t="s">
        <v>439</v>
      </c>
    </row>
    <row r="59" spans="1:3" ht="15" customHeight="1" x14ac:dyDescent="0.25">
      <c r="A59" t="s">
        <v>489</v>
      </c>
      <c r="B59" s="439" t="s">
        <v>99</v>
      </c>
      <c r="C59" s="439" t="s">
        <v>431</v>
      </c>
    </row>
    <row r="60" spans="1:3" ht="15" customHeight="1" x14ac:dyDescent="0.25">
      <c r="A60" t="s">
        <v>490</v>
      </c>
      <c r="B60" s="439" t="s">
        <v>99</v>
      </c>
      <c r="C60" s="439" t="s">
        <v>439</v>
      </c>
    </row>
    <row r="61" spans="1:3" ht="15" customHeight="1" x14ac:dyDescent="0.25">
      <c r="A61" t="s">
        <v>491</v>
      </c>
      <c r="B61" s="439" t="s">
        <v>99</v>
      </c>
      <c r="C61" s="439" t="s">
        <v>439</v>
      </c>
    </row>
    <row r="62" spans="1:3" ht="15" customHeight="1" x14ac:dyDescent="0.25">
      <c r="A62" t="s">
        <v>492</v>
      </c>
      <c r="B62" s="439" t="s">
        <v>99</v>
      </c>
      <c r="C62" s="439" t="s">
        <v>439</v>
      </c>
    </row>
    <row r="63" spans="1:3" ht="15" customHeight="1" x14ac:dyDescent="0.25">
      <c r="A63" t="s">
        <v>493</v>
      </c>
      <c r="B63" s="439" t="s">
        <v>99</v>
      </c>
      <c r="C63" s="439" t="s">
        <v>10</v>
      </c>
    </row>
    <row r="64" spans="1:3" ht="15" customHeight="1" x14ac:dyDescent="0.25">
      <c r="A64" t="s">
        <v>494</v>
      </c>
      <c r="B64" s="439" t="s">
        <v>99</v>
      </c>
      <c r="C64" s="439" t="s">
        <v>10</v>
      </c>
    </row>
    <row r="65" spans="1:3" ht="15" customHeight="1" x14ac:dyDescent="0.25">
      <c r="A65" t="s">
        <v>495</v>
      </c>
      <c r="B65" s="439" t="s">
        <v>99</v>
      </c>
      <c r="C65" s="439" t="s">
        <v>10</v>
      </c>
    </row>
    <row r="66" spans="1:3" ht="15" customHeight="1" x14ac:dyDescent="0.25">
      <c r="A66" t="s">
        <v>496</v>
      </c>
      <c r="B66" s="439" t="s">
        <v>99</v>
      </c>
      <c r="C66" s="439" t="s">
        <v>10</v>
      </c>
    </row>
    <row r="67" spans="1:3" ht="15" customHeight="1" x14ac:dyDescent="0.25">
      <c r="A67" t="s">
        <v>497</v>
      </c>
      <c r="B67" s="439" t="s">
        <v>99</v>
      </c>
      <c r="C67" s="439" t="s">
        <v>10</v>
      </c>
    </row>
    <row r="68" spans="1:3" ht="15" customHeight="1" x14ac:dyDescent="0.25">
      <c r="A68" t="s">
        <v>498</v>
      </c>
      <c r="B68" s="439" t="s">
        <v>96</v>
      </c>
      <c r="C68" s="439" t="s">
        <v>431</v>
      </c>
    </row>
    <row r="69" spans="1:3" ht="15" customHeight="1" x14ac:dyDescent="0.25">
      <c r="A69" t="s">
        <v>499</v>
      </c>
      <c r="B69" s="439" t="s">
        <v>96</v>
      </c>
      <c r="C69" s="439" t="s">
        <v>10</v>
      </c>
    </row>
    <row r="70" spans="1:3" ht="15" customHeight="1" x14ac:dyDescent="0.25">
      <c r="A70" t="s">
        <v>500</v>
      </c>
      <c r="B70" s="439" t="s">
        <v>96</v>
      </c>
      <c r="C70" s="439" t="s">
        <v>10</v>
      </c>
    </row>
    <row r="71" spans="1:3" ht="15" customHeight="1" x14ac:dyDescent="0.25">
      <c r="A71" t="s">
        <v>501</v>
      </c>
      <c r="B71" s="439" t="s">
        <v>96</v>
      </c>
      <c r="C71" s="439" t="s">
        <v>431</v>
      </c>
    </row>
    <row r="72" spans="1:3" ht="15" customHeight="1" x14ac:dyDescent="0.25">
      <c r="A72" t="s">
        <v>502</v>
      </c>
      <c r="B72" s="439" t="s">
        <v>96</v>
      </c>
      <c r="C72" s="439" t="s">
        <v>431</v>
      </c>
    </row>
    <row r="73" spans="1:3" ht="15" customHeight="1" x14ac:dyDescent="0.25">
      <c r="A73" t="s">
        <v>503</v>
      </c>
      <c r="B73" s="439" t="s">
        <v>96</v>
      </c>
      <c r="C73" s="439" t="s">
        <v>439</v>
      </c>
    </row>
    <row r="74" spans="1:3" ht="15" customHeight="1" x14ac:dyDescent="0.25">
      <c r="A74" t="s">
        <v>504</v>
      </c>
      <c r="B74" s="439" t="s">
        <v>96</v>
      </c>
      <c r="C74" s="439" t="s">
        <v>439</v>
      </c>
    </row>
    <row r="75" spans="1:3" ht="15" customHeight="1" x14ac:dyDescent="0.25">
      <c r="A75" t="s">
        <v>505</v>
      </c>
      <c r="B75" s="439" t="s">
        <v>96</v>
      </c>
      <c r="C75" s="439" t="s">
        <v>10</v>
      </c>
    </row>
    <row r="76" spans="1:3" ht="15" customHeight="1" x14ac:dyDescent="0.25">
      <c r="A76" t="s">
        <v>506</v>
      </c>
      <c r="B76" s="439" t="s">
        <v>96</v>
      </c>
      <c r="C76" s="439" t="s">
        <v>431</v>
      </c>
    </row>
    <row r="77" spans="1:3" ht="15" customHeight="1" x14ac:dyDescent="0.25">
      <c r="A77" t="s">
        <v>507</v>
      </c>
      <c r="B77" s="439" t="s">
        <v>96</v>
      </c>
      <c r="C77" s="439" t="s">
        <v>431</v>
      </c>
    </row>
    <row r="78" spans="1:3" ht="15" customHeight="1" x14ac:dyDescent="0.25">
      <c r="A78" t="s">
        <v>508</v>
      </c>
      <c r="B78" s="439" t="s">
        <v>96</v>
      </c>
      <c r="C78" s="439" t="s">
        <v>10</v>
      </c>
    </row>
    <row r="79" spans="1:3" ht="15" customHeight="1" x14ac:dyDescent="0.25">
      <c r="A79" t="s">
        <v>509</v>
      </c>
      <c r="B79" s="439" t="s">
        <v>96</v>
      </c>
      <c r="C79" s="439" t="s">
        <v>10</v>
      </c>
    </row>
    <row r="80" spans="1:3" ht="15" customHeight="1" x14ac:dyDescent="0.25">
      <c r="A80" t="s">
        <v>510</v>
      </c>
      <c r="B80" s="439" t="s">
        <v>96</v>
      </c>
      <c r="C80" s="439" t="s">
        <v>10</v>
      </c>
    </row>
    <row r="81" spans="1:3" ht="15" customHeight="1" x14ac:dyDescent="0.25">
      <c r="A81" t="s">
        <v>511</v>
      </c>
      <c r="B81" s="439" t="s">
        <v>96</v>
      </c>
      <c r="C81" s="439" t="s">
        <v>439</v>
      </c>
    </row>
    <row r="82" spans="1:3" ht="15" customHeight="1" x14ac:dyDescent="0.25">
      <c r="A82" t="s">
        <v>512</v>
      </c>
      <c r="B82" s="439" t="s">
        <v>96</v>
      </c>
      <c r="C82" s="439" t="s">
        <v>10</v>
      </c>
    </row>
    <row r="83" spans="1:3" ht="15" customHeight="1" x14ac:dyDescent="0.25">
      <c r="A83" t="s">
        <v>513</v>
      </c>
      <c r="B83" s="439" t="s">
        <v>96</v>
      </c>
      <c r="C83" s="439" t="s">
        <v>439</v>
      </c>
    </row>
    <row r="84" spans="1:3" ht="15" customHeight="1" x14ac:dyDescent="0.25">
      <c r="A84" t="s">
        <v>514</v>
      </c>
      <c r="B84" s="439" t="s">
        <v>96</v>
      </c>
      <c r="C84" s="439" t="s">
        <v>10</v>
      </c>
    </row>
    <row r="85" spans="1:3" ht="15" customHeight="1" x14ac:dyDescent="0.25">
      <c r="A85" t="s">
        <v>515</v>
      </c>
      <c r="B85" s="439" t="s">
        <v>96</v>
      </c>
      <c r="C85" s="439" t="s">
        <v>439</v>
      </c>
    </row>
    <row r="86" spans="1:3" ht="15" customHeight="1" x14ac:dyDescent="0.25">
      <c r="A86" t="s">
        <v>516</v>
      </c>
      <c r="B86" s="439" t="s">
        <v>96</v>
      </c>
      <c r="C86" s="439" t="s">
        <v>10</v>
      </c>
    </row>
    <row r="87" spans="1:3" ht="15" customHeight="1" x14ac:dyDescent="0.25">
      <c r="A87" t="s">
        <v>517</v>
      </c>
      <c r="B87" s="439" t="s">
        <v>96</v>
      </c>
      <c r="C87" s="439" t="s">
        <v>10</v>
      </c>
    </row>
    <row r="88" spans="1:3" ht="15" customHeight="1" x14ac:dyDescent="0.25">
      <c r="A88" t="s">
        <v>518</v>
      </c>
      <c r="B88" s="439" t="s">
        <v>96</v>
      </c>
      <c r="C88" s="439" t="s">
        <v>439</v>
      </c>
    </row>
    <row r="89" spans="1:3" ht="15" customHeight="1" x14ac:dyDescent="0.25">
      <c r="A89" t="s">
        <v>519</v>
      </c>
      <c r="B89" s="439" t="s">
        <v>96</v>
      </c>
      <c r="C89" s="439" t="s">
        <v>431</v>
      </c>
    </row>
    <row r="90" spans="1:3" ht="15" customHeight="1" x14ac:dyDescent="0.25">
      <c r="A90" t="s">
        <v>520</v>
      </c>
      <c r="B90" s="439" t="s">
        <v>104</v>
      </c>
      <c r="C90" s="439" t="s">
        <v>10</v>
      </c>
    </row>
    <row r="91" spans="1:3" ht="15" customHeight="1" x14ac:dyDescent="0.25">
      <c r="A91" t="s">
        <v>521</v>
      </c>
      <c r="B91" s="439" t="s">
        <v>104</v>
      </c>
      <c r="C91" s="439" t="s">
        <v>431</v>
      </c>
    </row>
    <row r="92" spans="1:3" ht="15" customHeight="1" x14ac:dyDescent="0.25">
      <c r="A92" t="s">
        <v>522</v>
      </c>
      <c r="B92" s="439" t="s">
        <v>104</v>
      </c>
      <c r="C92" s="439" t="s">
        <v>10</v>
      </c>
    </row>
    <row r="93" spans="1:3" ht="15" customHeight="1" x14ac:dyDescent="0.25">
      <c r="A93" t="s">
        <v>523</v>
      </c>
      <c r="B93" s="439" t="s">
        <v>104</v>
      </c>
      <c r="C93" s="439" t="s">
        <v>439</v>
      </c>
    </row>
    <row r="94" spans="1:3" ht="15" customHeight="1" x14ac:dyDescent="0.25">
      <c r="A94" t="s">
        <v>524</v>
      </c>
      <c r="B94" s="439" t="s">
        <v>104</v>
      </c>
      <c r="C94" s="439" t="s">
        <v>431</v>
      </c>
    </row>
    <row r="95" spans="1:3" ht="15" customHeight="1" x14ac:dyDescent="0.25">
      <c r="A95" t="s">
        <v>525</v>
      </c>
      <c r="B95" s="439" t="s">
        <v>104</v>
      </c>
      <c r="C95" s="439" t="s">
        <v>439</v>
      </c>
    </row>
    <row r="96" spans="1:3" ht="15" customHeight="1" x14ac:dyDescent="0.25">
      <c r="A96" t="s">
        <v>526</v>
      </c>
      <c r="B96" s="439" t="s">
        <v>104</v>
      </c>
      <c r="C96" s="439" t="s">
        <v>431</v>
      </c>
    </row>
    <row r="97" spans="1:3" ht="15" customHeight="1" x14ac:dyDescent="0.25">
      <c r="A97" t="s">
        <v>527</v>
      </c>
      <c r="B97" s="439" t="s">
        <v>104</v>
      </c>
      <c r="C97" s="439" t="s">
        <v>439</v>
      </c>
    </row>
    <row r="98" spans="1:3" ht="15" customHeight="1" x14ac:dyDescent="0.25">
      <c r="A98" t="s">
        <v>528</v>
      </c>
      <c r="B98" s="439" t="s">
        <v>104</v>
      </c>
      <c r="C98" s="439" t="s">
        <v>439</v>
      </c>
    </row>
    <row r="99" spans="1:3" ht="15" customHeight="1" x14ac:dyDescent="0.25">
      <c r="A99" t="s">
        <v>529</v>
      </c>
      <c r="B99" s="439" t="s">
        <v>104</v>
      </c>
      <c r="C99" s="439" t="s">
        <v>439</v>
      </c>
    </row>
    <row r="100" spans="1:3" ht="15" customHeight="1" x14ac:dyDescent="0.25">
      <c r="A100" t="s">
        <v>530</v>
      </c>
      <c r="B100" s="439" t="s">
        <v>104</v>
      </c>
      <c r="C100" s="439" t="s">
        <v>431</v>
      </c>
    </row>
    <row r="101" spans="1:3" ht="15" customHeight="1" x14ac:dyDescent="0.25">
      <c r="A101" t="s">
        <v>531</v>
      </c>
      <c r="B101" s="439" t="s">
        <v>104</v>
      </c>
      <c r="C101" s="439" t="s">
        <v>10</v>
      </c>
    </row>
    <row r="102" spans="1:3" ht="15" customHeight="1" x14ac:dyDescent="0.25">
      <c r="A102" t="s">
        <v>532</v>
      </c>
      <c r="B102" s="439" t="s">
        <v>104</v>
      </c>
      <c r="C102" s="439" t="s">
        <v>10</v>
      </c>
    </row>
    <row r="103" spans="1:3" ht="15" customHeight="1" x14ac:dyDescent="0.25">
      <c r="A103" t="s">
        <v>533</v>
      </c>
      <c r="B103" s="439" t="s">
        <v>104</v>
      </c>
      <c r="C103" s="439" t="s">
        <v>10</v>
      </c>
    </row>
    <row r="104" spans="1:3" ht="15" customHeight="1" x14ac:dyDescent="0.25">
      <c r="A104" t="s">
        <v>534</v>
      </c>
      <c r="B104" s="439" t="s">
        <v>104</v>
      </c>
      <c r="C104" s="439" t="s">
        <v>431</v>
      </c>
    </row>
    <row r="105" spans="1:3" ht="15" customHeight="1" x14ac:dyDescent="0.25">
      <c r="A105" t="s">
        <v>535</v>
      </c>
      <c r="B105" s="439" t="s">
        <v>104</v>
      </c>
      <c r="C105" s="439" t="s">
        <v>10</v>
      </c>
    </row>
    <row r="106" spans="1:3" ht="15" customHeight="1" x14ac:dyDescent="0.25">
      <c r="A106" t="s">
        <v>536</v>
      </c>
      <c r="B106" s="439" t="s">
        <v>107</v>
      </c>
      <c r="C106" s="439" t="s">
        <v>439</v>
      </c>
    </row>
    <row r="107" spans="1:3" ht="15" customHeight="1" x14ac:dyDescent="0.25">
      <c r="A107" t="s">
        <v>537</v>
      </c>
      <c r="B107" s="439" t="s">
        <v>107</v>
      </c>
      <c r="C107" s="439" t="s">
        <v>431</v>
      </c>
    </row>
    <row r="108" spans="1:3" ht="15" customHeight="1" x14ac:dyDescent="0.25">
      <c r="A108" t="s">
        <v>538</v>
      </c>
      <c r="B108" s="439" t="s">
        <v>107</v>
      </c>
      <c r="C108" s="439" t="s">
        <v>431</v>
      </c>
    </row>
    <row r="109" spans="1:3" ht="15" customHeight="1" x14ac:dyDescent="0.25">
      <c r="A109" t="s">
        <v>539</v>
      </c>
      <c r="B109" s="439" t="s">
        <v>107</v>
      </c>
      <c r="C109" s="439" t="s">
        <v>431</v>
      </c>
    </row>
    <row r="110" spans="1:3" ht="15" customHeight="1" x14ac:dyDescent="0.25">
      <c r="A110" t="s">
        <v>540</v>
      </c>
      <c r="B110" s="439" t="s">
        <v>107</v>
      </c>
      <c r="C110" s="439" t="s">
        <v>10</v>
      </c>
    </row>
    <row r="111" spans="1:3" ht="15" customHeight="1" x14ac:dyDescent="0.25">
      <c r="A111" t="s">
        <v>541</v>
      </c>
      <c r="B111" s="439" t="s">
        <v>107</v>
      </c>
      <c r="C111" s="439" t="s">
        <v>439</v>
      </c>
    </row>
    <row r="112" spans="1:3" ht="15" customHeight="1" x14ac:dyDescent="0.25">
      <c r="A112" t="s">
        <v>542</v>
      </c>
      <c r="B112" s="439" t="s">
        <v>107</v>
      </c>
      <c r="C112" s="439" t="s">
        <v>439</v>
      </c>
    </row>
    <row r="113" spans="1:3" ht="15" customHeight="1" x14ac:dyDescent="0.25">
      <c r="A113" t="s">
        <v>543</v>
      </c>
      <c r="B113" s="439" t="s">
        <v>107</v>
      </c>
      <c r="C113" s="439" t="s">
        <v>10</v>
      </c>
    </row>
    <row r="114" spans="1:3" ht="15" customHeight="1" x14ac:dyDescent="0.25">
      <c r="A114" t="s">
        <v>544</v>
      </c>
      <c r="B114" s="439" t="s">
        <v>107</v>
      </c>
      <c r="C114" s="439" t="s">
        <v>439</v>
      </c>
    </row>
    <row r="115" spans="1:3" ht="15" customHeight="1" x14ac:dyDescent="0.25">
      <c r="A115" t="s">
        <v>545</v>
      </c>
      <c r="B115" s="439" t="s">
        <v>107</v>
      </c>
      <c r="C115" s="439" t="s">
        <v>10</v>
      </c>
    </row>
    <row r="116" spans="1:3" ht="15" customHeight="1" x14ac:dyDescent="0.25">
      <c r="A116" t="s">
        <v>546</v>
      </c>
      <c r="B116" s="439" t="s">
        <v>107</v>
      </c>
      <c r="C116" s="439" t="s">
        <v>10</v>
      </c>
    </row>
    <row r="117" spans="1:3" ht="15" customHeight="1" x14ac:dyDescent="0.25">
      <c r="A117" t="s">
        <v>547</v>
      </c>
      <c r="B117" s="439" t="s">
        <v>107</v>
      </c>
      <c r="C117" s="439" t="s">
        <v>10</v>
      </c>
    </row>
    <row r="118" spans="1:3" ht="15" customHeight="1" x14ac:dyDescent="0.25">
      <c r="A118" t="s">
        <v>548</v>
      </c>
      <c r="B118" s="439" t="s">
        <v>107</v>
      </c>
      <c r="C118" s="439" t="s">
        <v>10</v>
      </c>
    </row>
    <row r="119" spans="1:3" ht="15" customHeight="1" x14ac:dyDescent="0.25">
      <c r="A119" t="s">
        <v>549</v>
      </c>
      <c r="B119" s="439" t="s">
        <v>107</v>
      </c>
      <c r="C119" s="439" t="s">
        <v>431</v>
      </c>
    </row>
    <row r="120" spans="1:3" ht="15" customHeight="1" x14ac:dyDescent="0.25">
      <c r="A120" t="s">
        <v>550</v>
      </c>
      <c r="B120" s="439" t="s">
        <v>107</v>
      </c>
      <c r="C120" s="439" t="s">
        <v>10</v>
      </c>
    </row>
    <row r="121" spans="1:3" ht="15" customHeight="1" x14ac:dyDescent="0.25">
      <c r="A121" t="s">
        <v>551</v>
      </c>
      <c r="B121" s="439" t="s">
        <v>107</v>
      </c>
      <c r="C121" s="439" t="s">
        <v>431</v>
      </c>
    </row>
    <row r="122" spans="1:3" ht="15" customHeight="1" x14ac:dyDescent="0.25">
      <c r="A122" t="s">
        <v>552</v>
      </c>
      <c r="B122" s="439" t="s">
        <v>107</v>
      </c>
      <c r="C122" s="439" t="s">
        <v>10</v>
      </c>
    </row>
    <row r="123" spans="1:3" ht="15" customHeight="1" x14ac:dyDescent="0.25">
      <c r="A123" t="s">
        <v>553</v>
      </c>
      <c r="B123" s="439" t="s">
        <v>107</v>
      </c>
      <c r="C123" s="439" t="s">
        <v>439</v>
      </c>
    </row>
    <row r="124" spans="1:3" ht="15" customHeight="1" x14ac:dyDescent="0.25">
      <c r="A124" t="s">
        <v>554</v>
      </c>
      <c r="B124" s="439" t="s">
        <v>107</v>
      </c>
      <c r="C124" s="439" t="s">
        <v>10</v>
      </c>
    </row>
    <row r="125" spans="1:3" ht="15" customHeight="1" x14ac:dyDescent="0.25">
      <c r="A125" t="s">
        <v>555</v>
      </c>
      <c r="B125" s="439" t="s">
        <v>107</v>
      </c>
      <c r="C125" s="439" t="s">
        <v>10</v>
      </c>
    </row>
    <row r="126" spans="1:3" ht="15" customHeight="1" x14ac:dyDescent="0.25">
      <c r="A126" t="s">
        <v>556</v>
      </c>
      <c r="B126" s="439" t="s">
        <v>109</v>
      </c>
      <c r="C126" s="439" t="s">
        <v>439</v>
      </c>
    </row>
    <row r="127" spans="1:3" ht="15" customHeight="1" x14ac:dyDescent="0.25">
      <c r="A127" t="s">
        <v>557</v>
      </c>
      <c r="B127" s="439" t="s">
        <v>109</v>
      </c>
      <c r="C127" s="439" t="s">
        <v>10</v>
      </c>
    </row>
    <row r="128" spans="1:3" ht="15" customHeight="1" x14ac:dyDescent="0.25">
      <c r="A128" t="s">
        <v>558</v>
      </c>
      <c r="B128" s="439" t="s">
        <v>109</v>
      </c>
      <c r="C128" s="439" t="s">
        <v>439</v>
      </c>
    </row>
    <row r="129" spans="1:3" ht="15" customHeight="1" x14ac:dyDescent="0.25">
      <c r="A129" t="s">
        <v>559</v>
      </c>
      <c r="B129" s="439" t="s">
        <v>109</v>
      </c>
      <c r="C129" s="439" t="s">
        <v>10</v>
      </c>
    </row>
    <row r="130" spans="1:3" ht="15" customHeight="1" x14ac:dyDescent="0.25">
      <c r="A130" t="s">
        <v>560</v>
      </c>
      <c r="B130" s="439" t="s">
        <v>109</v>
      </c>
      <c r="C130" s="439" t="s">
        <v>439</v>
      </c>
    </row>
    <row r="131" spans="1:3" ht="15" customHeight="1" x14ac:dyDescent="0.25">
      <c r="A131" t="s">
        <v>561</v>
      </c>
      <c r="B131" s="439" t="s">
        <v>109</v>
      </c>
      <c r="C131" s="439" t="s">
        <v>10</v>
      </c>
    </row>
    <row r="132" spans="1:3" ht="15" customHeight="1" x14ac:dyDescent="0.25">
      <c r="A132" t="s">
        <v>562</v>
      </c>
      <c r="B132" s="439" t="s">
        <v>109</v>
      </c>
      <c r="C132" s="439" t="s">
        <v>10</v>
      </c>
    </row>
    <row r="133" spans="1:3" ht="15" customHeight="1" x14ac:dyDescent="0.25">
      <c r="A133" t="s">
        <v>563</v>
      </c>
      <c r="B133" s="439" t="s">
        <v>109</v>
      </c>
      <c r="C133" s="439" t="s">
        <v>431</v>
      </c>
    </row>
    <row r="134" spans="1:3" ht="15" customHeight="1" x14ac:dyDescent="0.25">
      <c r="A134" t="s">
        <v>564</v>
      </c>
      <c r="B134" s="439" t="s">
        <v>109</v>
      </c>
      <c r="C134" s="439" t="s">
        <v>10</v>
      </c>
    </row>
    <row r="135" spans="1:3" ht="15" customHeight="1" x14ac:dyDescent="0.25">
      <c r="A135" t="s">
        <v>565</v>
      </c>
      <c r="B135" s="439" t="s">
        <v>109</v>
      </c>
      <c r="C135" s="439" t="s">
        <v>431</v>
      </c>
    </row>
    <row r="136" spans="1:3" ht="15" customHeight="1" x14ac:dyDescent="0.25">
      <c r="A136" t="s">
        <v>566</v>
      </c>
      <c r="B136" s="439" t="s">
        <v>109</v>
      </c>
      <c r="C136" s="439" t="s">
        <v>439</v>
      </c>
    </row>
    <row r="137" spans="1:3" ht="15" customHeight="1" x14ac:dyDescent="0.25">
      <c r="A137" t="s">
        <v>567</v>
      </c>
      <c r="B137" s="439" t="s">
        <v>109</v>
      </c>
      <c r="C137" s="439" t="s">
        <v>431</v>
      </c>
    </row>
    <row r="138" spans="1:3" ht="15" customHeight="1" x14ac:dyDescent="0.25">
      <c r="A138" t="s">
        <v>568</v>
      </c>
      <c r="B138" s="439" t="s">
        <v>109</v>
      </c>
      <c r="C138" s="439" t="s">
        <v>431</v>
      </c>
    </row>
    <row r="139" spans="1:3" ht="15" customHeight="1" x14ac:dyDescent="0.25">
      <c r="A139" t="s">
        <v>569</v>
      </c>
      <c r="B139" s="439" t="s">
        <v>109</v>
      </c>
      <c r="C139" s="439" t="s">
        <v>439</v>
      </c>
    </row>
    <row r="140" spans="1:3" ht="15" customHeight="1" x14ac:dyDescent="0.25">
      <c r="A140" t="s">
        <v>570</v>
      </c>
      <c r="B140" s="439" t="s">
        <v>109</v>
      </c>
      <c r="C140" s="439" t="s">
        <v>10</v>
      </c>
    </row>
    <row r="141" spans="1:3" ht="15" customHeight="1" x14ac:dyDescent="0.25">
      <c r="A141" t="s">
        <v>571</v>
      </c>
      <c r="B141" s="439" t="s">
        <v>109</v>
      </c>
      <c r="C141" s="439" t="s">
        <v>10</v>
      </c>
    </row>
    <row r="142" spans="1:3" ht="15" customHeight="1" x14ac:dyDescent="0.25">
      <c r="A142" t="s">
        <v>572</v>
      </c>
      <c r="B142" s="439" t="s">
        <v>109</v>
      </c>
      <c r="C142" s="439" t="s">
        <v>10</v>
      </c>
    </row>
    <row r="143" spans="1:3" ht="15" customHeight="1" x14ac:dyDescent="0.25">
      <c r="A143" t="s">
        <v>573</v>
      </c>
      <c r="B143" s="439" t="s">
        <v>109</v>
      </c>
      <c r="C143" s="439" t="s">
        <v>439</v>
      </c>
    </row>
    <row r="144" spans="1:3" ht="15" customHeight="1" x14ac:dyDescent="0.25">
      <c r="A144" t="s">
        <v>574</v>
      </c>
      <c r="B144" s="439" t="s">
        <v>109</v>
      </c>
      <c r="C144" s="439" t="s">
        <v>10</v>
      </c>
    </row>
    <row r="145" spans="1:3" ht="15" customHeight="1" x14ac:dyDescent="0.25">
      <c r="A145" t="s">
        <v>575</v>
      </c>
      <c r="B145" s="439" t="s">
        <v>112</v>
      </c>
      <c r="C145" s="439" t="s">
        <v>431</v>
      </c>
    </row>
    <row r="146" spans="1:3" ht="15" customHeight="1" x14ac:dyDescent="0.25">
      <c r="A146" t="s">
        <v>576</v>
      </c>
      <c r="B146" s="439" t="s">
        <v>112</v>
      </c>
      <c r="C146" s="439" t="s">
        <v>431</v>
      </c>
    </row>
    <row r="147" spans="1:3" ht="15" customHeight="1" x14ac:dyDescent="0.25">
      <c r="A147" t="s">
        <v>577</v>
      </c>
      <c r="B147" s="439" t="s">
        <v>112</v>
      </c>
      <c r="C147" s="439" t="s">
        <v>10</v>
      </c>
    </row>
    <row r="148" spans="1:3" ht="15" customHeight="1" x14ac:dyDescent="0.25">
      <c r="A148" t="s">
        <v>578</v>
      </c>
      <c r="B148" s="439" t="s">
        <v>112</v>
      </c>
      <c r="C148" s="439" t="s">
        <v>431</v>
      </c>
    </row>
    <row r="149" spans="1:3" ht="15" customHeight="1" x14ac:dyDescent="0.25">
      <c r="A149" t="s">
        <v>579</v>
      </c>
      <c r="B149" s="439" t="s">
        <v>112</v>
      </c>
      <c r="C149" s="439" t="s">
        <v>439</v>
      </c>
    </row>
    <row r="150" spans="1:3" ht="15" customHeight="1" x14ac:dyDescent="0.25">
      <c r="A150" t="s">
        <v>580</v>
      </c>
      <c r="B150" s="439" t="s">
        <v>112</v>
      </c>
      <c r="C150" s="439" t="s">
        <v>439</v>
      </c>
    </row>
    <row r="151" spans="1:3" ht="15" customHeight="1" x14ac:dyDescent="0.25">
      <c r="A151" t="s">
        <v>581</v>
      </c>
      <c r="B151" s="439" t="s">
        <v>112</v>
      </c>
      <c r="C151" s="439" t="s">
        <v>10</v>
      </c>
    </row>
    <row r="152" spans="1:3" ht="15" customHeight="1" x14ac:dyDescent="0.25">
      <c r="A152" t="s">
        <v>582</v>
      </c>
      <c r="B152" s="439" t="s">
        <v>112</v>
      </c>
      <c r="C152" s="439" t="s">
        <v>10</v>
      </c>
    </row>
    <row r="153" spans="1:3" ht="15" customHeight="1" x14ac:dyDescent="0.25">
      <c r="A153" t="s">
        <v>583</v>
      </c>
      <c r="B153" s="439" t="s">
        <v>112</v>
      </c>
      <c r="C153" s="439" t="s">
        <v>10</v>
      </c>
    </row>
    <row r="154" spans="1:3" ht="15" customHeight="1" x14ac:dyDescent="0.25">
      <c r="A154" t="s">
        <v>584</v>
      </c>
      <c r="B154" s="439" t="s">
        <v>112</v>
      </c>
      <c r="C154" s="439" t="s">
        <v>431</v>
      </c>
    </row>
    <row r="155" spans="1:3" ht="15" customHeight="1" x14ac:dyDescent="0.25">
      <c r="A155" t="s">
        <v>585</v>
      </c>
      <c r="B155" s="439" t="s">
        <v>112</v>
      </c>
      <c r="C155" s="439" t="s">
        <v>431</v>
      </c>
    </row>
    <row r="156" spans="1:3" ht="15" customHeight="1" x14ac:dyDescent="0.25">
      <c r="A156" t="s">
        <v>586</v>
      </c>
      <c r="B156" s="439" t="s">
        <v>112</v>
      </c>
      <c r="C156" s="439" t="s">
        <v>10</v>
      </c>
    </row>
    <row r="157" spans="1:3" ht="15" customHeight="1" x14ac:dyDescent="0.25">
      <c r="A157" t="s">
        <v>587</v>
      </c>
      <c r="B157" s="439" t="s">
        <v>112</v>
      </c>
      <c r="C157" s="439" t="s">
        <v>10</v>
      </c>
    </row>
    <row r="158" spans="1:3" ht="15" customHeight="1" x14ac:dyDescent="0.25">
      <c r="A158" t="s">
        <v>588</v>
      </c>
      <c r="B158" s="439" t="s">
        <v>112</v>
      </c>
      <c r="C158" s="439" t="s">
        <v>439</v>
      </c>
    </row>
    <row r="159" spans="1:3" ht="15" customHeight="1" x14ac:dyDescent="0.25">
      <c r="A159" t="s">
        <v>589</v>
      </c>
      <c r="B159" s="439" t="s">
        <v>112</v>
      </c>
      <c r="C159" s="439" t="s">
        <v>439</v>
      </c>
    </row>
    <row r="160" spans="1:3" ht="15" customHeight="1" x14ac:dyDescent="0.25">
      <c r="A160" t="s">
        <v>590</v>
      </c>
      <c r="B160" s="439" t="s">
        <v>112</v>
      </c>
      <c r="C160" s="439" t="s">
        <v>10</v>
      </c>
    </row>
    <row r="161" spans="1:3" ht="15" customHeight="1" x14ac:dyDescent="0.25">
      <c r="A161" t="s">
        <v>591</v>
      </c>
      <c r="B161" s="439" t="s">
        <v>112</v>
      </c>
      <c r="C161" s="439" t="s">
        <v>431</v>
      </c>
    </row>
    <row r="162" spans="1:3" ht="15" customHeight="1" x14ac:dyDescent="0.25">
      <c r="A162" t="s">
        <v>592</v>
      </c>
      <c r="B162" s="439" t="s">
        <v>115</v>
      </c>
      <c r="C162" s="439" t="s">
        <v>439</v>
      </c>
    </row>
    <row r="163" spans="1:3" ht="15" customHeight="1" x14ac:dyDescent="0.25">
      <c r="A163" t="s">
        <v>593</v>
      </c>
      <c r="B163" s="439" t="s">
        <v>115</v>
      </c>
      <c r="C163" s="439" t="s">
        <v>431</v>
      </c>
    </row>
    <row r="164" spans="1:3" ht="15" customHeight="1" x14ac:dyDescent="0.25">
      <c r="A164" t="s">
        <v>594</v>
      </c>
      <c r="B164" s="439" t="s">
        <v>115</v>
      </c>
      <c r="C164" s="439" t="s">
        <v>10</v>
      </c>
    </row>
    <row r="165" spans="1:3" ht="15" customHeight="1" x14ac:dyDescent="0.25">
      <c r="A165" t="s">
        <v>595</v>
      </c>
      <c r="B165" s="439" t="s">
        <v>115</v>
      </c>
      <c r="C165" s="439" t="s">
        <v>10</v>
      </c>
    </row>
    <row r="166" spans="1:3" ht="15" customHeight="1" x14ac:dyDescent="0.25">
      <c r="A166" t="s">
        <v>596</v>
      </c>
      <c r="B166" s="439" t="s">
        <v>115</v>
      </c>
      <c r="C166" s="439" t="s">
        <v>431</v>
      </c>
    </row>
    <row r="167" spans="1:3" ht="15" customHeight="1" x14ac:dyDescent="0.25">
      <c r="A167" t="s">
        <v>597</v>
      </c>
      <c r="B167" s="439" t="s">
        <v>115</v>
      </c>
      <c r="C167" s="439" t="s">
        <v>439</v>
      </c>
    </row>
    <row r="168" spans="1:3" ht="15" customHeight="1" x14ac:dyDescent="0.25">
      <c r="A168" t="s">
        <v>598</v>
      </c>
      <c r="B168" s="439" t="s">
        <v>115</v>
      </c>
      <c r="C168" s="439" t="s">
        <v>10</v>
      </c>
    </row>
    <row r="169" spans="1:3" ht="15" customHeight="1" x14ac:dyDescent="0.25">
      <c r="A169" t="s">
        <v>599</v>
      </c>
      <c r="B169" s="439" t="s">
        <v>115</v>
      </c>
      <c r="C169" s="439" t="s">
        <v>431</v>
      </c>
    </row>
    <row r="170" spans="1:3" ht="15" customHeight="1" x14ac:dyDescent="0.25">
      <c r="A170" t="s">
        <v>600</v>
      </c>
      <c r="B170" s="439" t="s">
        <v>115</v>
      </c>
      <c r="C170" s="439" t="s">
        <v>10</v>
      </c>
    </row>
    <row r="171" spans="1:3" ht="15" customHeight="1" x14ac:dyDescent="0.25">
      <c r="A171" t="s">
        <v>601</v>
      </c>
      <c r="B171" s="439" t="s">
        <v>115</v>
      </c>
      <c r="C171" s="439" t="s">
        <v>439</v>
      </c>
    </row>
    <row r="172" spans="1:3" ht="15" customHeight="1" x14ac:dyDescent="0.25">
      <c r="A172" t="s">
        <v>602</v>
      </c>
      <c r="B172" s="439" t="s">
        <v>115</v>
      </c>
      <c r="C172" s="439" t="s">
        <v>439</v>
      </c>
    </row>
    <row r="173" spans="1:3" ht="15" customHeight="1" x14ac:dyDescent="0.25">
      <c r="A173" t="s">
        <v>603</v>
      </c>
      <c r="B173" s="439" t="s">
        <v>115</v>
      </c>
      <c r="C173" s="439" t="s">
        <v>431</v>
      </c>
    </row>
    <row r="174" spans="1:3" ht="15" customHeight="1" x14ac:dyDescent="0.25">
      <c r="A174" t="s">
        <v>604</v>
      </c>
      <c r="B174" s="439" t="s">
        <v>115</v>
      </c>
      <c r="C174" s="439" t="s">
        <v>10</v>
      </c>
    </row>
    <row r="175" spans="1:3" ht="15" customHeight="1" x14ac:dyDescent="0.25">
      <c r="A175" t="s">
        <v>605</v>
      </c>
      <c r="B175" s="439" t="s">
        <v>115</v>
      </c>
      <c r="C175" s="439" t="s">
        <v>431</v>
      </c>
    </row>
    <row r="176" spans="1:3" ht="15" customHeight="1" x14ac:dyDescent="0.25">
      <c r="A176" t="s">
        <v>606</v>
      </c>
      <c r="B176" s="439" t="s">
        <v>115</v>
      </c>
      <c r="C176" s="439" t="s">
        <v>10</v>
      </c>
    </row>
    <row r="177" spans="1:3" ht="15" customHeight="1" x14ac:dyDescent="0.25">
      <c r="A177" t="s">
        <v>607</v>
      </c>
      <c r="B177" s="439" t="s">
        <v>115</v>
      </c>
      <c r="C177" s="439" t="s">
        <v>439</v>
      </c>
    </row>
    <row r="178" spans="1:3" ht="15" customHeight="1" x14ac:dyDescent="0.25">
      <c r="A178" t="s">
        <v>608</v>
      </c>
      <c r="B178" s="439" t="s">
        <v>115</v>
      </c>
      <c r="C178" s="439" t="s">
        <v>431</v>
      </c>
    </row>
    <row r="179" spans="1:3" ht="15" customHeight="1" x14ac:dyDescent="0.25">
      <c r="A179" t="s">
        <v>609</v>
      </c>
      <c r="B179" s="439" t="s">
        <v>115</v>
      </c>
      <c r="C179" s="439" t="s">
        <v>10</v>
      </c>
    </row>
    <row r="180" spans="1:3" ht="15" customHeight="1" x14ac:dyDescent="0.25">
      <c r="A180" t="s">
        <v>610</v>
      </c>
      <c r="B180" s="439" t="s">
        <v>111</v>
      </c>
      <c r="C180" s="439" t="s">
        <v>439</v>
      </c>
    </row>
    <row r="181" spans="1:3" ht="15" customHeight="1" x14ac:dyDescent="0.25">
      <c r="A181" t="s">
        <v>611</v>
      </c>
      <c r="B181" s="439" t="s">
        <v>111</v>
      </c>
      <c r="C181" s="439" t="s">
        <v>10</v>
      </c>
    </row>
    <row r="182" spans="1:3" ht="15" customHeight="1" x14ac:dyDescent="0.25">
      <c r="A182" t="s">
        <v>612</v>
      </c>
      <c r="B182" s="439" t="s">
        <v>111</v>
      </c>
      <c r="C182" s="439" t="s">
        <v>10</v>
      </c>
    </row>
    <row r="183" spans="1:3" ht="15" customHeight="1" x14ac:dyDescent="0.25">
      <c r="A183" t="s">
        <v>613</v>
      </c>
      <c r="B183" s="439" t="s">
        <v>111</v>
      </c>
      <c r="C183" s="439" t="s">
        <v>431</v>
      </c>
    </row>
    <row r="184" spans="1:3" ht="15" customHeight="1" x14ac:dyDescent="0.25">
      <c r="A184" t="s">
        <v>614</v>
      </c>
      <c r="B184" s="439" t="s">
        <v>111</v>
      </c>
      <c r="C184" s="439" t="s">
        <v>439</v>
      </c>
    </row>
    <row r="185" spans="1:3" ht="15" customHeight="1" x14ac:dyDescent="0.25">
      <c r="A185" t="s">
        <v>615</v>
      </c>
      <c r="B185" s="439" t="s">
        <v>111</v>
      </c>
      <c r="C185" s="439" t="s">
        <v>439</v>
      </c>
    </row>
    <row r="186" spans="1:3" ht="15" customHeight="1" x14ac:dyDescent="0.25">
      <c r="A186" t="s">
        <v>616</v>
      </c>
      <c r="B186" s="439" t="s">
        <v>111</v>
      </c>
      <c r="C186" s="439" t="s">
        <v>431</v>
      </c>
    </row>
    <row r="187" spans="1:3" ht="15" customHeight="1" x14ac:dyDescent="0.25">
      <c r="A187" t="s">
        <v>617</v>
      </c>
      <c r="B187" s="439" t="s">
        <v>111</v>
      </c>
      <c r="C187" s="439" t="s">
        <v>10</v>
      </c>
    </row>
    <row r="188" spans="1:3" ht="15" customHeight="1" x14ac:dyDescent="0.25">
      <c r="A188" t="s">
        <v>618</v>
      </c>
      <c r="B188" s="439" t="s">
        <v>111</v>
      </c>
      <c r="C188" s="439" t="s">
        <v>439</v>
      </c>
    </row>
    <row r="189" spans="1:3" ht="15" customHeight="1" x14ac:dyDescent="0.25">
      <c r="A189" t="s">
        <v>619</v>
      </c>
      <c r="B189" s="439" t="s">
        <v>111</v>
      </c>
      <c r="C189" s="439" t="s">
        <v>10</v>
      </c>
    </row>
    <row r="190" spans="1:3" ht="15" customHeight="1" x14ac:dyDescent="0.25">
      <c r="A190" t="s">
        <v>620</v>
      </c>
      <c r="B190" s="439" t="s">
        <v>111</v>
      </c>
      <c r="C190" s="439" t="s">
        <v>10</v>
      </c>
    </row>
    <row r="191" spans="1:3" ht="15" customHeight="1" x14ac:dyDescent="0.25">
      <c r="A191" t="s">
        <v>621</v>
      </c>
      <c r="B191" s="439" t="s">
        <v>111</v>
      </c>
      <c r="C191" s="439" t="s">
        <v>431</v>
      </c>
    </row>
    <row r="192" spans="1:3" ht="15" customHeight="1" x14ac:dyDescent="0.25">
      <c r="A192" t="s">
        <v>622</v>
      </c>
      <c r="B192" s="439" t="s">
        <v>111</v>
      </c>
      <c r="C192" s="439" t="s">
        <v>431</v>
      </c>
    </row>
    <row r="193" spans="1:3" ht="15" customHeight="1" x14ac:dyDescent="0.25">
      <c r="A193" t="s">
        <v>623</v>
      </c>
      <c r="B193" s="439" t="s">
        <v>111</v>
      </c>
      <c r="C193" s="439" t="s">
        <v>431</v>
      </c>
    </row>
    <row r="194" spans="1:3" ht="15" customHeight="1" x14ac:dyDescent="0.25">
      <c r="A194" t="s">
        <v>624</v>
      </c>
      <c r="B194" s="439" t="s">
        <v>111</v>
      </c>
      <c r="C194" s="439" t="s">
        <v>431</v>
      </c>
    </row>
    <row r="195" spans="1:3" ht="15" customHeight="1" x14ac:dyDescent="0.25">
      <c r="A195" t="s">
        <v>625</v>
      </c>
      <c r="B195" s="439" t="s">
        <v>111</v>
      </c>
      <c r="C195" s="439" t="s">
        <v>10</v>
      </c>
    </row>
    <row r="196" spans="1:3" ht="15" customHeight="1" x14ac:dyDescent="0.25">
      <c r="A196" t="s">
        <v>626</v>
      </c>
      <c r="B196" s="439" t="s">
        <v>111</v>
      </c>
      <c r="C196" s="439" t="s">
        <v>10</v>
      </c>
    </row>
    <row r="197" spans="1:3" ht="15" customHeight="1" x14ac:dyDescent="0.25">
      <c r="A197" t="s">
        <v>627</v>
      </c>
      <c r="B197" s="439" t="s">
        <v>111</v>
      </c>
      <c r="C197" s="439" t="s">
        <v>431</v>
      </c>
    </row>
    <row r="198" spans="1:3" ht="15" customHeight="1" x14ac:dyDescent="0.25">
      <c r="A198" t="s">
        <v>628</v>
      </c>
      <c r="B198" s="439" t="s">
        <v>111</v>
      </c>
      <c r="C198" s="439" t="s">
        <v>10</v>
      </c>
    </row>
    <row r="199" spans="1:3" ht="15" customHeight="1" x14ac:dyDescent="0.25">
      <c r="A199" t="s">
        <v>629</v>
      </c>
      <c r="B199" s="439" t="s">
        <v>111</v>
      </c>
      <c r="C199" s="439" t="s">
        <v>439</v>
      </c>
    </row>
    <row r="200" spans="1:3" ht="15" customHeight="1" x14ac:dyDescent="0.25">
      <c r="A200" t="s">
        <v>630</v>
      </c>
      <c r="B200" s="439" t="s">
        <v>118</v>
      </c>
      <c r="C200" s="439" t="s">
        <v>431</v>
      </c>
    </row>
    <row r="201" spans="1:3" ht="15" customHeight="1" x14ac:dyDescent="0.25">
      <c r="A201" t="s">
        <v>631</v>
      </c>
      <c r="B201" s="439" t="s">
        <v>118</v>
      </c>
      <c r="C201" s="439" t="s">
        <v>439</v>
      </c>
    </row>
    <row r="202" spans="1:3" ht="15" customHeight="1" x14ac:dyDescent="0.25">
      <c r="A202" t="s">
        <v>632</v>
      </c>
      <c r="B202" s="439" t="s">
        <v>118</v>
      </c>
      <c r="C202" s="439" t="s">
        <v>439</v>
      </c>
    </row>
    <row r="203" spans="1:3" ht="15" customHeight="1" x14ac:dyDescent="0.25">
      <c r="A203" t="s">
        <v>633</v>
      </c>
      <c r="B203" s="439" t="s">
        <v>118</v>
      </c>
      <c r="C203" s="439" t="s">
        <v>10</v>
      </c>
    </row>
    <row r="204" spans="1:3" ht="15" customHeight="1" x14ac:dyDescent="0.25">
      <c r="A204" t="s">
        <v>634</v>
      </c>
      <c r="B204" s="439" t="s">
        <v>118</v>
      </c>
      <c r="C204" s="439" t="s">
        <v>431</v>
      </c>
    </row>
    <row r="205" spans="1:3" ht="15" customHeight="1" x14ac:dyDescent="0.25">
      <c r="A205" t="s">
        <v>635</v>
      </c>
      <c r="B205" s="439" t="s">
        <v>118</v>
      </c>
      <c r="C205" s="439" t="s">
        <v>10</v>
      </c>
    </row>
    <row r="206" spans="1:3" ht="15" customHeight="1" x14ac:dyDescent="0.25">
      <c r="A206" t="s">
        <v>636</v>
      </c>
      <c r="B206" s="439" t="s">
        <v>118</v>
      </c>
      <c r="C206" s="439" t="s">
        <v>439</v>
      </c>
    </row>
    <row r="207" spans="1:3" ht="15" customHeight="1" x14ac:dyDescent="0.25">
      <c r="A207" t="s">
        <v>637</v>
      </c>
      <c r="B207" s="439" t="s">
        <v>118</v>
      </c>
      <c r="C207" s="439" t="s">
        <v>431</v>
      </c>
    </row>
    <row r="208" spans="1:3" ht="15" customHeight="1" x14ac:dyDescent="0.25">
      <c r="A208" t="s">
        <v>638</v>
      </c>
      <c r="B208" s="439" t="s">
        <v>118</v>
      </c>
      <c r="C208" s="439" t="s">
        <v>431</v>
      </c>
    </row>
    <row r="209" spans="1:3" ht="15" customHeight="1" x14ac:dyDescent="0.25">
      <c r="A209" t="s">
        <v>639</v>
      </c>
      <c r="B209" s="439" t="s">
        <v>118</v>
      </c>
      <c r="C209" s="439" t="s">
        <v>10</v>
      </c>
    </row>
    <row r="210" spans="1:3" ht="15" customHeight="1" x14ac:dyDescent="0.25">
      <c r="A210" t="s">
        <v>640</v>
      </c>
      <c r="B210" s="439" t="s">
        <v>118</v>
      </c>
      <c r="C210" s="439" t="s">
        <v>439</v>
      </c>
    </row>
    <row r="211" spans="1:3" ht="15" customHeight="1" x14ac:dyDescent="0.25">
      <c r="A211" t="s">
        <v>641</v>
      </c>
      <c r="B211" s="439" t="s">
        <v>118</v>
      </c>
      <c r="C211" s="439" t="s">
        <v>10</v>
      </c>
    </row>
    <row r="212" spans="1:3" ht="15" customHeight="1" x14ac:dyDescent="0.25">
      <c r="A212" t="s">
        <v>642</v>
      </c>
      <c r="B212" s="439" t="s">
        <v>118</v>
      </c>
      <c r="C212" s="439" t="s">
        <v>10</v>
      </c>
    </row>
    <row r="213" spans="1:3" ht="15" customHeight="1" x14ac:dyDescent="0.25">
      <c r="A213" t="s">
        <v>643</v>
      </c>
      <c r="B213" s="439" t="s">
        <v>118</v>
      </c>
      <c r="C213" s="439" t="s">
        <v>10</v>
      </c>
    </row>
    <row r="214" spans="1:3" ht="15" customHeight="1" x14ac:dyDescent="0.25">
      <c r="A214" t="s">
        <v>644</v>
      </c>
      <c r="B214" s="439" t="s">
        <v>118</v>
      </c>
      <c r="C214" s="439" t="s">
        <v>431</v>
      </c>
    </row>
    <row r="215" spans="1:3" ht="15" customHeight="1" x14ac:dyDescent="0.25">
      <c r="A215" t="s">
        <v>645</v>
      </c>
      <c r="B215" s="439" t="s">
        <v>118</v>
      </c>
      <c r="C215" s="439" t="s">
        <v>439</v>
      </c>
    </row>
    <row r="216" spans="1:3" ht="15" customHeight="1" x14ac:dyDescent="0.25">
      <c r="A216" t="s">
        <v>646</v>
      </c>
      <c r="B216" s="439" t="s">
        <v>118</v>
      </c>
      <c r="C216" s="439" t="s">
        <v>10</v>
      </c>
    </row>
    <row r="217" spans="1:3" ht="15" customHeight="1" x14ac:dyDescent="0.25">
      <c r="A217" t="s">
        <v>647</v>
      </c>
      <c r="B217" s="439" t="s">
        <v>118</v>
      </c>
      <c r="C217" s="439" t="s">
        <v>439</v>
      </c>
    </row>
    <row r="218" spans="1:3" ht="15" customHeight="1" x14ac:dyDescent="0.25">
      <c r="A218" t="s">
        <v>648</v>
      </c>
      <c r="B218" s="439" t="s">
        <v>118</v>
      </c>
      <c r="C218" s="439" t="s">
        <v>10</v>
      </c>
    </row>
    <row r="219" spans="1:3" ht="15" customHeight="1" x14ac:dyDescent="0.25">
      <c r="A219" t="s">
        <v>649</v>
      </c>
      <c r="B219" s="439" t="s">
        <v>118</v>
      </c>
      <c r="C219" s="439" t="s">
        <v>10</v>
      </c>
    </row>
    <row r="220" spans="1:3" ht="15" customHeight="1" x14ac:dyDescent="0.25">
      <c r="A220" t="s">
        <v>650</v>
      </c>
      <c r="B220" s="439" t="s">
        <v>121</v>
      </c>
      <c r="C220" s="439" t="s">
        <v>431</v>
      </c>
    </row>
    <row r="221" spans="1:3" ht="15" customHeight="1" x14ac:dyDescent="0.25">
      <c r="A221" t="s">
        <v>651</v>
      </c>
      <c r="B221" s="439" t="s">
        <v>121</v>
      </c>
      <c r="C221" s="439" t="s">
        <v>10</v>
      </c>
    </row>
    <row r="222" spans="1:3" ht="15" customHeight="1" x14ac:dyDescent="0.25">
      <c r="A222" t="s">
        <v>652</v>
      </c>
      <c r="B222" s="439" t="s">
        <v>121</v>
      </c>
      <c r="C222" s="439" t="s">
        <v>10</v>
      </c>
    </row>
    <row r="223" spans="1:3" ht="15" customHeight="1" x14ac:dyDescent="0.25">
      <c r="A223" t="s">
        <v>653</v>
      </c>
      <c r="B223" s="439" t="s">
        <v>121</v>
      </c>
      <c r="C223" s="439" t="s">
        <v>10</v>
      </c>
    </row>
    <row r="224" spans="1:3" ht="15" customHeight="1" x14ac:dyDescent="0.25">
      <c r="A224" t="s">
        <v>654</v>
      </c>
      <c r="B224" s="439" t="s">
        <v>121</v>
      </c>
      <c r="C224" s="439" t="s">
        <v>10</v>
      </c>
    </row>
    <row r="225" spans="1:3" ht="15" customHeight="1" x14ac:dyDescent="0.25">
      <c r="A225" t="s">
        <v>655</v>
      </c>
      <c r="B225" s="439" t="s">
        <v>121</v>
      </c>
      <c r="C225" s="439" t="s">
        <v>439</v>
      </c>
    </row>
    <row r="226" spans="1:3" ht="15" customHeight="1" x14ac:dyDescent="0.25">
      <c r="A226" t="s">
        <v>656</v>
      </c>
      <c r="B226" s="439" t="s">
        <v>121</v>
      </c>
      <c r="C226" s="439" t="s">
        <v>431</v>
      </c>
    </row>
    <row r="227" spans="1:3" ht="15" customHeight="1" x14ac:dyDescent="0.25">
      <c r="A227" t="s">
        <v>657</v>
      </c>
      <c r="B227" s="439" t="s">
        <v>121</v>
      </c>
      <c r="C227" s="439" t="s">
        <v>10</v>
      </c>
    </row>
    <row r="228" spans="1:3" ht="15" customHeight="1" x14ac:dyDescent="0.25">
      <c r="A228" t="s">
        <v>658</v>
      </c>
      <c r="B228" s="439" t="s">
        <v>121</v>
      </c>
      <c r="C228" s="439" t="s">
        <v>439</v>
      </c>
    </row>
    <row r="229" spans="1:3" ht="15" customHeight="1" x14ac:dyDescent="0.25">
      <c r="A229" t="s">
        <v>659</v>
      </c>
      <c r="B229" s="439" t="s">
        <v>121</v>
      </c>
      <c r="C229" s="439" t="s">
        <v>431</v>
      </c>
    </row>
    <row r="230" spans="1:3" ht="15" customHeight="1" x14ac:dyDescent="0.25">
      <c r="A230" t="s">
        <v>660</v>
      </c>
      <c r="B230" s="439" t="s">
        <v>121</v>
      </c>
      <c r="C230" s="439" t="s">
        <v>431</v>
      </c>
    </row>
    <row r="231" spans="1:3" ht="15" customHeight="1" x14ac:dyDescent="0.25">
      <c r="A231" t="s">
        <v>661</v>
      </c>
      <c r="B231" s="439" t="s">
        <v>121</v>
      </c>
      <c r="C231" s="439" t="s">
        <v>439</v>
      </c>
    </row>
    <row r="232" spans="1:3" ht="15" customHeight="1" x14ac:dyDescent="0.25">
      <c r="A232" t="s">
        <v>662</v>
      </c>
      <c r="B232" s="439" t="s">
        <v>121</v>
      </c>
      <c r="C232" s="439" t="s">
        <v>10</v>
      </c>
    </row>
    <row r="233" spans="1:3" ht="15" customHeight="1" x14ac:dyDescent="0.25">
      <c r="A233" t="s">
        <v>663</v>
      </c>
      <c r="B233" s="439" t="s">
        <v>121</v>
      </c>
      <c r="C233" s="439" t="s">
        <v>439</v>
      </c>
    </row>
    <row r="234" spans="1:3" ht="15" customHeight="1" x14ac:dyDescent="0.25">
      <c r="A234" t="s">
        <v>664</v>
      </c>
      <c r="B234" s="439" t="s">
        <v>121</v>
      </c>
      <c r="C234" s="439" t="s">
        <v>439</v>
      </c>
    </row>
    <row r="235" spans="1:3" ht="15" customHeight="1" x14ac:dyDescent="0.25">
      <c r="A235" t="s">
        <v>665</v>
      </c>
      <c r="B235" s="439" t="s">
        <v>121</v>
      </c>
      <c r="C235" s="439" t="s">
        <v>439</v>
      </c>
    </row>
    <row r="236" spans="1:3" ht="15" customHeight="1" x14ac:dyDescent="0.25">
      <c r="A236" t="s">
        <v>666</v>
      </c>
      <c r="B236" s="439" t="s">
        <v>121</v>
      </c>
      <c r="C236" s="439" t="s">
        <v>10</v>
      </c>
    </row>
    <row r="237" spans="1:3" ht="15" customHeight="1" x14ac:dyDescent="0.25">
      <c r="A237" t="s">
        <v>667</v>
      </c>
      <c r="B237" s="439" t="s">
        <v>121</v>
      </c>
      <c r="C237" s="439" t="s">
        <v>10</v>
      </c>
    </row>
    <row r="238" spans="1:3" ht="15" customHeight="1" x14ac:dyDescent="0.25">
      <c r="A238" t="s">
        <v>668</v>
      </c>
      <c r="B238" s="439" t="s">
        <v>124</v>
      </c>
      <c r="C238" s="439" t="s">
        <v>431</v>
      </c>
    </row>
    <row r="239" spans="1:3" ht="15" customHeight="1" x14ac:dyDescent="0.25">
      <c r="A239" t="s">
        <v>669</v>
      </c>
      <c r="B239" s="439" t="s">
        <v>124</v>
      </c>
      <c r="C239" s="439" t="s">
        <v>439</v>
      </c>
    </row>
    <row r="240" spans="1:3" ht="15" customHeight="1" x14ac:dyDescent="0.25">
      <c r="A240" t="s">
        <v>670</v>
      </c>
      <c r="B240" s="439" t="s">
        <v>124</v>
      </c>
      <c r="C240" s="439" t="s">
        <v>431</v>
      </c>
    </row>
    <row r="241" spans="1:3" ht="15" customHeight="1" x14ac:dyDescent="0.25">
      <c r="A241" t="s">
        <v>671</v>
      </c>
      <c r="B241" s="439" t="s">
        <v>124</v>
      </c>
      <c r="C241" s="439" t="s">
        <v>10</v>
      </c>
    </row>
    <row r="242" spans="1:3" ht="15" customHeight="1" x14ac:dyDescent="0.25">
      <c r="A242" t="s">
        <v>672</v>
      </c>
      <c r="B242" s="439" t="s">
        <v>124</v>
      </c>
      <c r="C242" s="439" t="s">
        <v>10</v>
      </c>
    </row>
    <row r="243" spans="1:3" ht="15" customHeight="1" x14ac:dyDescent="0.25">
      <c r="A243" t="s">
        <v>673</v>
      </c>
      <c r="B243" s="439" t="s">
        <v>124</v>
      </c>
      <c r="C243" s="439" t="s">
        <v>431</v>
      </c>
    </row>
    <row r="244" spans="1:3" ht="15" customHeight="1" x14ac:dyDescent="0.25">
      <c r="A244" t="s">
        <v>674</v>
      </c>
      <c r="B244" s="439" t="s">
        <v>124</v>
      </c>
      <c r="C244" s="439" t="s">
        <v>431</v>
      </c>
    </row>
    <row r="245" spans="1:3" ht="15" customHeight="1" x14ac:dyDescent="0.25">
      <c r="A245" t="s">
        <v>675</v>
      </c>
      <c r="B245" s="439" t="s">
        <v>124</v>
      </c>
      <c r="C245" s="439" t="s">
        <v>10</v>
      </c>
    </row>
    <row r="246" spans="1:3" ht="15" customHeight="1" x14ac:dyDescent="0.25">
      <c r="A246" t="s">
        <v>676</v>
      </c>
      <c r="B246" s="439" t="s">
        <v>124</v>
      </c>
      <c r="C246" s="439" t="s">
        <v>439</v>
      </c>
    </row>
    <row r="247" spans="1:3" ht="15" customHeight="1" x14ac:dyDescent="0.25">
      <c r="A247" t="s">
        <v>677</v>
      </c>
      <c r="B247" s="439" t="s">
        <v>124</v>
      </c>
      <c r="C247" s="439" t="s">
        <v>439</v>
      </c>
    </row>
    <row r="248" spans="1:3" ht="15" customHeight="1" x14ac:dyDescent="0.25">
      <c r="A248" t="s">
        <v>678</v>
      </c>
      <c r="B248" s="439" t="s">
        <v>124</v>
      </c>
      <c r="C248" s="439" t="s">
        <v>10</v>
      </c>
    </row>
    <row r="249" spans="1:3" ht="15" customHeight="1" x14ac:dyDescent="0.25">
      <c r="A249" t="s">
        <v>679</v>
      </c>
      <c r="B249" s="439" t="s">
        <v>124</v>
      </c>
      <c r="C249" s="439" t="s">
        <v>439</v>
      </c>
    </row>
    <row r="250" spans="1:3" ht="15" customHeight="1" x14ac:dyDescent="0.25">
      <c r="A250" t="s">
        <v>680</v>
      </c>
      <c r="B250" s="439" t="s">
        <v>124</v>
      </c>
      <c r="C250" s="439" t="s">
        <v>10</v>
      </c>
    </row>
    <row r="251" spans="1:3" ht="15" customHeight="1" x14ac:dyDescent="0.25">
      <c r="A251" t="s">
        <v>681</v>
      </c>
      <c r="B251" s="439" t="s">
        <v>124</v>
      </c>
      <c r="C251" s="439" t="s">
        <v>10</v>
      </c>
    </row>
    <row r="252" spans="1:3" ht="15" customHeight="1" x14ac:dyDescent="0.25">
      <c r="A252" t="s">
        <v>682</v>
      </c>
      <c r="B252" s="439" t="s">
        <v>124</v>
      </c>
      <c r="C252" s="439" t="s">
        <v>10</v>
      </c>
    </row>
    <row r="253" spans="1:3" ht="15" customHeight="1" x14ac:dyDescent="0.25">
      <c r="A253" t="s">
        <v>683</v>
      </c>
      <c r="B253" s="439" t="s">
        <v>124</v>
      </c>
      <c r="C253" s="439" t="s">
        <v>431</v>
      </c>
    </row>
    <row r="254" spans="1:3" ht="15" customHeight="1" x14ac:dyDescent="0.25">
      <c r="A254" t="s">
        <v>684</v>
      </c>
      <c r="B254" s="439" t="s">
        <v>124</v>
      </c>
      <c r="C254" s="439" t="s">
        <v>439</v>
      </c>
    </row>
    <row r="255" spans="1:3" ht="15" customHeight="1" x14ac:dyDescent="0.25">
      <c r="A255" t="s">
        <v>685</v>
      </c>
      <c r="B255" s="439" t="s">
        <v>124</v>
      </c>
      <c r="C255" s="439" t="s">
        <v>10</v>
      </c>
    </row>
    <row r="256" spans="1:3" ht="15" customHeight="1" x14ac:dyDescent="0.25">
      <c r="A256" t="s">
        <v>686</v>
      </c>
      <c r="B256" s="439" t="s">
        <v>124</v>
      </c>
      <c r="C256" s="439" t="s">
        <v>439</v>
      </c>
    </row>
    <row r="257" spans="1:3" ht="15" customHeight="1" x14ac:dyDescent="0.25">
      <c r="A257" t="s">
        <v>687</v>
      </c>
      <c r="B257" s="439" t="s">
        <v>124</v>
      </c>
      <c r="C257" s="439" t="s">
        <v>10</v>
      </c>
    </row>
    <row r="258" spans="1:3" ht="15" customHeight="1" x14ac:dyDescent="0.25">
      <c r="A258" t="s">
        <v>688</v>
      </c>
      <c r="B258" s="439" t="s">
        <v>127</v>
      </c>
      <c r="C258" s="439" t="s">
        <v>431</v>
      </c>
    </row>
    <row r="259" spans="1:3" ht="15" customHeight="1" x14ac:dyDescent="0.25">
      <c r="A259" t="s">
        <v>689</v>
      </c>
      <c r="B259" s="439" t="s">
        <v>127</v>
      </c>
      <c r="C259" s="439" t="s">
        <v>10</v>
      </c>
    </row>
    <row r="260" spans="1:3" ht="15" customHeight="1" x14ac:dyDescent="0.25">
      <c r="A260" t="s">
        <v>690</v>
      </c>
      <c r="B260" s="439" t="s">
        <v>127</v>
      </c>
      <c r="C260" s="439" t="s">
        <v>10</v>
      </c>
    </row>
    <row r="261" spans="1:3" ht="15" customHeight="1" x14ac:dyDescent="0.25">
      <c r="A261" t="s">
        <v>691</v>
      </c>
      <c r="B261" s="439" t="s">
        <v>127</v>
      </c>
      <c r="C261" s="439" t="s">
        <v>431</v>
      </c>
    </row>
    <row r="262" spans="1:3" ht="15" customHeight="1" x14ac:dyDescent="0.25">
      <c r="A262" t="s">
        <v>692</v>
      </c>
      <c r="B262" s="439" t="s">
        <v>127</v>
      </c>
      <c r="C262" s="439" t="s">
        <v>439</v>
      </c>
    </row>
    <row r="263" spans="1:3" ht="15" customHeight="1" x14ac:dyDescent="0.25">
      <c r="A263" t="s">
        <v>693</v>
      </c>
      <c r="B263" s="439" t="s">
        <v>127</v>
      </c>
      <c r="C263" s="439" t="s">
        <v>10</v>
      </c>
    </row>
    <row r="264" spans="1:3" ht="15" customHeight="1" x14ac:dyDescent="0.25">
      <c r="A264" t="s">
        <v>694</v>
      </c>
      <c r="B264" s="439" t="s">
        <v>127</v>
      </c>
      <c r="C264" s="439" t="s">
        <v>431</v>
      </c>
    </row>
    <row r="265" spans="1:3" ht="15" customHeight="1" x14ac:dyDescent="0.25">
      <c r="A265" t="s">
        <v>695</v>
      </c>
      <c r="B265" s="439" t="s">
        <v>127</v>
      </c>
      <c r="C265" s="439" t="s">
        <v>10</v>
      </c>
    </row>
    <row r="266" spans="1:3" ht="15" customHeight="1" x14ac:dyDescent="0.25">
      <c r="A266" t="s">
        <v>696</v>
      </c>
      <c r="B266" s="439" t="s">
        <v>127</v>
      </c>
      <c r="C266" s="439" t="s">
        <v>439</v>
      </c>
    </row>
    <row r="267" spans="1:3" ht="15" customHeight="1" x14ac:dyDescent="0.25">
      <c r="A267" t="s">
        <v>697</v>
      </c>
      <c r="B267" s="439" t="s">
        <v>127</v>
      </c>
      <c r="C267" s="439" t="s">
        <v>10</v>
      </c>
    </row>
    <row r="268" spans="1:3" ht="15" customHeight="1" x14ac:dyDescent="0.25">
      <c r="A268" t="s">
        <v>698</v>
      </c>
      <c r="B268" s="439" t="s">
        <v>127</v>
      </c>
      <c r="C268" s="439" t="s">
        <v>439</v>
      </c>
    </row>
    <row r="269" spans="1:3" ht="15" customHeight="1" x14ac:dyDescent="0.25">
      <c r="A269" t="s">
        <v>699</v>
      </c>
      <c r="B269" s="439" t="s">
        <v>127</v>
      </c>
      <c r="C269" s="439" t="s">
        <v>431</v>
      </c>
    </row>
    <row r="270" spans="1:3" ht="15" customHeight="1" x14ac:dyDescent="0.25">
      <c r="A270" t="s">
        <v>700</v>
      </c>
      <c r="B270" s="439" t="s">
        <v>127</v>
      </c>
      <c r="C270" s="439" t="s">
        <v>439</v>
      </c>
    </row>
    <row r="271" spans="1:3" ht="15" customHeight="1" x14ac:dyDescent="0.25">
      <c r="A271" t="s">
        <v>701</v>
      </c>
      <c r="B271" s="439" t="s">
        <v>127</v>
      </c>
      <c r="C271" s="439" t="s">
        <v>10</v>
      </c>
    </row>
    <row r="272" spans="1:3" ht="15" customHeight="1" x14ac:dyDescent="0.25">
      <c r="A272" t="s">
        <v>702</v>
      </c>
      <c r="B272" s="439" t="s">
        <v>127</v>
      </c>
      <c r="C272" s="439" t="s">
        <v>10</v>
      </c>
    </row>
    <row r="273" spans="1:3" ht="15" customHeight="1" x14ac:dyDescent="0.25">
      <c r="A273" t="s">
        <v>703</v>
      </c>
      <c r="B273" s="439" t="s">
        <v>127</v>
      </c>
      <c r="C273" s="439" t="s">
        <v>431</v>
      </c>
    </row>
    <row r="274" spans="1:3" ht="15" customHeight="1" x14ac:dyDescent="0.25">
      <c r="A274" t="s">
        <v>704</v>
      </c>
      <c r="B274" s="439" t="s">
        <v>127</v>
      </c>
      <c r="C274" s="439" t="s">
        <v>10</v>
      </c>
    </row>
    <row r="275" spans="1:3" ht="15" customHeight="1" x14ac:dyDescent="0.25">
      <c r="A275" t="s">
        <v>705</v>
      </c>
      <c r="B275" s="439" t="s">
        <v>123</v>
      </c>
      <c r="C275" s="439" t="s">
        <v>10</v>
      </c>
    </row>
    <row r="276" spans="1:3" ht="15" customHeight="1" x14ac:dyDescent="0.25">
      <c r="A276" t="s">
        <v>706</v>
      </c>
      <c r="B276" s="439" t="s">
        <v>123</v>
      </c>
      <c r="C276" s="439" t="s">
        <v>439</v>
      </c>
    </row>
    <row r="277" spans="1:3" ht="15" customHeight="1" x14ac:dyDescent="0.25">
      <c r="A277" t="s">
        <v>707</v>
      </c>
      <c r="B277" s="439" t="s">
        <v>123</v>
      </c>
      <c r="C277" s="439" t="s">
        <v>10</v>
      </c>
    </row>
    <row r="278" spans="1:3" ht="15" customHeight="1" x14ac:dyDescent="0.25">
      <c r="A278" t="s">
        <v>708</v>
      </c>
      <c r="B278" s="439" t="s">
        <v>123</v>
      </c>
      <c r="C278" s="439" t="s">
        <v>431</v>
      </c>
    </row>
    <row r="279" spans="1:3" ht="15" customHeight="1" x14ac:dyDescent="0.25">
      <c r="A279" t="s">
        <v>709</v>
      </c>
      <c r="B279" s="439" t="s">
        <v>123</v>
      </c>
      <c r="C279" s="439" t="s">
        <v>439</v>
      </c>
    </row>
    <row r="280" spans="1:3" ht="15" customHeight="1" x14ac:dyDescent="0.25">
      <c r="A280" t="s">
        <v>710</v>
      </c>
      <c r="B280" s="439" t="s">
        <v>123</v>
      </c>
      <c r="C280" s="439" t="s">
        <v>10</v>
      </c>
    </row>
    <row r="281" spans="1:3" ht="15" customHeight="1" x14ac:dyDescent="0.25">
      <c r="A281" t="s">
        <v>711</v>
      </c>
      <c r="B281" s="439" t="s">
        <v>123</v>
      </c>
      <c r="C281" s="439" t="s">
        <v>431</v>
      </c>
    </row>
    <row r="282" spans="1:3" ht="15" customHeight="1" x14ac:dyDescent="0.25">
      <c r="A282" t="s">
        <v>712</v>
      </c>
      <c r="B282" s="439" t="s">
        <v>123</v>
      </c>
      <c r="C282" s="439" t="s">
        <v>439</v>
      </c>
    </row>
    <row r="283" spans="1:3" ht="15" customHeight="1" x14ac:dyDescent="0.25">
      <c r="A283" t="s">
        <v>713</v>
      </c>
      <c r="B283" s="439" t="s">
        <v>123</v>
      </c>
      <c r="C283" s="439" t="s">
        <v>431</v>
      </c>
    </row>
    <row r="284" spans="1:3" ht="15" customHeight="1" x14ac:dyDescent="0.25">
      <c r="A284" t="s">
        <v>714</v>
      </c>
      <c r="B284" s="439" t="s">
        <v>123</v>
      </c>
      <c r="C284" s="439" t="s">
        <v>10</v>
      </c>
    </row>
    <row r="285" spans="1:3" ht="15" customHeight="1" x14ac:dyDescent="0.25">
      <c r="A285" t="s">
        <v>715</v>
      </c>
      <c r="B285" s="439" t="s">
        <v>123</v>
      </c>
      <c r="C285" s="439" t="s">
        <v>10</v>
      </c>
    </row>
    <row r="286" spans="1:3" ht="15" customHeight="1" x14ac:dyDescent="0.25">
      <c r="A286" t="s">
        <v>716</v>
      </c>
      <c r="B286" s="439" t="s">
        <v>123</v>
      </c>
      <c r="C286" s="439" t="s">
        <v>10</v>
      </c>
    </row>
    <row r="287" spans="1:3" ht="15" customHeight="1" x14ac:dyDescent="0.25">
      <c r="A287" t="s">
        <v>717</v>
      </c>
      <c r="B287" s="439" t="s">
        <v>123</v>
      </c>
      <c r="C287" s="439" t="s">
        <v>431</v>
      </c>
    </row>
    <row r="288" spans="1:3" ht="15" customHeight="1" x14ac:dyDescent="0.25">
      <c r="A288" t="s">
        <v>718</v>
      </c>
      <c r="B288" s="439" t="s">
        <v>123</v>
      </c>
      <c r="C288" s="439" t="s">
        <v>10</v>
      </c>
    </row>
    <row r="289" spans="1:3" ht="15" customHeight="1" x14ac:dyDescent="0.25">
      <c r="A289" t="s">
        <v>719</v>
      </c>
      <c r="B289" s="439" t="s">
        <v>123</v>
      </c>
      <c r="C289" s="439" t="s">
        <v>431</v>
      </c>
    </row>
    <row r="290" spans="1:3" ht="15" customHeight="1" x14ac:dyDescent="0.25">
      <c r="A290" t="s">
        <v>720</v>
      </c>
      <c r="B290" s="439" t="s">
        <v>123</v>
      </c>
      <c r="C290" s="439" t="s">
        <v>439</v>
      </c>
    </row>
    <row r="291" spans="1:3" ht="15" customHeight="1" x14ac:dyDescent="0.25">
      <c r="A291" t="s">
        <v>721</v>
      </c>
      <c r="B291" s="439" t="s">
        <v>123</v>
      </c>
      <c r="C291" s="439" t="s">
        <v>439</v>
      </c>
    </row>
    <row r="292" spans="1:3" ht="15" customHeight="1" x14ac:dyDescent="0.25">
      <c r="A292" t="s">
        <v>722</v>
      </c>
      <c r="B292" s="439" t="s">
        <v>123</v>
      </c>
      <c r="C292" s="439" t="s">
        <v>10</v>
      </c>
    </row>
    <row r="293" spans="1:3" ht="15" customHeight="1" x14ac:dyDescent="0.25">
      <c r="A293" t="s">
        <v>723</v>
      </c>
      <c r="B293" s="439" t="s">
        <v>131</v>
      </c>
      <c r="C293" s="439" t="s">
        <v>10</v>
      </c>
    </row>
    <row r="294" spans="1:3" ht="15" customHeight="1" x14ac:dyDescent="0.25">
      <c r="A294" t="s">
        <v>724</v>
      </c>
      <c r="B294" s="439" t="s">
        <v>131</v>
      </c>
      <c r="C294" s="439" t="s">
        <v>10</v>
      </c>
    </row>
    <row r="295" spans="1:3" ht="15" customHeight="1" x14ac:dyDescent="0.25">
      <c r="A295" t="s">
        <v>725</v>
      </c>
      <c r="B295" s="439" t="s">
        <v>131</v>
      </c>
      <c r="C295" s="439" t="s">
        <v>439</v>
      </c>
    </row>
    <row r="296" spans="1:3" ht="15" customHeight="1" x14ac:dyDescent="0.25">
      <c r="A296" t="s">
        <v>726</v>
      </c>
      <c r="B296" s="439" t="s">
        <v>131</v>
      </c>
      <c r="C296" s="439" t="s">
        <v>439</v>
      </c>
    </row>
    <row r="297" spans="1:3" ht="15" customHeight="1" x14ac:dyDescent="0.25">
      <c r="A297" t="s">
        <v>727</v>
      </c>
      <c r="B297" s="439" t="s">
        <v>131</v>
      </c>
      <c r="C297" s="439" t="s">
        <v>10</v>
      </c>
    </row>
    <row r="298" spans="1:3" ht="15" customHeight="1" x14ac:dyDescent="0.25">
      <c r="A298" t="s">
        <v>728</v>
      </c>
      <c r="B298" s="439" t="s">
        <v>131</v>
      </c>
      <c r="C298" s="439" t="s">
        <v>431</v>
      </c>
    </row>
    <row r="299" spans="1:3" ht="15" customHeight="1" x14ac:dyDescent="0.25">
      <c r="A299" t="s">
        <v>729</v>
      </c>
      <c r="B299" s="439" t="s">
        <v>131</v>
      </c>
      <c r="C299" s="439" t="s">
        <v>10</v>
      </c>
    </row>
    <row r="300" spans="1:3" ht="15" customHeight="1" x14ac:dyDescent="0.25">
      <c r="A300" t="s">
        <v>730</v>
      </c>
      <c r="B300" s="439" t="s">
        <v>131</v>
      </c>
      <c r="C300" s="439" t="s">
        <v>10</v>
      </c>
    </row>
    <row r="301" spans="1:3" ht="15" customHeight="1" x14ac:dyDescent="0.25">
      <c r="A301" t="s">
        <v>731</v>
      </c>
      <c r="B301" s="439" t="s">
        <v>131</v>
      </c>
      <c r="C301" s="439" t="s">
        <v>431</v>
      </c>
    </row>
    <row r="302" spans="1:3" ht="15" customHeight="1" x14ac:dyDescent="0.25">
      <c r="A302" t="s">
        <v>732</v>
      </c>
      <c r="B302" s="439" t="s">
        <v>131</v>
      </c>
      <c r="C302" s="439" t="s">
        <v>10</v>
      </c>
    </row>
    <row r="303" spans="1:3" ht="15" customHeight="1" x14ac:dyDescent="0.25">
      <c r="A303" t="s">
        <v>733</v>
      </c>
      <c r="B303" s="439" t="s">
        <v>131</v>
      </c>
      <c r="C303" s="439" t="s">
        <v>439</v>
      </c>
    </row>
    <row r="304" spans="1:3" ht="15" customHeight="1" x14ac:dyDescent="0.25">
      <c r="A304" t="s">
        <v>734</v>
      </c>
      <c r="B304" s="439" t="s">
        <v>131</v>
      </c>
      <c r="C304" s="439" t="s">
        <v>10</v>
      </c>
    </row>
    <row r="305" spans="1:3" ht="15" customHeight="1" x14ac:dyDescent="0.25">
      <c r="A305" t="s">
        <v>735</v>
      </c>
      <c r="B305" s="439" t="s">
        <v>131</v>
      </c>
      <c r="C305" s="439" t="s">
        <v>10</v>
      </c>
    </row>
    <row r="306" spans="1:3" ht="15" customHeight="1" x14ac:dyDescent="0.25">
      <c r="A306" t="s">
        <v>736</v>
      </c>
      <c r="B306" s="439" t="s">
        <v>131</v>
      </c>
      <c r="C306" s="439" t="s">
        <v>439</v>
      </c>
    </row>
    <row r="307" spans="1:3" ht="15" customHeight="1" x14ac:dyDescent="0.25">
      <c r="A307" t="s">
        <v>737</v>
      </c>
      <c r="B307" s="439" t="s">
        <v>131</v>
      </c>
      <c r="C307" s="439" t="s">
        <v>431</v>
      </c>
    </row>
    <row r="308" spans="1:3" ht="15" customHeight="1" x14ac:dyDescent="0.25">
      <c r="A308" t="s">
        <v>738</v>
      </c>
      <c r="B308" s="439" t="s">
        <v>131</v>
      </c>
      <c r="C308" s="439" t="s">
        <v>431</v>
      </c>
    </row>
    <row r="309" spans="1:3" ht="15" customHeight="1" x14ac:dyDescent="0.25">
      <c r="A309" t="s">
        <v>739</v>
      </c>
      <c r="B309" s="439" t="s">
        <v>131</v>
      </c>
      <c r="C309" s="439" t="s">
        <v>431</v>
      </c>
    </row>
    <row r="310" spans="1:3" ht="15" customHeight="1" x14ac:dyDescent="0.25">
      <c r="A310" t="s">
        <v>740</v>
      </c>
      <c r="B310" s="439" t="s">
        <v>131</v>
      </c>
      <c r="C310" s="439" t="s">
        <v>439</v>
      </c>
    </row>
    <row r="311" spans="1:3" ht="15" customHeight="1" x14ac:dyDescent="0.25">
      <c r="A311" t="s">
        <v>741</v>
      </c>
      <c r="B311" s="439" t="s">
        <v>92</v>
      </c>
      <c r="C311" s="439" t="s">
        <v>10</v>
      </c>
    </row>
    <row r="312" spans="1:3" ht="15" customHeight="1" x14ac:dyDescent="0.25">
      <c r="A312" t="s">
        <v>742</v>
      </c>
      <c r="B312" s="439" t="s">
        <v>92</v>
      </c>
      <c r="C312" s="439" t="s">
        <v>439</v>
      </c>
    </row>
    <row r="313" spans="1:3" ht="15" customHeight="1" x14ac:dyDescent="0.25">
      <c r="A313" t="s">
        <v>743</v>
      </c>
      <c r="B313" s="439" t="s">
        <v>92</v>
      </c>
      <c r="C313" s="439" t="s">
        <v>431</v>
      </c>
    </row>
    <row r="314" spans="1:3" ht="15" customHeight="1" x14ac:dyDescent="0.25">
      <c r="A314" t="s">
        <v>744</v>
      </c>
      <c r="B314" s="439" t="s">
        <v>92</v>
      </c>
      <c r="C314" s="439" t="s">
        <v>10</v>
      </c>
    </row>
    <row r="315" spans="1:3" ht="15" customHeight="1" x14ac:dyDescent="0.25">
      <c r="A315" t="s">
        <v>745</v>
      </c>
      <c r="B315" s="439" t="s">
        <v>92</v>
      </c>
      <c r="C315" s="439" t="s">
        <v>439</v>
      </c>
    </row>
    <row r="316" spans="1:3" ht="15" customHeight="1" x14ac:dyDescent="0.25">
      <c r="A316" t="s">
        <v>746</v>
      </c>
      <c r="B316" s="439" t="s">
        <v>92</v>
      </c>
      <c r="C316" s="439" t="s">
        <v>439</v>
      </c>
    </row>
    <row r="317" spans="1:3" ht="15" customHeight="1" x14ac:dyDescent="0.25">
      <c r="A317" t="s">
        <v>747</v>
      </c>
      <c r="B317" s="439" t="s">
        <v>92</v>
      </c>
      <c r="C317" s="439" t="s">
        <v>431</v>
      </c>
    </row>
    <row r="318" spans="1:3" ht="15" customHeight="1" x14ac:dyDescent="0.25">
      <c r="A318" t="s">
        <v>748</v>
      </c>
      <c r="B318" s="439" t="s">
        <v>92</v>
      </c>
      <c r="C318" s="439" t="s">
        <v>10</v>
      </c>
    </row>
    <row r="319" spans="1:3" ht="15" customHeight="1" x14ac:dyDescent="0.25">
      <c r="A319" t="s">
        <v>749</v>
      </c>
      <c r="B319" s="439" t="s">
        <v>92</v>
      </c>
      <c r="C319" s="439" t="s">
        <v>10</v>
      </c>
    </row>
    <row r="320" spans="1:3" ht="15" customHeight="1" x14ac:dyDescent="0.25">
      <c r="A320" t="s">
        <v>750</v>
      </c>
      <c r="B320" s="439" t="s">
        <v>92</v>
      </c>
      <c r="C320" s="439" t="s">
        <v>439</v>
      </c>
    </row>
    <row r="321" spans="1:3" ht="15" customHeight="1" x14ac:dyDescent="0.25">
      <c r="A321" t="s">
        <v>751</v>
      </c>
      <c r="B321" s="439" t="s">
        <v>92</v>
      </c>
      <c r="C321" s="439" t="s">
        <v>10</v>
      </c>
    </row>
    <row r="322" spans="1:3" ht="15" customHeight="1" x14ac:dyDescent="0.25">
      <c r="A322" t="s">
        <v>752</v>
      </c>
      <c r="B322" s="439" t="s">
        <v>92</v>
      </c>
      <c r="C322" s="439" t="s">
        <v>439</v>
      </c>
    </row>
    <row r="323" spans="1:3" ht="15" customHeight="1" x14ac:dyDescent="0.25">
      <c r="A323" t="s">
        <v>753</v>
      </c>
      <c r="B323" s="439" t="s">
        <v>92</v>
      </c>
      <c r="C323" s="439" t="s">
        <v>431</v>
      </c>
    </row>
    <row r="324" spans="1:3" ht="15" customHeight="1" x14ac:dyDescent="0.25">
      <c r="A324" t="s">
        <v>754</v>
      </c>
      <c r="B324" s="439" t="s">
        <v>92</v>
      </c>
      <c r="C324" s="439" t="s">
        <v>10</v>
      </c>
    </row>
    <row r="325" spans="1:3" ht="15" customHeight="1" x14ac:dyDescent="0.25">
      <c r="A325" t="s">
        <v>755</v>
      </c>
      <c r="B325" s="439" t="s">
        <v>92</v>
      </c>
      <c r="C325" s="439" t="s">
        <v>10</v>
      </c>
    </row>
    <row r="326" spans="1:3" ht="15" customHeight="1" x14ac:dyDescent="0.25">
      <c r="A326" t="s">
        <v>756</v>
      </c>
      <c r="B326" s="439" t="s">
        <v>92</v>
      </c>
      <c r="C326" s="439" t="s">
        <v>431</v>
      </c>
    </row>
    <row r="327" spans="1:3" ht="15" customHeight="1" x14ac:dyDescent="0.25">
      <c r="A327" t="s">
        <v>757</v>
      </c>
      <c r="B327" s="439" t="s">
        <v>92</v>
      </c>
      <c r="C327" s="439" t="s">
        <v>10</v>
      </c>
    </row>
    <row r="328" spans="1:3" ht="15" customHeight="1" x14ac:dyDescent="0.25">
      <c r="A328" t="s">
        <v>758</v>
      </c>
      <c r="B328" s="439" t="s">
        <v>92</v>
      </c>
      <c r="C328" s="439" t="s">
        <v>431</v>
      </c>
    </row>
    <row r="329" spans="1:3" ht="15" customHeight="1" x14ac:dyDescent="0.25">
      <c r="A329" t="s">
        <v>759</v>
      </c>
      <c r="B329" s="439" t="s">
        <v>92</v>
      </c>
      <c r="C329" s="439" t="s">
        <v>10</v>
      </c>
    </row>
    <row r="330" spans="1:3" ht="15" customHeight="1" x14ac:dyDescent="0.25">
      <c r="A330" t="s">
        <v>760</v>
      </c>
      <c r="B330" s="439" t="s">
        <v>89</v>
      </c>
      <c r="C330" s="439" t="s">
        <v>10</v>
      </c>
    </row>
    <row r="331" spans="1:3" ht="15" customHeight="1" x14ac:dyDescent="0.25">
      <c r="A331" t="s">
        <v>761</v>
      </c>
      <c r="B331" s="439" t="s">
        <v>89</v>
      </c>
      <c r="C331" s="439" t="s">
        <v>439</v>
      </c>
    </row>
    <row r="332" spans="1:3" ht="15" customHeight="1" x14ac:dyDescent="0.25">
      <c r="A332" t="s">
        <v>762</v>
      </c>
      <c r="B332" s="439" t="s">
        <v>89</v>
      </c>
      <c r="C332" s="439" t="s">
        <v>431</v>
      </c>
    </row>
    <row r="333" spans="1:3" ht="15" customHeight="1" x14ac:dyDescent="0.25">
      <c r="A333" t="s">
        <v>763</v>
      </c>
      <c r="B333" s="439" t="s">
        <v>89</v>
      </c>
      <c r="C333" s="439" t="s">
        <v>10</v>
      </c>
    </row>
    <row r="334" spans="1:3" ht="15" customHeight="1" x14ac:dyDescent="0.25">
      <c r="A334" t="s">
        <v>764</v>
      </c>
      <c r="B334" s="439" t="s">
        <v>89</v>
      </c>
      <c r="C334" s="439" t="s">
        <v>439</v>
      </c>
    </row>
    <row r="335" spans="1:3" ht="15" customHeight="1" x14ac:dyDescent="0.25">
      <c r="A335" t="s">
        <v>765</v>
      </c>
      <c r="B335" s="439" t="s">
        <v>89</v>
      </c>
      <c r="C335" s="439" t="s">
        <v>10</v>
      </c>
    </row>
    <row r="336" spans="1:3" ht="15" customHeight="1" x14ac:dyDescent="0.25">
      <c r="A336" t="s">
        <v>766</v>
      </c>
      <c r="B336" s="439" t="s">
        <v>89</v>
      </c>
      <c r="C336" s="439" t="s">
        <v>431</v>
      </c>
    </row>
    <row r="337" spans="1:3" ht="15" customHeight="1" x14ac:dyDescent="0.25">
      <c r="A337" t="s">
        <v>767</v>
      </c>
      <c r="B337" s="439" t="s">
        <v>89</v>
      </c>
      <c r="C337" s="439" t="s">
        <v>431</v>
      </c>
    </row>
    <row r="338" spans="1:3" ht="15" customHeight="1" x14ac:dyDescent="0.25">
      <c r="A338" t="s">
        <v>768</v>
      </c>
      <c r="B338" s="439" t="s">
        <v>89</v>
      </c>
      <c r="C338" s="439" t="s">
        <v>439</v>
      </c>
    </row>
    <row r="339" spans="1:3" ht="15" customHeight="1" x14ac:dyDescent="0.25">
      <c r="A339" t="s">
        <v>769</v>
      </c>
      <c r="B339" s="439" t="s">
        <v>89</v>
      </c>
      <c r="C339" s="439" t="s">
        <v>10</v>
      </c>
    </row>
    <row r="340" spans="1:3" ht="15" customHeight="1" x14ac:dyDescent="0.25">
      <c r="A340" t="s">
        <v>770</v>
      </c>
      <c r="B340" s="439" t="s">
        <v>89</v>
      </c>
      <c r="C340" s="439" t="s">
        <v>439</v>
      </c>
    </row>
    <row r="341" spans="1:3" ht="15" customHeight="1" x14ac:dyDescent="0.25">
      <c r="A341" t="s">
        <v>771</v>
      </c>
      <c r="B341" s="439" t="s">
        <v>89</v>
      </c>
      <c r="C341" s="439" t="s">
        <v>10</v>
      </c>
    </row>
    <row r="342" spans="1:3" ht="15" customHeight="1" x14ac:dyDescent="0.25">
      <c r="A342" t="s">
        <v>772</v>
      </c>
      <c r="B342" s="439" t="s">
        <v>89</v>
      </c>
      <c r="C342" s="439" t="s">
        <v>439</v>
      </c>
    </row>
    <row r="343" spans="1:3" ht="15" customHeight="1" x14ac:dyDescent="0.25">
      <c r="A343" t="s">
        <v>773</v>
      </c>
      <c r="B343" s="439" t="s">
        <v>89</v>
      </c>
      <c r="C343" s="439" t="s">
        <v>10</v>
      </c>
    </row>
    <row r="344" spans="1:3" ht="15" customHeight="1" x14ac:dyDescent="0.25">
      <c r="A344" t="s">
        <v>774</v>
      </c>
      <c r="B344" s="439" t="s">
        <v>89</v>
      </c>
      <c r="C344" s="439" t="s">
        <v>10</v>
      </c>
    </row>
    <row r="345" spans="1:3" ht="15" customHeight="1" x14ac:dyDescent="0.25">
      <c r="A345" t="s">
        <v>775</v>
      </c>
      <c r="B345" s="439" t="s">
        <v>89</v>
      </c>
      <c r="C345" s="439" t="s">
        <v>10</v>
      </c>
    </row>
    <row r="346" spans="1:3" ht="15" customHeight="1" x14ac:dyDescent="0.25">
      <c r="A346" t="s">
        <v>776</v>
      </c>
      <c r="B346" s="439" t="s">
        <v>89</v>
      </c>
      <c r="C346" s="439" t="s">
        <v>10</v>
      </c>
    </row>
    <row r="347" spans="1:3" ht="15" customHeight="1" x14ac:dyDescent="0.25">
      <c r="A347" t="s">
        <v>777</v>
      </c>
      <c r="B347" s="439" t="s">
        <v>133</v>
      </c>
      <c r="C347" s="439" t="s">
        <v>431</v>
      </c>
    </row>
    <row r="348" spans="1:3" ht="15" customHeight="1" x14ac:dyDescent="0.25">
      <c r="A348" t="s">
        <v>778</v>
      </c>
      <c r="B348" s="439" t="s">
        <v>133</v>
      </c>
      <c r="C348" s="439" t="s">
        <v>10</v>
      </c>
    </row>
    <row r="349" spans="1:3" ht="15" customHeight="1" x14ac:dyDescent="0.25">
      <c r="A349" t="s">
        <v>779</v>
      </c>
      <c r="B349" s="439" t="s">
        <v>133</v>
      </c>
      <c r="C349" s="439" t="s">
        <v>439</v>
      </c>
    </row>
    <row r="350" spans="1:3" ht="15" customHeight="1" x14ac:dyDescent="0.25">
      <c r="A350" t="s">
        <v>780</v>
      </c>
      <c r="B350" s="439" t="s">
        <v>133</v>
      </c>
      <c r="C350" s="439" t="s">
        <v>439</v>
      </c>
    </row>
    <row r="351" spans="1:3" ht="15" customHeight="1" x14ac:dyDescent="0.25">
      <c r="A351" t="s">
        <v>781</v>
      </c>
      <c r="B351" s="439" t="s">
        <v>133</v>
      </c>
      <c r="C351" s="439" t="s">
        <v>431</v>
      </c>
    </row>
    <row r="352" spans="1:3" ht="15" customHeight="1" x14ac:dyDescent="0.25">
      <c r="A352" t="s">
        <v>782</v>
      </c>
      <c r="B352" s="439" t="s">
        <v>133</v>
      </c>
      <c r="C352" s="439" t="s">
        <v>10</v>
      </c>
    </row>
    <row r="353" spans="1:3" ht="15" customHeight="1" x14ac:dyDescent="0.25">
      <c r="A353" t="s">
        <v>783</v>
      </c>
      <c r="B353" s="439" t="s">
        <v>133</v>
      </c>
      <c r="C353" s="439" t="s">
        <v>431</v>
      </c>
    </row>
    <row r="354" spans="1:3" ht="15" customHeight="1" x14ac:dyDescent="0.25">
      <c r="A354" t="s">
        <v>784</v>
      </c>
      <c r="B354" s="439" t="s">
        <v>133</v>
      </c>
      <c r="C354" s="439" t="s">
        <v>10</v>
      </c>
    </row>
    <row r="355" spans="1:3" ht="15" customHeight="1" x14ac:dyDescent="0.25">
      <c r="A355" t="s">
        <v>785</v>
      </c>
      <c r="B355" s="439" t="s">
        <v>133</v>
      </c>
      <c r="C355" s="439" t="s">
        <v>439</v>
      </c>
    </row>
    <row r="356" spans="1:3" ht="15" customHeight="1" x14ac:dyDescent="0.25">
      <c r="A356" t="s">
        <v>786</v>
      </c>
      <c r="B356" s="439" t="s">
        <v>133</v>
      </c>
      <c r="C356" s="439" t="s">
        <v>10</v>
      </c>
    </row>
    <row r="357" spans="1:3" ht="15" customHeight="1" x14ac:dyDescent="0.25">
      <c r="A357" t="s">
        <v>787</v>
      </c>
      <c r="B357" s="439" t="s">
        <v>133</v>
      </c>
      <c r="C357" s="439" t="s">
        <v>431</v>
      </c>
    </row>
    <row r="358" spans="1:3" ht="15" customHeight="1" x14ac:dyDescent="0.25">
      <c r="A358" t="s">
        <v>788</v>
      </c>
      <c r="B358" s="439" t="s">
        <v>133</v>
      </c>
      <c r="C358" s="439" t="s">
        <v>439</v>
      </c>
    </row>
    <row r="359" spans="1:3" ht="15" customHeight="1" x14ac:dyDescent="0.25">
      <c r="A359" t="s">
        <v>789</v>
      </c>
      <c r="B359" s="439" t="s">
        <v>133</v>
      </c>
      <c r="C359" s="439" t="s">
        <v>10</v>
      </c>
    </row>
    <row r="360" spans="1:3" ht="15" customHeight="1" x14ac:dyDescent="0.25">
      <c r="A360" t="s">
        <v>790</v>
      </c>
      <c r="B360" s="439" t="s">
        <v>133</v>
      </c>
      <c r="C360" s="439" t="s">
        <v>439</v>
      </c>
    </row>
    <row r="361" spans="1:3" ht="15" customHeight="1" x14ac:dyDescent="0.25">
      <c r="A361" t="s">
        <v>791</v>
      </c>
      <c r="B361" s="439" t="s">
        <v>133</v>
      </c>
      <c r="C361" s="439" t="s">
        <v>439</v>
      </c>
    </row>
    <row r="362" spans="1:3" ht="15" customHeight="1" x14ac:dyDescent="0.25">
      <c r="A362" t="s">
        <v>792</v>
      </c>
      <c r="B362" s="439" t="s">
        <v>133</v>
      </c>
      <c r="C362" s="439" t="s">
        <v>10</v>
      </c>
    </row>
    <row r="363" spans="1:3" ht="15" customHeight="1" x14ac:dyDescent="0.25">
      <c r="A363" t="s">
        <v>793</v>
      </c>
      <c r="B363" s="439" t="s">
        <v>133</v>
      </c>
      <c r="C363" s="439" t="s">
        <v>10</v>
      </c>
    </row>
    <row r="364" spans="1:3" ht="15" customHeight="1" x14ac:dyDescent="0.25">
      <c r="A364" t="s">
        <v>794</v>
      </c>
      <c r="B364" s="439" t="s">
        <v>133</v>
      </c>
      <c r="C364" s="439" t="s">
        <v>10</v>
      </c>
    </row>
    <row r="365" spans="1:3" ht="15" customHeight="1" x14ac:dyDescent="0.25">
      <c r="A365" t="s">
        <v>795</v>
      </c>
      <c r="B365" s="439" t="s">
        <v>133</v>
      </c>
      <c r="C365" s="439" t="s">
        <v>10</v>
      </c>
    </row>
    <row r="366" spans="1:3" ht="15" customHeight="1" x14ac:dyDescent="0.25">
      <c r="A366" t="s">
        <v>796</v>
      </c>
      <c r="B366" s="439" t="s">
        <v>133</v>
      </c>
      <c r="C366" s="439" t="s">
        <v>431</v>
      </c>
    </row>
    <row r="367" spans="1:3" ht="15" customHeight="1" x14ac:dyDescent="0.25">
      <c r="A367" t="s">
        <v>797</v>
      </c>
      <c r="B367" s="439" t="s">
        <v>137</v>
      </c>
      <c r="C367" s="439" t="s">
        <v>10</v>
      </c>
    </row>
    <row r="368" spans="1:3" ht="15" customHeight="1" x14ac:dyDescent="0.25">
      <c r="A368" t="s">
        <v>798</v>
      </c>
      <c r="B368" s="439" t="s">
        <v>137</v>
      </c>
      <c r="C368" s="439" t="s">
        <v>439</v>
      </c>
    </row>
    <row r="369" spans="1:3" ht="15" customHeight="1" x14ac:dyDescent="0.25">
      <c r="A369" t="s">
        <v>799</v>
      </c>
      <c r="B369" s="439" t="s">
        <v>137</v>
      </c>
      <c r="C369" s="439" t="s">
        <v>10</v>
      </c>
    </row>
    <row r="370" spans="1:3" ht="15" customHeight="1" x14ac:dyDescent="0.25">
      <c r="A370" t="s">
        <v>800</v>
      </c>
      <c r="B370" s="439" t="s">
        <v>137</v>
      </c>
      <c r="C370" s="439" t="s">
        <v>10</v>
      </c>
    </row>
    <row r="371" spans="1:3" ht="15" customHeight="1" x14ac:dyDescent="0.25">
      <c r="A371" t="s">
        <v>801</v>
      </c>
      <c r="B371" s="439" t="s">
        <v>137</v>
      </c>
      <c r="C371" s="439" t="s">
        <v>10</v>
      </c>
    </row>
    <row r="372" spans="1:3" ht="15" customHeight="1" x14ac:dyDescent="0.25">
      <c r="A372" t="s">
        <v>802</v>
      </c>
      <c r="B372" s="439" t="s">
        <v>137</v>
      </c>
      <c r="C372" s="439" t="s">
        <v>439</v>
      </c>
    </row>
    <row r="373" spans="1:3" ht="15" customHeight="1" x14ac:dyDescent="0.25">
      <c r="A373" t="s">
        <v>803</v>
      </c>
      <c r="B373" s="439" t="s">
        <v>137</v>
      </c>
      <c r="C373" s="439" t="s">
        <v>10</v>
      </c>
    </row>
    <row r="374" spans="1:3" ht="15" customHeight="1" x14ac:dyDescent="0.25">
      <c r="A374" t="s">
        <v>804</v>
      </c>
      <c r="B374" s="439" t="s">
        <v>137</v>
      </c>
      <c r="C374" s="439" t="s">
        <v>10</v>
      </c>
    </row>
    <row r="375" spans="1:3" ht="15" customHeight="1" x14ac:dyDescent="0.25">
      <c r="A375" t="s">
        <v>805</v>
      </c>
      <c r="B375" s="439" t="s">
        <v>137</v>
      </c>
      <c r="C375" s="439" t="s">
        <v>431</v>
      </c>
    </row>
    <row r="376" spans="1:3" ht="15" customHeight="1" x14ac:dyDescent="0.25">
      <c r="A376" t="s">
        <v>806</v>
      </c>
      <c r="B376" s="439" t="s">
        <v>137</v>
      </c>
      <c r="C376" s="439" t="s">
        <v>431</v>
      </c>
    </row>
    <row r="377" spans="1:3" ht="15" customHeight="1" x14ac:dyDescent="0.25">
      <c r="A377" t="s">
        <v>807</v>
      </c>
      <c r="B377" s="439" t="s">
        <v>137</v>
      </c>
      <c r="C377" s="439" t="s">
        <v>439</v>
      </c>
    </row>
    <row r="378" spans="1:3" ht="15" customHeight="1" x14ac:dyDescent="0.25">
      <c r="A378" t="s">
        <v>808</v>
      </c>
      <c r="B378" s="439" t="s">
        <v>137</v>
      </c>
      <c r="C378" s="439" t="s">
        <v>439</v>
      </c>
    </row>
    <row r="379" spans="1:3" ht="15" customHeight="1" x14ac:dyDescent="0.25">
      <c r="A379" t="s">
        <v>809</v>
      </c>
      <c r="B379" s="439" t="s">
        <v>137</v>
      </c>
      <c r="C379" s="439" t="s">
        <v>10</v>
      </c>
    </row>
    <row r="380" spans="1:3" ht="15" customHeight="1" x14ac:dyDescent="0.25">
      <c r="A380" t="s">
        <v>810</v>
      </c>
      <c r="B380" s="439" t="s">
        <v>137</v>
      </c>
      <c r="C380" s="439" t="s">
        <v>431</v>
      </c>
    </row>
    <row r="381" spans="1:3" ht="15" customHeight="1" x14ac:dyDescent="0.25">
      <c r="A381" t="s">
        <v>811</v>
      </c>
      <c r="B381" s="439" t="s">
        <v>137</v>
      </c>
      <c r="C381" s="439" t="s">
        <v>439</v>
      </c>
    </row>
    <row r="382" spans="1:3" ht="15" customHeight="1" x14ac:dyDescent="0.25">
      <c r="A382" t="s">
        <v>812</v>
      </c>
      <c r="B382" s="439" t="s">
        <v>114</v>
      </c>
      <c r="C382" s="439" t="s">
        <v>10</v>
      </c>
    </row>
    <row r="383" spans="1:3" ht="15" customHeight="1" x14ac:dyDescent="0.25">
      <c r="A383" t="s">
        <v>813</v>
      </c>
      <c r="B383" s="439" t="s">
        <v>114</v>
      </c>
      <c r="C383" s="439" t="s">
        <v>10</v>
      </c>
    </row>
    <row r="384" spans="1:3" ht="15" customHeight="1" x14ac:dyDescent="0.25">
      <c r="A384" t="s">
        <v>814</v>
      </c>
      <c r="B384" s="439" t="s">
        <v>114</v>
      </c>
      <c r="C384" s="439" t="s">
        <v>439</v>
      </c>
    </row>
    <row r="385" spans="1:3" ht="15" customHeight="1" x14ac:dyDescent="0.25">
      <c r="A385" t="s">
        <v>815</v>
      </c>
      <c r="B385" s="439" t="s">
        <v>114</v>
      </c>
      <c r="C385" s="439" t="s">
        <v>10</v>
      </c>
    </row>
    <row r="386" spans="1:3" ht="15" customHeight="1" x14ac:dyDescent="0.25">
      <c r="A386" t="s">
        <v>816</v>
      </c>
      <c r="B386" s="439" t="s">
        <v>114</v>
      </c>
      <c r="C386" s="439" t="s">
        <v>10</v>
      </c>
    </row>
    <row r="387" spans="1:3" ht="15" customHeight="1" x14ac:dyDescent="0.25">
      <c r="A387" t="s">
        <v>817</v>
      </c>
      <c r="B387" s="439" t="s">
        <v>114</v>
      </c>
      <c r="C387" s="439" t="s">
        <v>431</v>
      </c>
    </row>
    <row r="388" spans="1:3" ht="15" customHeight="1" x14ac:dyDescent="0.25">
      <c r="A388" t="s">
        <v>818</v>
      </c>
      <c r="B388" s="439" t="s">
        <v>114</v>
      </c>
      <c r="C388" s="439" t="s">
        <v>439</v>
      </c>
    </row>
    <row r="389" spans="1:3" ht="15" customHeight="1" x14ac:dyDescent="0.25">
      <c r="A389" t="s">
        <v>819</v>
      </c>
      <c r="B389" s="439" t="s">
        <v>114</v>
      </c>
      <c r="C389" s="439" t="s">
        <v>439</v>
      </c>
    </row>
    <row r="390" spans="1:3" ht="15" customHeight="1" x14ac:dyDescent="0.25">
      <c r="A390" t="s">
        <v>820</v>
      </c>
      <c r="B390" s="439" t="s">
        <v>114</v>
      </c>
      <c r="C390" s="439" t="s">
        <v>10</v>
      </c>
    </row>
    <row r="391" spans="1:3" ht="15" customHeight="1" x14ac:dyDescent="0.25">
      <c r="A391" t="s">
        <v>821</v>
      </c>
      <c r="B391" s="439" t="s">
        <v>114</v>
      </c>
      <c r="C391" s="439" t="s">
        <v>10</v>
      </c>
    </row>
    <row r="392" spans="1:3" ht="15" customHeight="1" x14ac:dyDescent="0.25">
      <c r="A392" t="s">
        <v>822</v>
      </c>
      <c r="B392" s="439" t="s">
        <v>114</v>
      </c>
      <c r="C392" s="439" t="s">
        <v>431</v>
      </c>
    </row>
    <row r="393" spans="1:3" ht="15" customHeight="1" x14ac:dyDescent="0.25">
      <c r="A393" t="s">
        <v>823</v>
      </c>
      <c r="B393" s="439" t="s">
        <v>114</v>
      </c>
      <c r="C393" s="439" t="s">
        <v>10</v>
      </c>
    </row>
    <row r="394" spans="1:3" ht="15" customHeight="1" x14ac:dyDescent="0.25">
      <c r="A394" t="s">
        <v>824</v>
      </c>
      <c r="B394" s="439" t="s">
        <v>114</v>
      </c>
      <c r="C394" s="439" t="s">
        <v>439</v>
      </c>
    </row>
    <row r="395" spans="1:3" ht="15" customHeight="1" x14ac:dyDescent="0.25">
      <c r="A395" t="s">
        <v>825</v>
      </c>
      <c r="B395" s="439" t="s">
        <v>114</v>
      </c>
      <c r="C395" s="439" t="s">
        <v>431</v>
      </c>
    </row>
    <row r="396" spans="1:3" ht="15" customHeight="1" x14ac:dyDescent="0.25">
      <c r="A396" t="s">
        <v>826</v>
      </c>
      <c r="B396" s="439" t="s">
        <v>114</v>
      </c>
      <c r="C396" s="439" t="s">
        <v>431</v>
      </c>
    </row>
    <row r="397" spans="1:3" ht="15" customHeight="1" x14ac:dyDescent="0.25">
      <c r="A397" t="s">
        <v>827</v>
      </c>
      <c r="B397" s="439" t="s">
        <v>114</v>
      </c>
      <c r="C397" s="439" t="s">
        <v>431</v>
      </c>
    </row>
    <row r="398" spans="1:3" ht="15" customHeight="1" x14ac:dyDescent="0.25">
      <c r="A398" t="s">
        <v>828</v>
      </c>
      <c r="B398" s="439" t="s">
        <v>114</v>
      </c>
      <c r="C398" s="439" t="s">
        <v>431</v>
      </c>
    </row>
    <row r="399" spans="1:3" ht="15" customHeight="1" x14ac:dyDescent="0.25">
      <c r="A399" t="s">
        <v>829</v>
      </c>
      <c r="B399" s="439" t="s">
        <v>114</v>
      </c>
      <c r="C399" s="439" t="s">
        <v>10</v>
      </c>
    </row>
    <row r="400" spans="1:3" ht="15" customHeight="1" x14ac:dyDescent="0.25">
      <c r="A400" t="s">
        <v>830</v>
      </c>
      <c r="B400" s="439" t="s">
        <v>114</v>
      </c>
      <c r="C400" s="439" t="s">
        <v>439</v>
      </c>
    </row>
    <row r="401" spans="1:3" ht="15" customHeight="1" x14ac:dyDescent="0.25">
      <c r="A401" t="s">
        <v>831</v>
      </c>
      <c r="B401" s="439" t="s">
        <v>114</v>
      </c>
      <c r="C401" s="439" t="s">
        <v>10</v>
      </c>
    </row>
    <row r="402" spans="1:3" ht="15" customHeight="1" x14ac:dyDescent="0.25">
      <c r="A402" t="s">
        <v>832</v>
      </c>
      <c r="B402" s="439" t="s">
        <v>138</v>
      </c>
      <c r="C402" s="439" t="s">
        <v>10</v>
      </c>
    </row>
    <row r="403" spans="1:3" ht="15" customHeight="1" x14ac:dyDescent="0.25">
      <c r="A403" t="s">
        <v>833</v>
      </c>
      <c r="B403" s="439" t="s">
        <v>138</v>
      </c>
      <c r="C403" s="439" t="s">
        <v>10</v>
      </c>
    </row>
    <row r="404" spans="1:3" ht="15" customHeight="1" x14ac:dyDescent="0.25">
      <c r="A404" t="s">
        <v>834</v>
      </c>
      <c r="B404" s="439" t="s">
        <v>138</v>
      </c>
      <c r="C404" s="439" t="s">
        <v>10</v>
      </c>
    </row>
    <row r="405" spans="1:3" ht="15" customHeight="1" x14ac:dyDescent="0.25">
      <c r="A405" t="s">
        <v>835</v>
      </c>
      <c r="B405" s="439" t="s">
        <v>138</v>
      </c>
      <c r="C405" s="439" t="s">
        <v>431</v>
      </c>
    </row>
    <row r="406" spans="1:3" ht="15" customHeight="1" x14ac:dyDescent="0.25">
      <c r="A406" t="s">
        <v>836</v>
      </c>
      <c r="B406" s="439" t="s">
        <v>138</v>
      </c>
      <c r="C406" s="439" t="s">
        <v>10</v>
      </c>
    </row>
    <row r="407" spans="1:3" ht="15" customHeight="1" x14ac:dyDescent="0.25">
      <c r="A407" t="s">
        <v>837</v>
      </c>
      <c r="B407" s="439" t="s">
        <v>138</v>
      </c>
      <c r="C407" s="439" t="s">
        <v>431</v>
      </c>
    </row>
    <row r="408" spans="1:3" ht="15" customHeight="1" x14ac:dyDescent="0.25">
      <c r="A408" t="s">
        <v>838</v>
      </c>
      <c r="B408" s="439" t="s">
        <v>138</v>
      </c>
      <c r="C408" s="439" t="s">
        <v>431</v>
      </c>
    </row>
    <row r="409" spans="1:3" ht="15" customHeight="1" x14ac:dyDescent="0.25">
      <c r="A409" t="s">
        <v>839</v>
      </c>
      <c r="B409" s="439" t="s">
        <v>138</v>
      </c>
      <c r="C409" s="439" t="s">
        <v>439</v>
      </c>
    </row>
    <row r="410" spans="1:3" ht="15" customHeight="1" x14ac:dyDescent="0.25">
      <c r="A410" t="s">
        <v>840</v>
      </c>
      <c r="B410" s="439" t="s">
        <v>138</v>
      </c>
      <c r="C410" s="439" t="s">
        <v>431</v>
      </c>
    </row>
    <row r="411" spans="1:3" ht="15" customHeight="1" x14ac:dyDescent="0.25">
      <c r="A411" t="s">
        <v>841</v>
      </c>
      <c r="B411" s="439" t="s">
        <v>138</v>
      </c>
      <c r="C411" s="439" t="s">
        <v>439</v>
      </c>
    </row>
    <row r="412" spans="1:3" ht="15" customHeight="1" x14ac:dyDescent="0.25">
      <c r="A412" t="s">
        <v>842</v>
      </c>
      <c r="B412" s="439" t="s">
        <v>138</v>
      </c>
      <c r="C412" s="439" t="s">
        <v>431</v>
      </c>
    </row>
    <row r="413" spans="1:3" ht="15" customHeight="1" x14ac:dyDescent="0.25">
      <c r="A413" t="s">
        <v>843</v>
      </c>
      <c r="B413" s="439" t="s">
        <v>138</v>
      </c>
      <c r="C413" s="439" t="s">
        <v>439</v>
      </c>
    </row>
    <row r="414" spans="1:3" ht="15" customHeight="1" x14ac:dyDescent="0.25">
      <c r="A414" t="s">
        <v>844</v>
      </c>
      <c r="B414" s="439" t="s">
        <v>138</v>
      </c>
      <c r="C414" s="439" t="s">
        <v>10</v>
      </c>
    </row>
    <row r="415" spans="1:3" ht="15" customHeight="1" x14ac:dyDescent="0.25">
      <c r="A415" t="s">
        <v>845</v>
      </c>
      <c r="B415" s="439" t="s">
        <v>138</v>
      </c>
      <c r="C415" s="439" t="s">
        <v>431</v>
      </c>
    </row>
    <row r="416" spans="1:3" ht="15" customHeight="1" x14ac:dyDescent="0.25">
      <c r="A416" t="s">
        <v>846</v>
      </c>
      <c r="B416" s="439" t="s">
        <v>138</v>
      </c>
      <c r="C416" s="439" t="s">
        <v>439</v>
      </c>
    </row>
    <row r="417" spans="1:3" ht="15" customHeight="1" x14ac:dyDescent="0.25">
      <c r="A417" t="s">
        <v>847</v>
      </c>
      <c r="B417" s="439" t="s">
        <v>138</v>
      </c>
      <c r="C417" s="439" t="s">
        <v>431</v>
      </c>
    </row>
    <row r="418" spans="1:3" ht="15" customHeight="1" x14ac:dyDescent="0.25">
      <c r="A418" t="s">
        <v>848</v>
      </c>
      <c r="B418" s="439" t="s">
        <v>138</v>
      </c>
      <c r="C418" s="439" t="s">
        <v>10</v>
      </c>
    </row>
    <row r="419" spans="1:3" ht="15" customHeight="1" x14ac:dyDescent="0.25">
      <c r="A419" t="s">
        <v>849</v>
      </c>
      <c r="B419" s="439" t="s">
        <v>138</v>
      </c>
      <c r="C419" s="439" t="s">
        <v>10</v>
      </c>
    </row>
    <row r="420" spans="1:3" ht="15" customHeight="1" x14ac:dyDescent="0.25">
      <c r="A420" t="s">
        <v>850</v>
      </c>
      <c r="B420" s="439" t="s">
        <v>138</v>
      </c>
      <c r="C420" s="439" t="s">
        <v>10</v>
      </c>
    </row>
    <row r="421" spans="1:3" ht="15" customHeight="1" x14ac:dyDescent="0.25">
      <c r="A421" t="s">
        <v>851</v>
      </c>
      <c r="B421" s="439" t="s">
        <v>138</v>
      </c>
      <c r="C421" s="439" t="s">
        <v>439</v>
      </c>
    </row>
    <row r="422" spans="1:3" ht="15" customHeight="1" x14ac:dyDescent="0.25">
      <c r="A422" t="s">
        <v>852</v>
      </c>
      <c r="B422" s="439" t="s">
        <v>138</v>
      </c>
      <c r="C422" s="439" t="s">
        <v>10</v>
      </c>
    </row>
    <row r="423" spans="1:3" ht="15" customHeight="1" x14ac:dyDescent="0.25">
      <c r="A423" t="s">
        <v>853</v>
      </c>
      <c r="B423" s="439" t="s">
        <v>138</v>
      </c>
      <c r="C423" s="439" t="s">
        <v>10</v>
      </c>
    </row>
    <row r="424" spans="1:3" ht="15" customHeight="1" x14ac:dyDescent="0.25">
      <c r="A424" t="s">
        <v>854</v>
      </c>
      <c r="B424" s="439" t="s">
        <v>138</v>
      </c>
      <c r="C424" s="439" t="s">
        <v>10</v>
      </c>
    </row>
    <row r="425" spans="1:3" ht="15" customHeight="1" x14ac:dyDescent="0.25">
      <c r="A425" t="s">
        <v>855</v>
      </c>
      <c r="B425" s="439" t="s">
        <v>138</v>
      </c>
      <c r="C425" s="439" t="s">
        <v>10</v>
      </c>
    </row>
    <row r="426" spans="1:3" ht="15" customHeight="1" x14ac:dyDescent="0.25">
      <c r="A426" t="s">
        <v>856</v>
      </c>
      <c r="B426" s="439" t="s">
        <v>138</v>
      </c>
      <c r="C426" s="439" t="s">
        <v>439</v>
      </c>
    </row>
    <row r="427" spans="1:3" ht="15" customHeight="1" x14ac:dyDescent="0.25">
      <c r="A427" t="s">
        <v>857</v>
      </c>
      <c r="B427" s="439" t="s">
        <v>139</v>
      </c>
      <c r="C427" s="439" t="s">
        <v>10</v>
      </c>
    </row>
    <row r="428" spans="1:3" ht="15" customHeight="1" x14ac:dyDescent="0.25">
      <c r="A428" t="s">
        <v>858</v>
      </c>
      <c r="B428" s="439" t="s">
        <v>139</v>
      </c>
      <c r="C428" s="439" t="s">
        <v>10</v>
      </c>
    </row>
    <row r="429" spans="1:3" ht="15" customHeight="1" x14ac:dyDescent="0.25">
      <c r="A429" t="s">
        <v>859</v>
      </c>
      <c r="B429" s="439" t="s">
        <v>139</v>
      </c>
      <c r="C429" s="439" t="s">
        <v>10</v>
      </c>
    </row>
    <row r="430" spans="1:3" ht="15" customHeight="1" x14ac:dyDescent="0.25">
      <c r="A430" t="s">
        <v>860</v>
      </c>
      <c r="B430" s="439" t="s">
        <v>139</v>
      </c>
      <c r="C430" s="439" t="s">
        <v>439</v>
      </c>
    </row>
    <row r="431" spans="1:3" ht="15" customHeight="1" x14ac:dyDescent="0.25">
      <c r="A431" t="s">
        <v>861</v>
      </c>
      <c r="B431" s="439" t="s">
        <v>139</v>
      </c>
      <c r="C431" s="439" t="s">
        <v>10</v>
      </c>
    </row>
    <row r="432" spans="1:3" ht="15" customHeight="1" x14ac:dyDescent="0.25">
      <c r="A432" t="s">
        <v>862</v>
      </c>
      <c r="B432" s="439" t="s">
        <v>139</v>
      </c>
      <c r="C432" s="439" t="s">
        <v>439</v>
      </c>
    </row>
    <row r="433" spans="1:3" ht="15" customHeight="1" x14ac:dyDescent="0.25">
      <c r="A433" t="s">
        <v>863</v>
      </c>
      <c r="B433" s="439" t="s">
        <v>139</v>
      </c>
      <c r="C433" s="439" t="s">
        <v>10</v>
      </c>
    </row>
    <row r="434" spans="1:3" ht="15" customHeight="1" x14ac:dyDescent="0.25">
      <c r="A434" t="s">
        <v>864</v>
      </c>
      <c r="B434" s="439" t="s">
        <v>139</v>
      </c>
      <c r="C434" s="439" t="s">
        <v>10</v>
      </c>
    </row>
    <row r="435" spans="1:3" ht="15" customHeight="1" x14ac:dyDescent="0.25">
      <c r="A435" t="s">
        <v>865</v>
      </c>
      <c r="B435" s="439" t="s">
        <v>139</v>
      </c>
      <c r="C435" s="439" t="s">
        <v>431</v>
      </c>
    </row>
    <row r="436" spans="1:3" ht="15" customHeight="1" x14ac:dyDescent="0.25">
      <c r="A436" t="s">
        <v>866</v>
      </c>
      <c r="B436" s="439" t="s">
        <v>139</v>
      </c>
      <c r="C436" s="439" t="s">
        <v>10</v>
      </c>
    </row>
    <row r="437" spans="1:3" ht="15" customHeight="1" x14ac:dyDescent="0.25">
      <c r="A437" t="s">
        <v>867</v>
      </c>
      <c r="B437" s="439" t="s">
        <v>139</v>
      </c>
      <c r="C437" s="439" t="s">
        <v>10</v>
      </c>
    </row>
    <row r="438" spans="1:3" ht="15" customHeight="1" x14ac:dyDescent="0.25">
      <c r="A438" t="s">
        <v>868</v>
      </c>
      <c r="B438" s="439" t="s">
        <v>139</v>
      </c>
      <c r="C438" s="439" t="s">
        <v>10</v>
      </c>
    </row>
    <row r="439" spans="1:3" ht="15" customHeight="1" x14ac:dyDescent="0.25">
      <c r="A439" t="s">
        <v>869</v>
      </c>
      <c r="B439" s="439" t="s">
        <v>139</v>
      </c>
      <c r="C439" s="439" t="s">
        <v>439</v>
      </c>
    </row>
    <row r="440" spans="1:3" ht="15" customHeight="1" x14ac:dyDescent="0.25">
      <c r="A440" t="s">
        <v>870</v>
      </c>
      <c r="B440" s="439" t="s">
        <v>139</v>
      </c>
      <c r="C440" s="439" t="s">
        <v>439</v>
      </c>
    </row>
    <row r="441" spans="1:3" ht="15" customHeight="1" x14ac:dyDescent="0.25">
      <c r="A441" t="s">
        <v>871</v>
      </c>
      <c r="B441" s="439" t="s">
        <v>139</v>
      </c>
      <c r="C441" s="439" t="s">
        <v>439</v>
      </c>
    </row>
    <row r="442" spans="1:3" ht="15" customHeight="1" x14ac:dyDescent="0.25">
      <c r="A442" t="s">
        <v>872</v>
      </c>
      <c r="B442" s="439" t="s">
        <v>139</v>
      </c>
      <c r="C442" s="439" t="s">
        <v>431</v>
      </c>
    </row>
    <row r="443" spans="1:3" ht="15" customHeight="1" x14ac:dyDescent="0.25">
      <c r="A443" t="s">
        <v>873</v>
      </c>
      <c r="B443" s="439" t="s">
        <v>139</v>
      </c>
      <c r="C443" s="439" t="s">
        <v>10</v>
      </c>
    </row>
    <row r="444" spans="1:3" ht="15" customHeight="1" x14ac:dyDescent="0.25">
      <c r="A444" t="s">
        <v>874</v>
      </c>
      <c r="B444" s="439" t="s">
        <v>139</v>
      </c>
      <c r="C444" s="439" t="s">
        <v>10</v>
      </c>
    </row>
    <row r="445" spans="1:3" ht="15" customHeight="1" x14ac:dyDescent="0.25">
      <c r="A445" t="s">
        <v>875</v>
      </c>
      <c r="B445" s="439" t="s">
        <v>139</v>
      </c>
      <c r="C445" s="439" t="s">
        <v>10</v>
      </c>
    </row>
    <row r="446" spans="1:3" ht="15" customHeight="1" x14ac:dyDescent="0.25">
      <c r="A446" t="s">
        <v>876</v>
      </c>
      <c r="B446" s="439" t="s">
        <v>139</v>
      </c>
      <c r="C446" s="439" t="s">
        <v>10</v>
      </c>
    </row>
    <row r="447" spans="1:3" ht="15" customHeight="1" x14ac:dyDescent="0.25">
      <c r="A447" t="s">
        <v>877</v>
      </c>
      <c r="B447" s="439" t="s">
        <v>139</v>
      </c>
      <c r="C447" s="439" t="s">
        <v>431</v>
      </c>
    </row>
    <row r="448" spans="1:3" ht="15" customHeight="1" x14ac:dyDescent="0.25">
      <c r="A448" t="s">
        <v>878</v>
      </c>
      <c r="B448" s="439" t="s">
        <v>139</v>
      </c>
      <c r="C448" s="439" t="s">
        <v>431</v>
      </c>
    </row>
    <row r="449" spans="1:3" ht="15" customHeight="1" x14ac:dyDescent="0.25">
      <c r="A449" t="s">
        <v>879</v>
      </c>
      <c r="B449" s="439" t="s">
        <v>139</v>
      </c>
      <c r="C449" s="439" t="s">
        <v>10</v>
      </c>
    </row>
    <row r="450" spans="1:3" ht="15" customHeight="1" x14ac:dyDescent="0.25">
      <c r="A450" t="s">
        <v>880</v>
      </c>
      <c r="B450" s="439" t="s">
        <v>139</v>
      </c>
      <c r="C450" s="439" t="s">
        <v>431</v>
      </c>
    </row>
    <row r="451" spans="1:3" ht="15" customHeight="1" x14ac:dyDescent="0.25">
      <c r="A451" t="s">
        <v>881</v>
      </c>
      <c r="B451" s="439" t="s">
        <v>101</v>
      </c>
      <c r="C451" s="439" t="s">
        <v>431</v>
      </c>
    </row>
    <row r="452" spans="1:3" ht="15" customHeight="1" x14ac:dyDescent="0.25">
      <c r="A452" t="s">
        <v>882</v>
      </c>
      <c r="B452" s="439" t="s">
        <v>101</v>
      </c>
      <c r="C452" s="439" t="s">
        <v>10</v>
      </c>
    </row>
    <row r="453" spans="1:3" ht="15" customHeight="1" x14ac:dyDescent="0.25">
      <c r="A453" t="s">
        <v>883</v>
      </c>
      <c r="B453" s="439" t="s">
        <v>101</v>
      </c>
      <c r="C453" s="439" t="s">
        <v>10</v>
      </c>
    </row>
    <row r="454" spans="1:3" ht="15" customHeight="1" x14ac:dyDescent="0.25">
      <c r="A454" t="s">
        <v>884</v>
      </c>
      <c r="B454" s="439" t="s">
        <v>101</v>
      </c>
      <c r="C454" s="439" t="s">
        <v>431</v>
      </c>
    </row>
    <row r="455" spans="1:3" ht="15" customHeight="1" x14ac:dyDescent="0.25">
      <c r="A455" t="s">
        <v>885</v>
      </c>
      <c r="B455" s="439" t="s">
        <v>101</v>
      </c>
      <c r="C455" s="439" t="s">
        <v>431</v>
      </c>
    </row>
    <row r="456" spans="1:3" ht="15" customHeight="1" x14ac:dyDescent="0.25">
      <c r="A456" t="s">
        <v>886</v>
      </c>
      <c r="B456" s="439" t="s">
        <v>101</v>
      </c>
      <c r="C456" s="439" t="s">
        <v>431</v>
      </c>
    </row>
    <row r="457" spans="1:3" ht="15" customHeight="1" x14ac:dyDescent="0.25">
      <c r="A457" t="s">
        <v>887</v>
      </c>
      <c r="B457" s="439" t="s">
        <v>101</v>
      </c>
      <c r="C457" s="439" t="s">
        <v>10</v>
      </c>
    </row>
    <row r="458" spans="1:3" ht="15" customHeight="1" x14ac:dyDescent="0.25">
      <c r="A458" t="s">
        <v>888</v>
      </c>
      <c r="B458" s="439" t="s">
        <v>101</v>
      </c>
      <c r="C458" s="439" t="s">
        <v>10</v>
      </c>
    </row>
    <row r="459" spans="1:3" ht="15" customHeight="1" x14ac:dyDescent="0.25">
      <c r="A459" t="s">
        <v>889</v>
      </c>
      <c r="B459" s="439" t="s">
        <v>101</v>
      </c>
      <c r="C459" s="439" t="s">
        <v>431</v>
      </c>
    </row>
    <row r="460" spans="1:3" ht="15" customHeight="1" x14ac:dyDescent="0.25">
      <c r="A460" t="s">
        <v>890</v>
      </c>
      <c r="B460" s="439" t="s">
        <v>101</v>
      </c>
      <c r="C460" s="439" t="s">
        <v>10</v>
      </c>
    </row>
    <row r="461" spans="1:3" ht="15" customHeight="1" x14ac:dyDescent="0.25">
      <c r="A461" t="s">
        <v>891</v>
      </c>
      <c r="B461" s="439" t="s">
        <v>101</v>
      </c>
      <c r="C461" s="439" t="s">
        <v>10</v>
      </c>
    </row>
    <row r="462" spans="1:3" ht="15" customHeight="1" x14ac:dyDescent="0.25">
      <c r="A462" t="s">
        <v>892</v>
      </c>
      <c r="B462" s="439" t="s">
        <v>101</v>
      </c>
      <c r="C462" s="439" t="s">
        <v>439</v>
      </c>
    </row>
    <row r="463" spans="1:3" ht="15" customHeight="1" x14ac:dyDescent="0.25">
      <c r="A463" t="s">
        <v>893</v>
      </c>
      <c r="B463" s="439" t="s">
        <v>101</v>
      </c>
      <c r="C463" s="439" t="s">
        <v>10</v>
      </c>
    </row>
    <row r="464" spans="1:3" ht="15" customHeight="1" x14ac:dyDescent="0.25">
      <c r="A464" t="s">
        <v>894</v>
      </c>
      <c r="B464" s="439" t="s">
        <v>101</v>
      </c>
      <c r="C464" s="439" t="s">
        <v>10</v>
      </c>
    </row>
    <row r="465" spans="1:3" ht="15" customHeight="1" x14ac:dyDescent="0.25">
      <c r="A465" t="s">
        <v>895</v>
      </c>
      <c r="B465" s="439" t="s">
        <v>101</v>
      </c>
      <c r="C465" s="439" t="s">
        <v>439</v>
      </c>
    </row>
    <row r="466" spans="1:3" ht="15" customHeight="1" x14ac:dyDescent="0.25">
      <c r="A466" t="s">
        <v>896</v>
      </c>
      <c r="B466" s="439" t="s">
        <v>101</v>
      </c>
      <c r="C466" s="439" t="s">
        <v>10</v>
      </c>
    </row>
    <row r="467" spans="1:3" ht="15" customHeight="1" x14ac:dyDescent="0.25">
      <c r="A467" t="s">
        <v>897</v>
      </c>
      <c r="B467" s="439" t="s">
        <v>101</v>
      </c>
      <c r="C467" s="439" t="s">
        <v>10</v>
      </c>
    </row>
    <row r="468" spans="1:3" ht="15" customHeight="1" x14ac:dyDescent="0.25">
      <c r="A468" t="s">
        <v>898</v>
      </c>
      <c r="B468" s="439" t="s">
        <v>101</v>
      </c>
      <c r="C468" s="439" t="s">
        <v>439</v>
      </c>
    </row>
    <row r="469" spans="1:3" ht="15" customHeight="1" x14ac:dyDescent="0.25">
      <c r="A469" t="s">
        <v>899</v>
      </c>
      <c r="B469" s="439" t="s">
        <v>120</v>
      </c>
      <c r="C469" s="439" t="s">
        <v>431</v>
      </c>
    </row>
    <row r="470" spans="1:3" ht="15" customHeight="1" x14ac:dyDescent="0.25">
      <c r="A470" t="s">
        <v>900</v>
      </c>
      <c r="B470" s="439" t="s">
        <v>120</v>
      </c>
      <c r="C470" s="439" t="s">
        <v>439</v>
      </c>
    </row>
    <row r="471" spans="1:3" ht="15" customHeight="1" x14ac:dyDescent="0.25">
      <c r="A471" t="s">
        <v>901</v>
      </c>
      <c r="B471" s="439" t="s">
        <v>120</v>
      </c>
      <c r="C471" s="439" t="s">
        <v>431</v>
      </c>
    </row>
    <row r="472" spans="1:3" ht="15" customHeight="1" x14ac:dyDescent="0.25">
      <c r="A472" t="s">
        <v>902</v>
      </c>
      <c r="B472" s="439" t="s">
        <v>120</v>
      </c>
      <c r="C472" s="439" t="s">
        <v>10</v>
      </c>
    </row>
    <row r="473" spans="1:3" ht="15" customHeight="1" x14ac:dyDescent="0.25">
      <c r="A473" t="s">
        <v>903</v>
      </c>
      <c r="B473" s="439" t="s">
        <v>120</v>
      </c>
      <c r="C473" s="439" t="s">
        <v>10</v>
      </c>
    </row>
    <row r="474" spans="1:3" ht="15" customHeight="1" x14ac:dyDescent="0.25">
      <c r="A474" t="s">
        <v>904</v>
      </c>
      <c r="B474" s="439" t="s">
        <v>120</v>
      </c>
      <c r="C474" s="439" t="s">
        <v>439</v>
      </c>
    </row>
    <row r="475" spans="1:3" ht="15" customHeight="1" x14ac:dyDescent="0.25">
      <c r="A475" t="s">
        <v>905</v>
      </c>
      <c r="B475" s="439" t="s">
        <v>120</v>
      </c>
      <c r="C475" s="439" t="s">
        <v>10</v>
      </c>
    </row>
    <row r="476" spans="1:3" ht="15" customHeight="1" x14ac:dyDescent="0.25">
      <c r="A476" t="s">
        <v>906</v>
      </c>
      <c r="B476" s="439" t="s">
        <v>120</v>
      </c>
      <c r="C476" s="439" t="s">
        <v>10</v>
      </c>
    </row>
    <row r="477" spans="1:3" ht="15" customHeight="1" x14ac:dyDescent="0.25">
      <c r="A477" t="s">
        <v>907</v>
      </c>
      <c r="B477" s="439" t="s">
        <v>120</v>
      </c>
      <c r="C477" s="439" t="s">
        <v>439</v>
      </c>
    </row>
    <row r="478" spans="1:3" ht="15" customHeight="1" x14ac:dyDescent="0.25">
      <c r="A478" t="s">
        <v>908</v>
      </c>
      <c r="B478" s="439" t="s">
        <v>120</v>
      </c>
      <c r="C478" s="439" t="s">
        <v>10</v>
      </c>
    </row>
    <row r="479" spans="1:3" ht="15" customHeight="1" x14ac:dyDescent="0.25">
      <c r="A479" t="s">
        <v>909</v>
      </c>
      <c r="B479" s="439" t="s">
        <v>120</v>
      </c>
      <c r="C479" s="439" t="s">
        <v>439</v>
      </c>
    </row>
    <row r="480" spans="1:3" ht="15" customHeight="1" x14ac:dyDescent="0.25">
      <c r="A480" t="s">
        <v>910</v>
      </c>
      <c r="B480" s="439" t="s">
        <v>120</v>
      </c>
      <c r="C480" s="439" t="s">
        <v>439</v>
      </c>
    </row>
    <row r="481" spans="1:3" ht="15" customHeight="1" x14ac:dyDescent="0.25">
      <c r="A481" t="s">
        <v>911</v>
      </c>
      <c r="B481" s="439" t="s">
        <v>120</v>
      </c>
      <c r="C481" s="439" t="s">
        <v>439</v>
      </c>
    </row>
    <row r="482" spans="1:3" ht="15" customHeight="1" x14ac:dyDescent="0.25">
      <c r="A482" t="s">
        <v>912</v>
      </c>
      <c r="B482" s="439" t="s">
        <v>120</v>
      </c>
      <c r="C482" s="439" t="s">
        <v>431</v>
      </c>
    </row>
    <row r="483" spans="1:3" ht="15" customHeight="1" x14ac:dyDescent="0.25">
      <c r="A483" t="s">
        <v>913</v>
      </c>
      <c r="B483" s="439" t="s">
        <v>120</v>
      </c>
      <c r="C483" s="439" t="s">
        <v>431</v>
      </c>
    </row>
    <row r="484" spans="1:3" ht="15" customHeight="1" x14ac:dyDescent="0.25">
      <c r="A484" t="s">
        <v>914</v>
      </c>
      <c r="B484" s="439" t="s">
        <v>120</v>
      </c>
      <c r="C484" s="439" t="s">
        <v>439</v>
      </c>
    </row>
    <row r="485" spans="1:3" ht="15" customHeight="1" x14ac:dyDescent="0.25">
      <c r="A485" t="s">
        <v>915</v>
      </c>
      <c r="B485" s="439" t="s">
        <v>120</v>
      </c>
      <c r="C485" s="439" t="s">
        <v>10</v>
      </c>
    </row>
    <row r="486" spans="1:3" ht="15" customHeight="1" x14ac:dyDescent="0.25">
      <c r="A486" t="s">
        <v>916</v>
      </c>
      <c r="B486" s="439" t="s">
        <v>120</v>
      </c>
      <c r="C486" s="439" t="s">
        <v>431</v>
      </c>
    </row>
    <row r="487" spans="1:3" ht="15" customHeight="1" x14ac:dyDescent="0.25">
      <c r="A487" t="s">
        <v>917</v>
      </c>
      <c r="B487" s="439" t="s">
        <v>120</v>
      </c>
      <c r="C487" s="439" t="s">
        <v>10</v>
      </c>
    </row>
    <row r="488" spans="1:3" ht="15" customHeight="1" x14ac:dyDescent="0.25">
      <c r="A488" t="s">
        <v>918</v>
      </c>
      <c r="B488" s="439" t="s">
        <v>120</v>
      </c>
      <c r="C488" s="439" t="s">
        <v>10</v>
      </c>
    </row>
    <row r="489" spans="1:3" ht="15" customHeight="1" x14ac:dyDescent="0.25">
      <c r="A489" t="s">
        <v>919</v>
      </c>
      <c r="B489" s="439" t="s">
        <v>103</v>
      </c>
      <c r="C489" s="439" t="s">
        <v>10</v>
      </c>
    </row>
    <row r="490" spans="1:3" ht="15" customHeight="1" x14ac:dyDescent="0.25">
      <c r="A490" t="s">
        <v>920</v>
      </c>
      <c r="B490" s="439" t="s">
        <v>103</v>
      </c>
      <c r="C490" s="439" t="s">
        <v>431</v>
      </c>
    </row>
    <row r="491" spans="1:3" ht="15" customHeight="1" x14ac:dyDescent="0.25">
      <c r="A491" t="s">
        <v>921</v>
      </c>
      <c r="B491" s="439" t="s">
        <v>103</v>
      </c>
      <c r="C491" s="439" t="s">
        <v>439</v>
      </c>
    </row>
    <row r="492" spans="1:3" ht="15" customHeight="1" x14ac:dyDescent="0.25">
      <c r="A492" t="s">
        <v>922</v>
      </c>
      <c r="B492" s="439" t="s">
        <v>103</v>
      </c>
      <c r="C492" s="439" t="s">
        <v>439</v>
      </c>
    </row>
    <row r="493" spans="1:3" ht="15" customHeight="1" x14ac:dyDescent="0.25">
      <c r="A493" t="s">
        <v>923</v>
      </c>
      <c r="B493" s="439" t="s">
        <v>103</v>
      </c>
      <c r="C493" s="439" t="s">
        <v>431</v>
      </c>
    </row>
    <row r="494" spans="1:3" ht="15" customHeight="1" x14ac:dyDescent="0.25">
      <c r="A494" t="s">
        <v>924</v>
      </c>
      <c r="B494" s="439" t="s">
        <v>103</v>
      </c>
      <c r="C494" s="439" t="s">
        <v>431</v>
      </c>
    </row>
    <row r="495" spans="1:3" ht="15" customHeight="1" x14ac:dyDescent="0.25">
      <c r="A495" t="s">
        <v>925</v>
      </c>
      <c r="B495" s="439" t="s">
        <v>103</v>
      </c>
      <c r="C495" s="439" t="s">
        <v>431</v>
      </c>
    </row>
    <row r="496" spans="1:3" ht="15" customHeight="1" x14ac:dyDescent="0.25">
      <c r="A496" t="s">
        <v>926</v>
      </c>
      <c r="B496" s="439" t="s">
        <v>103</v>
      </c>
      <c r="C496" s="439" t="s">
        <v>10</v>
      </c>
    </row>
    <row r="497" spans="1:3" ht="15" customHeight="1" x14ac:dyDescent="0.25">
      <c r="A497" t="s">
        <v>927</v>
      </c>
      <c r="B497" s="439" t="s">
        <v>103</v>
      </c>
      <c r="C497" s="439" t="s">
        <v>10</v>
      </c>
    </row>
    <row r="498" spans="1:3" ht="15" customHeight="1" x14ac:dyDescent="0.25">
      <c r="A498" t="s">
        <v>928</v>
      </c>
      <c r="B498" s="439" t="s">
        <v>103</v>
      </c>
      <c r="C498" s="439" t="s">
        <v>431</v>
      </c>
    </row>
    <row r="499" spans="1:3" ht="15" customHeight="1" x14ac:dyDescent="0.25">
      <c r="A499" t="s">
        <v>929</v>
      </c>
      <c r="B499" s="439" t="s">
        <v>103</v>
      </c>
      <c r="C499" s="439" t="s">
        <v>439</v>
      </c>
    </row>
    <row r="500" spans="1:3" ht="15" customHeight="1" x14ac:dyDescent="0.25">
      <c r="A500" t="s">
        <v>930</v>
      </c>
      <c r="B500" s="439" t="s">
        <v>103</v>
      </c>
      <c r="C500" s="439" t="s">
        <v>10</v>
      </c>
    </row>
    <row r="501" spans="1:3" ht="15" customHeight="1" x14ac:dyDescent="0.25">
      <c r="A501" t="s">
        <v>931</v>
      </c>
      <c r="B501" s="439" t="s">
        <v>103</v>
      </c>
      <c r="C501" s="439" t="s">
        <v>10</v>
      </c>
    </row>
    <row r="502" spans="1:3" ht="15" customHeight="1" x14ac:dyDescent="0.25">
      <c r="A502" t="s">
        <v>932</v>
      </c>
      <c r="B502" s="439" t="s">
        <v>103</v>
      </c>
      <c r="C502" s="439" t="s">
        <v>10</v>
      </c>
    </row>
    <row r="503" spans="1:3" ht="15" customHeight="1" x14ac:dyDescent="0.25">
      <c r="A503" t="s">
        <v>933</v>
      </c>
      <c r="B503" s="439" t="s">
        <v>103</v>
      </c>
      <c r="C503" s="439" t="s">
        <v>10</v>
      </c>
    </row>
    <row r="504" spans="1:3" ht="15" customHeight="1" x14ac:dyDescent="0.25">
      <c r="A504" t="s">
        <v>934</v>
      </c>
      <c r="B504" s="439" t="s">
        <v>103</v>
      </c>
      <c r="C504" s="439" t="s">
        <v>10</v>
      </c>
    </row>
    <row r="505" spans="1:3" ht="15" customHeight="1" x14ac:dyDescent="0.25">
      <c r="A505" t="s">
        <v>935</v>
      </c>
      <c r="B505" s="439" t="s">
        <v>103</v>
      </c>
      <c r="C505" s="439" t="s">
        <v>10</v>
      </c>
    </row>
    <row r="506" spans="1:3" ht="15" customHeight="1" x14ac:dyDescent="0.25">
      <c r="A506" t="s">
        <v>936</v>
      </c>
      <c r="B506" s="439" t="s">
        <v>103</v>
      </c>
      <c r="C506" s="439" t="s">
        <v>431</v>
      </c>
    </row>
    <row r="507" spans="1:3" ht="15" customHeight="1" x14ac:dyDescent="0.25">
      <c r="A507" t="s">
        <v>937</v>
      </c>
      <c r="B507" s="439" t="s">
        <v>103</v>
      </c>
      <c r="C507" s="439" t="s">
        <v>439</v>
      </c>
    </row>
    <row r="508" spans="1:3" ht="15" customHeight="1" x14ac:dyDescent="0.25">
      <c r="A508" t="s">
        <v>938</v>
      </c>
      <c r="B508" s="439" t="s">
        <v>103</v>
      </c>
      <c r="C508" s="439" t="s">
        <v>10</v>
      </c>
    </row>
    <row r="509" spans="1:3" ht="15" customHeight="1" x14ac:dyDescent="0.25">
      <c r="A509" t="s">
        <v>939</v>
      </c>
      <c r="B509" s="439" t="s">
        <v>140</v>
      </c>
      <c r="C509" s="439" t="s">
        <v>431</v>
      </c>
    </row>
    <row r="510" spans="1:3" ht="15" customHeight="1" x14ac:dyDescent="0.25">
      <c r="A510" t="s">
        <v>940</v>
      </c>
      <c r="B510" s="439" t="s">
        <v>140</v>
      </c>
      <c r="C510" s="439" t="s">
        <v>439</v>
      </c>
    </row>
    <row r="511" spans="1:3" ht="15" customHeight="1" x14ac:dyDescent="0.25">
      <c r="A511" t="s">
        <v>941</v>
      </c>
      <c r="B511" s="439" t="s">
        <v>140</v>
      </c>
      <c r="C511" s="439" t="s">
        <v>439</v>
      </c>
    </row>
    <row r="512" spans="1:3" ht="15" customHeight="1" x14ac:dyDescent="0.25">
      <c r="A512" t="s">
        <v>942</v>
      </c>
      <c r="B512" s="439" t="s">
        <v>140</v>
      </c>
      <c r="C512" s="439" t="s">
        <v>10</v>
      </c>
    </row>
    <row r="513" spans="1:3" ht="15" customHeight="1" x14ac:dyDescent="0.25">
      <c r="A513" t="s">
        <v>943</v>
      </c>
      <c r="B513" s="439" t="s">
        <v>140</v>
      </c>
      <c r="C513" s="439" t="s">
        <v>10</v>
      </c>
    </row>
    <row r="514" spans="1:3" ht="15" customHeight="1" x14ac:dyDescent="0.25">
      <c r="A514" t="s">
        <v>944</v>
      </c>
      <c r="B514" s="439" t="s">
        <v>140</v>
      </c>
      <c r="C514" s="439" t="s">
        <v>431</v>
      </c>
    </row>
    <row r="515" spans="1:3" ht="15" customHeight="1" x14ac:dyDescent="0.25">
      <c r="A515" t="s">
        <v>945</v>
      </c>
      <c r="B515" s="439" t="s">
        <v>140</v>
      </c>
      <c r="C515" s="439" t="s">
        <v>10</v>
      </c>
    </row>
    <row r="516" spans="1:3" ht="15" customHeight="1" x14ac:dyDescent="0.25">
      <c r="A516" t="s">
        <v>946</v>
      </c>
      <c r="B516" s="439" t="s">
        <v>140</v>
      </c>
      <c r="C516" s="439" t="s">
        <v>431</v>
      </c>
    </row>
    <row r="517" spans="1:3" ht="15" customHeight="1" x14ac:dyDescent="0.25">
      <c r="A517" t="s">
        <v>947</v>
      </c>
      <c r="B517" s="439" t="s">
        <v>140</v>
      </c>
      <c r="C517" s="439" t="s">
        <v>10</v>
      </c>
    </row>
    <row r="518" spans="1:3" ht="15" customHeight="1" x14ac:dyDescent="0.25">
      <c r="A518" t="s">
        <v>948</v>
      </c>
      <c r="B518" s="439" t="s">
        <v>140</v>
      </c>
      <c r="C518" s="439" t="s">
        <v>431</v>
      </c>
    </row>
    <row r="519" spans="1:3" ht="15" customHeight="1" x14ac:dyDescent="0.25">
      <c r="A519" t="s">
        <v>949</v>
      </c>
      <c r="B519" s="439" t="s">
        <v>140</v>
      </c>
      <c r="C519" s="439" t="s">
        <v>439</v>
      </c>
    </row>
    <row r="520" spans="1:3" ht="15" customHeight="1" x14ac:dyDescent="0.25">
      <c r="A520" t="s">
        <v>950</v>
      </c>
      <c r="B520" s="439" t="s">
        <v>140</v>
      </c>
      <c r="C520" s="439" t="s">
        <v>10</v>
      </c>
    </row>
    <row r="521" spans="1:3" ht="15" customHeight="1" x14ac:dyDescent="0.25">
      <c r="A521" t="s">
        <v>951</v>
      </c>
      <c r="B521" s="439" t="s">
        <v>140</v>
      </c>
      <c r="C521" s="439" t="s">
        <v>431</v>
      </c>
    </row>
    <row r="522" spans="1:3" ht="15" customHeight="1" x14ac:dyDescent="0.25">
      <c r="A522" t="s">
        <v>952</v>
      </c>
      <c r="B522" s="439" t="s">
        <v>140</v>
      </c>
      <c r="C522" s="439" t="s">
        <v>439</v>
      </c>
    </row>
    <row r="523" spans="1:3" ht="15" customHeight="1" x14ac:dyDescent="0.25">
      <c r="A523" t="s">
        <v>953</v>
      </c>
      <c r="B523" s="439" t="s">
        <v>140</v>
      </c>
      <c r="C523" s="439" t="s">
        <v>10</v>
      </c>
    </row>
    <row r="524" spans="1:3" ht="15" customHeight="1" x14ac:dyDescent="0.25">
      <c r="A524" t="s">
        <v>954</v>
      </c>
      <c r="B524" s="439" t="s">
        <v>140</v>
      </c>
      <c r="C524" s="439" t="s">
        <v>10</v>
      </c>
    </row>
    <row r="525" spans="1:3" ht="15" customHeight="1" x14ac:dyDescent="0.25">
      <c r="A525" t="s">
        <v>955</v>
      </c>
      <c r="B525" s="439" t="s">
        <v>140</v>
      </c>
      <c r="C525" s="439" t="s">
        <v>10</v>
      </c>
    </row>
    <row r="526" spans="1:3" ht="15" customHeight="1" x14ac:dyDescent="0.25">
      <c r="A526" t="s">
        <v>956</v>
      </c>
      <c r="B526" s="439" t="s">
        <v>140</v>
      </c>
      <c r="C526" s="439" t="s">
        <v>10</v>
      </c>
    </row>
    <row r="527" spans="1:3" ht="15" customHeight="1" x14ac:dyDescent="0.25">
      <c r="A527" t="s">
        <v>957</v>
      </c>
      <c r="B527" s="439" t="s">
        <v>140</v>
      </c>
      <c r="C527" s="439" t="s">
        <v>431</v>
      </c>
    </row>
    <row r="528" spans="1:3" ht="15" customHeight="1" x14ac:dyDescent="0.25">
      <c r="A528" t="s">
        <v>958</v>
      </c>
      <c r="B528" s="439" t="s">
        <v>140</v>
      </c>
      <c r="C528" s="439" t="s">
        <v>431</v>
      </c>
    </row>
    <row r="529" spans="1:3" ht="15" customHeight="1" x14ac:dyDescent="0.25">
      <c r="A529" t="s">
        <v>959</v>
      </c>
      <c r="B529" s="439" t="s">
        <v>141</v>
      </c>
      <c r="C529" s="439" t="s">
        <v>10</v>
      </c>
    </row>
    <row r="530" spans="1:3" ht="15" customHeight="1" x14ac:dyDescent="0.25">
      <c r="A530" t="s">
        <v>960</v>
      </c>
      <c r="B530" s="439" t="s">
        <v>141</v>
      </c>
      <c r="C530" s="439" t="s">
        <v>10</v>
      </c>
    </row>
    <row r="531" spans="1:3" ht="15" customHeight="1" x14ac:dyDescent="0.25">
      <c r="A531" t="s">
        <v>961</v>
      </c>
      <c r="B531" s="439" t="s">
        <v>141</v>
      </c>
      <c r="C531" s="439" t="s">
        <v>10</v>
      </c>
    </row>
    <row r="532" spans="1:3" ht="15" customHeight="1" x14ac:dyDescent="0.25">
      <c r="A532" t="s">
        <v>962</v>
      </c>
      <c r="B532" s="439" t="s">
        <v>141</v>
      </c>
      <c r="C532" s="439" t="s">
        <v>10</v>
      </c>
    </row>
    <row r="533" spans="1:3" ht="15" customHeight="1" x14ac:dyDescent="0.25">
      <c r="A533" t="s">
        <v>963</v>
      </c>
      <c r="B533" s="439" t="s">
        <v>141</v>
      </c>
      <c r="C533" s="439" t="s">
        <v>10</v>
      </c>
    </row>
    <row r="534" spans="1:3" ht="15" customHeight="1" x14ac:dyDescent="0.25">
      <c r="A534" t="s">
        <v>964</v>
      </c>
      <c r="B534" s="439" t="s">
        <v>141</v>
      </c>
      <c r="C534" s="439" t="s">
        <v>439</v>
      </c>
    </row>
    <row r="535" spans="1:3" ht="15" customHeight="1" x14ac:dyDescent="0.25">
      <c r="A535" t="s">
        <v>965</v>
      </c>
      <c r="B535" s="439" t="s">
        <v>141</v>
      </c>
      <c r="C535" s="439" t="s">
        <v>431</v>
      </c>
    </row>
    <row r="536" spans="1:3" ht="15" customHeight="1" x14ac:dyDescent="0.25">
      <c r="A536" t="s">
        <v>966</v>
      </c>
      <c r="B536" s="439" t="s">
        <v>141</v>
      </c>
      <c r="C536" s="439" t="s">
        <v>431</v>
      </c>
    </row>
    <row r="537" spans="1:3" ht="15" customHeight="1" x14ac:dyDescent="0.25">
      <c r="A537" t="s">
        <v>967</v>
      </c>
      <c r="B537" s="439" t="s">
        <v>141</v>
      </c>
      <c r="C537" s="439" t="s">
        <v>10</v>
      </c>
    </row>
    <row r="538" spans="1:3" ht="15" customHeight="1" x14ac:dyDescent="0.25">
      <c r="A538" t="s">
        <v>968</v>
      </c>
      <c r="B538" s="439" t="s">
        <v>141</v>
      </c>
      <c r="C538" s="439" t="s">
        <v>10</v>
      </c>
    </row>
    <row r="539" spans="1:3" ht="15" customHeight="1" x14ac:dyDescent="0.25">
      <c r="A539" t="s">
        <v>969</v>
      </c>
      <c r="B539" s="439" t="s">
        <v>141</v>
      </c>
      <c r="C539" s="439" t="s">
        <v>439</v>
      </c>
    </row>
    <row r="540" spans="1:3" ht="15" customHeight="1" x14ac:dyDescent="0.25">
      <c r="A540" t="s">
        <v>970</v>
      </c>
      <c r="B540" s="439" t="s">
        <v>141</v>
      </c>
      <c r="C540" s="439" t="s">
        <v>431</v>
      </c>
    </row>
    <row r="541" spans="1:3" ht="15" customHeight="1" x14ac:dyDescent="0.25">
      <c r="A541" t="s">
        <v>971</v>
      </c>
      <c r="B541" s="439" t="s">
        <v>141</v>
      </c>
      <c r="C541" s="439" t="s">
        <v>10</v>
      </c>
    </row>
    <row r="542" spans="1:3" ht="15" customHeight="1" x14ac:dyDescent="0.25">
      <c r="A542" t="s">
        <v>972</v>
      </c>
      <c r="B542" s="439" t="s">
        <v>141</v>
      </c>
      <c r="C542" s="439" t="s">
        <v>10</v>
      </c>
    </row>
    <row r="543" spans="1:3" ht="15" customHeight="1" x14ac:dyDescent="0.25">
      <c r="A543" t="s">
        <v>973</v>
      </c>
      <c r="B543" s="439" t="s">
        <v>141</v>
      </c>
      <c r="C543" s="439" t="s">
        <v>439</v>
      </c>
    </row>
    <row r="544" spans="1:3" ht="15" customHeight="1" x14ac:dyDescent="0.25">
      <c r="A544" t="s">
        <v>974</v>
      </c>
      <c r="B544" s="439" t="s">
        <v>141</v>
      </c>
      <c r="C544" s="439" t="s">
        <v>10</v>
      </c>
    </row>
    <row r="545" spans="1:3" ht="15" customHeight="1" x14ac:dyDescent="0.25">
      <c r="A545" t="s">
        <v>975</v>
      </c>
      <c r="B545" s="439" t="s">
        <v>141</v>
      </c>
      <c r="C545" s="439" t="s">
        <v>431</v>
      </c>
    </row>
    <row r="546" spans="1:3" ht="15" customHeight="1" x14ac:dyDescent="0.25">
      <c r="A546" t="s">
        <v>976</v>
      </c>
      <c r="B546" s="439" t="s">
        <v>141</v>
      </c>
      <c r="C546" s="439" t="s">
        <v>439</v>
      </c>
    </row>
    <row r="547" spans="1:3" ht="15" customHeight="1" x14ac:dyDescent="0.25">
      <c r="A547" t="s">
        <v>977</v>
      </c>
      <c r="B547" s="439" t="s">
        <v>141</v>
      </c>
      <c r="C547" s="439" t="s">
        <v>10</v>
      </c>
    </row>
    <row r="548" spans="1:3" ht="15" customHeight="1" x14ac:dyDescent="0.25">
      <c r="A548" t="s">
        <v>978</v>
      </c>
      <c r="B548" s="439" t="s">
        <v>141</v>
      </c>
      <c r="C548" s="439" t="s">
        <v>10</v>
      </c>
    </row>
    <row r="549" spans="1:3" ht="15" customHeight="1" x14ac:dyDescent="0.25">
      <c r="A549" t="s">
        <v>979</v>
      </c>
      <c r="B549" s="439" t="s">
        <v>141</v>
      </c>
      <c r="C549" s="439" t="s">
        <v>439</v>
      </c>
    </row>
    <row r="550" spans="1:3" ht="15" customHeight="1" x14ac:dyDescent="0.25">
      <c r="A550" t="s">
        <v>980</v>
      </c>
      <c r="B550" s="439" t="s">
        <v>126</v>
      </c>
      <c r="C550" s="439" t="s">
        <v>439</v>
      </c>
    </row>
    <row r="551" spans="1:3" ht="15" customHeight="1" x14ac:dyDescent="0.25">
      <c r="A551" t="s">
        <v>981</v>
      </c>
      <c r="B551" s="439" t="s">
        <v>126</v>
      </c>
      <c r="C551" s="439" t="s">
        <v>439</v>
      </c>
    </row>
    <row r="552" spans="1:3" ht="15" customHeight="1" x14ac:dyDescent="0.25">
      <c r="A552" t="s">
        <v>982</v>
      </c>
      <c r="B552" s="439" t="s">
        <v>126</v>
      </c>
      <c r="C552" s="439" t="s">
        <v>10</v>
      </c>
    </row>
    <row r="553" spans="1:3" ht="15" customHeight="1" x14ac:dyDescent="0.25">
      <c r="A553" t="s">
        <v>983</v>
      </c>
      <c r="B553" s="439" t="s">
        <v>126</v>
      </c>
      <c r="C553" s="439" t="s">
        <v>431</v>
      </c>
    </row>
    <row r="554" spans="1:3" ht="15" customHeight="1" x14ac:dyDescent="0.25">
      <c r="A554" t="s">
        <v>984</v>
      </c>
      <c r="B554" s="439" t="s">
        <v>126</v>
      </c>
      <c r="C554" s="439" t="s">
        <v>10</v>
      </c>
    </row>
    <row r="555" spans="1:3" ht="15" customHeight="1" x14ac:dyDescent="0.25">
      <c r="A555" t="s">
        <v>985</v>
      </c>
      <c r="B555" s="439" t="s">
        <v>126</v>
      </c>
      <c r="C555" s="439" t="s">
        <v>10</v>
      </c>
    </row>
    <row r="556" spans="1:3" ht="15" customHeight="1" x14ac:dyDescent="0.25">
      <c r="A556" t="s">
        <v>986</v>
      </c>
      <c r="B556" s="439" t="s">
        <v>126</v>
      </c>
      <c r="C556" s="439" t="s">
        <v>10</v>
      </c>
    </row>
    <row r="557" spans="1:3" ht="15" customHeight="1" x14ac:dyDescent="0.25">
      <c r="A557" t="s">
        <v>987</v>
      </c>
      <c r="B557" s="439" t="s">
        <v>126</v>
      </c>
      <c r="C557" s="439" t="s">
        <v>431</v>
      </c>
    </row>
    <row r="558" spans="1:3" ht="15" customHeight="1" x14ac:dyDescent="0.25">
      <c r="A558" t="s">
        <v>988</v>
      </c>
      <c r="B558" s="439" t="s">
        <v>126</v>
      </c>
      <c r="C558" s="439" t="s">
        <v>10</v>
      </c>
    </row>
    <row r="559" spans="1:3" ht="15" customHeight="1" x14ac:dyDescent="0.25">
      <c r="A559" t="s">
        <v>989</v>
      </c>
      <c r="B559" s="439" t="s">
        <v>126</v>
      </c>
      <c r="C559" s="439" t="s">
        <v>10</v>
      </c>
    </row>
    <row r="560" spans="1:3" ht="15" customHeight="1" x14ac:dyDescent="0.25">
      <c r="A560" t="s">
        <v>990</v>
      </c>
      <c r="B560" s="439" t="s">
        <v>126</v>
      </c>
      <c r="C560" s="439" t="s">
        <v>439</v>
      </c>
    </row>
    <row r="561" spans="1:3" ht="15" customHeight="1" x14ac:dyDescent="0.25">
      <c r="A561" t="s">
        <v>991</v>
      </c>
      <c r="B561" s="439" t="s">
        <v>126</v>
      </c>
      <c r="C561" s="439" t="s">
        <v>10</v>
      </c>
    </row>
    <row r="562" spans="1:3" ht="15" customHeight="1" x14ac:dyDescent="0.25">
      <c r="A562" t="s">
        <v>992</v>
      </c>
      <c r="B562" s="439" t="s">
        <v>126</v>
      </c>
      <c r="C562" s="439" t="s">
        <v>439</v>
      </c>
    </row>
    <row r="563" spans="1:3" ht="15" customHeight="1" x14ac:dyDescent="0.25">
      <c r="A563" t="s">
        <v>993</v>
      </c>
      <c r="B563" s="439" t="s">
        <v>126</v>
      </c>
      <c r="C563" s="439" t="s">
        <v>10</v>
      </c>
    </row>
    <row r="564" spans="1:3" ht="15" customHeight="1" x14ac:dyDescent="0.25">
      <c r="A564" t="s">
        <v>994</v>
      </c>
      <c r="B564" s="439" t="s">
        <v>126</v>
      </c>
      <c r="C564" s="439" t="s">
        <v>10</v>
      </c>
    </row>
    <row r="565" spans="1:3" ht="15" customHeight="1" x14ac:dyDescent="0.25">
      <c r="A565" t="s">
        <v>995</v>
      </c>
      <c r="B565" s="439" t="s">
        <v>126</v>
      </c>
      <c r="C565" s="439" t="s">
        <v>431</v>
      </c>
    </row>
    <row r="566" spans="1:3" ht="15" customHeight="1" x14ac:dyDescent="0.25">
      <c r="A566" t="s">
        <v>996</v>
      </c>
      <c r="B566" s="439" t="s">
        <v>126</v>
      </c>
      <c r="C566" s="439" t="s">
        <v>431</v>
      </c>
    </row>
    <row r="567" spans="1:3" ht="15" customHeight="1" x14ac:dyDescent="0.25">
      <c r="A567" t="s">
        <v>997</v>
      </c>
      <c r="B567" s="439" t="s">
        <v>126</v>
      </c>
      <c r="C567" s="439" t="s">
        <v>431</v>
      </c>
    </row>
    <row r="568" spans="1:3" ht="15" customHeight="1" x14ac:dyDescent="0.25">
      <c r="A568" t="s">
        <v>998</v>
      </c>
      <c r="B568" s="439" t="s">
        <v>126</v>
      </c>
      <c r="C568" s="439" t="s">
        <v>431</v>
      </c>
    </row>
    <row r="569" spans="1:3" ht="15" customHeight="1" x14ac:dyDescent="0.25">
      <c r="A569" t="s">
        <v>999</v>
      </c>
      <c r="B569" s="439" t="s">
        <v>142</v>
      </c>
      <c r="C569" s="439" t="s">
        <v>10</v>
      </c>
    </row>
    <row r="570" spans="1:3" ht="15" customHeight="1" x14ac:dyDescent="0.25">
      <c r="A570" t="s">
        <v>1000</v>
      </c>
      <c r="B570" s="439" t="s">
        <v>142</v>
      </c>
      <c r="C570" s="439" t="s">
        <v>439</v>
      </c>
    </row>
    <row r="571" spans="1:3" ht="15" customHeight="1" x14ac:dyDescent="0.25">
      <c r="A571" t="s">
        <v>1001</v>
      </c>
      <c r="B571" s="439" t="s">
        <v>142</v>
      </c>
      <c r="C571" s="439" t="s">
        <v>431</v>
      </c>
    </row>
    <row r="572" spans="1:3" ht="15" customHeight="1" x14ac:dyDescent="0.25">
      <c r="A572" t="s">
        <v>1002</v>
      </c>
      <c r="B572" s="439" t="s">
        <v>142</v>
      </c>
      <c r="C572" s="439" t="s">
        <v>10</v>
      </c>
    </row>
    <row r="573" spans="1:3" ht="15" customHeight="1" x14ac:dyDescent="0.25">
      <c r="A573" t="s">
        <v>1003</v>
      </c>
      <c r="B573" s="439" t="s">
        <v>142</v>
      </c>
      <c r="C573" s="439" t="s">
        <v>439</v>
      </c>
    </row>
    <row r="574" spans="1:3" ht="15" customHeight="1" x14ac:dyDescent="0.25">
      <c r="A574" t="s">
        <v>1004</v>
      </c>
      <c r="B574" s="439" t="s">
        <v>142</v>
      </c>
      <c r="C574" s="439" t="s">
        <v>439</v>
      </c>
    </row>
    <row r="575" spans="1:3" ht="15" customHeight="1" x14ac:dyDescent="0.25">
      <c r="A575" t="s">
        <v>1005</v>
      </c>
      <c r="B575" s="439" t="s">
        <v>142</v>
      </c>
      <c r="C575" s="439" t="s">
        <v>10</v>
      </c>
    </row>
    <row r="576" spans="1:3" ht="15" customHeight="1" x14ac:dyDescent="0.25">
      <c r="A576" t="s">
        <v>1006</v>
      </c>
      <c r="B576" s="439" t="s">
        <v>142</v>
      </c>
      <c r="C576" s="439" t="s">
        <v>439</v>
      </c>
    </row>
    <row r="577" spans="1:3" ht="15" customHeight="1" x14ac:dyDescent="0.25">
      <c r="A577" t="s">
        <v>1007</v>
      </c>
      <c r="B577" s="439" t="s">
        <v>142</v>
      </c>
      <c r="C577" s="439" t="s">
        <v>431</v>
      </c>
    </row>
    <row r="578" spans="1:3" ht="15" customHeight="1" x14ac:dyDescent="0.25">
      <c r="A578" t="s">
        <v>1008</v>
      </c>
      <c r="B578" s="439" t="s">
        <v>142</v>
      </c>
      <c r="C578" s="439" t="s">
        <v>10</v>
      </c>
    </row>
    <row r="579" spans="1:3" ht="15" customHeight="1" x14ac:dyDescent="0.25">
      <c r="A579" t="s">
        <v>1009</v>
      </c>
      <c r="B579" s="439" t="s">
        <v>142</v>
      </c>
      <c r="C579" s="439" t="s">
        <v>431</v>
      </c>
    </row>
    <row r="580" spans="1:3" ht="15" customHeight="1" x14ac:dyDescent="0.25">
      <c r="A580" t="s">
        <v>1010</v>
      </c>
      <c r="B580" s="439" t="s">
        <v>142</v>
      </c>
      <c r="C580" s="439" t="s">
        <v>10</v>
      </c>
    </row>
    <row r="581" spans="1:3" ht="15" customHeight="1" x14ac:dyDescent="0.25">
      <c r="A581" t="s">
        <v>1011</v>
      </c>
      <c r="B581" s="439" t="s">
        <v>142</v>
      </c>
      <c r="C581" s="439" t="s">
        <v>10</v>
      </c>
    </row>
    <row r="582" spans="1:3" ht="15" customHeight="1" x14ac:dyDescent="0.25">
      <c r="A582" t="s">
        <v>1012</v>
      </c>
      <c r="B582" s="439" t="s">
        <v>142</v>
      </c>
      <c r="C582" s="439" t="s">
        <v>10</v>
      </c>
    </row>
    <row r="583" spans="1:3" ht="15" customHeight="1" x14ac:dyDescent="0.25">
      <c r="A583" t="s">
        <v>1013</v>
      </c>
      <c r="B583" s="439" t="s">
        <v>142</v>
      </c>
      <c r="C583" s="439" t="s">
        <v>10</v>
      </c>
    </row>
    <row r="584" spans="1:3" ht="15" customHeight="1" x14ac:dyDescent="0.25">
      <c r="A584" t="s">
        <v>1014</v>
      </c>
      <c r="B584" s="439" t="s">
        <v>142</v>
      </c>
      <c r="C584" s="439" t="s">
        <v>10</v>
      </c>
    </row>
    <row r="585" spans="1:3" ht="15" customHeight="1" x14ac:dyDescent="0.25">
      <c r="A585" t="s">
        <v>1015</v>
      </c>
      <c r="B585" s="439" t="s">
        <v>142</v>
      </c>
      <c r="C585" s="439" t="s">
        <v>431</v>
      </c>
    </row>
    <row r="586" spans="1:3" ht="15" customHeight="1" x14ac:dyDescent="0.25">
      <c r="A586" t="s">
        <v>1016</v>
      </c>
      <c r="B586" s="439" t="s">
        <v>142</v>
      </c>
      <c r="C586" s="439" t="s">
        <v>431</v>
      </c>
    </row>
    <row r="587" spans="1:3" ht="15" customHeight="1" x14ac:dyDescent="0.25">
      <c r="A587" t="s">
        <v>1017</v>
      </c>
      <c r="B587" s="439" t="s">
        <v>142</v>
      </c>
      <c r="C587" s="439" t="s">
        <v>439</v>
      </c>
    </row>
    <row r="588" spans="1:3" ht="15" customHeight="1" x14ac:dyDescent="0.25">
      <c r="A588" t="s">
        <v>1018</v>
      </c>
      <c r="B588" s="439" t="s">
        <v>143</v>
      </c>
      <c r="C588" s="439" t="s">
        <v>439</v>
      </c>
    </row>
    <row r="589" spans="1:3" ht="15" customHeight="1" x14ac:dyDescent="0.25">
      <c r="A589" t="s">
        <v>1019</v>
      </c>
      <c r="B589" s="439" t="s">
        <v>143</v>
      </c>
      <c r="C589" s="439" t="s">
        <v>10</v>
      </c>
    </row>
    <row r="590" spans="1:3" ht="15" customHeight="1" x14ac:dyDescent="0.25">
      <c r="A590" t="s">
        <v>1020</v>
      </c>
      <c r="B590" s="439" t="s">
        <v>143</v>
      </c>
      <c r="C590" s="439" t="s">
        <v>10</v>
      </c>
    </row>
    <row r="591" spans="1:3" ht="15" customHeight="1" x14ac:dyDescent="0.25">
      <c r="A591" t="s">
        <v>1021</v>
      </c>
      <c r="B591" s="439" t="s">
        <v>143</v>
      </c>
      <c r="C591" s="439" t="s">
        <v>10</v>
      </c>
    </row>
    <row r="592" spans="1:3" ht="15" customHeight="1" x14ac:dyDescent="0.25">
      <c r="A592" t="s">
        <v>1022</v>
      </c>
      <c r="B592" s="439" t="s">
        <v>143</v>
      </c>
      <c r="C592" s="439" t="s">
        <v>10</v>
      </c>
    </row>
    <row r="593" spans="1:3" ht="15" customHeight="1" x14ac:dyDescent="0.25">
      <c r="A593" t="s">
        <v>1023</v>
      </c>
      <c r="B593" s="439" t="s">
        <v>143</v>
      </c>
      <c r="C593" s="439" t="s">
        <v>439</v>
      </c>
    </row>
    <row r="594" spans="1:3" ht="15" customHeight="1" x14ac:dyDescent="0.25">
      <c r="A594" t="s">
        <v>1024</v>
      </c>
      <c r="B594" s="439" t="s">
        <v>143</v>
      </c>
      <c r="C594" s="439" t="s">
        <v>431</v>
      </c>
    </row>
    <row r="595" spans="1:3" ht="15" customHeight="1" x14ac:dyDescent="0.25">
      <c r="A595" t="s">
        <v>1025</v>
      </c>
      <c r="B595" s="439" t="s">
        <v>143</v>
      </c>
      <c r="C595" s="439" t="s">
        <v>431</v>
      </c>
    </row>
    <row r="596" spans="1:3" ht="15" customHeight="1" x14ac:dyDescent="0.25">
      <c r="A596" t="s">
        <v>1026</v>
      </c>
      <c r="B596" s="439" t="s">
        <v>143</v>
      </c>
      <c r="C596" s="439" t="s">
        <v>431</v>
      </c>
    </row>
    <row r="597" spans="1:3" ht="15" customHeight="1" x14ac:dyDescent="0.25">
      <c r="A597" t="s">
        <v>1027</v>
      </c>
      <c r="B597" s="439" t="s">
        <v>143</v>
      </c>
      <c r="C597" s="439" t="s">
        <v>439</v>
      </c>
    </row>
    <row r="598" spans="1:3" ht="15" customHeight="1" x14ac:dyDescent="0.25">
      <c r="A598" t="s">
        <v>1028</v>
      </c>
      <c r="B598" s="439" t="s">
        <v>143</v>
      </c>
      <c r="C598" s="439" t="s">
        <v>431</v>
      </c>
    </row>
    <row r="599" spans="1:3" ht="15" customHeight="1" x14ac:dyDescent="0.25">
      <c r="A599" t="s">
        <v>1029</v>
      </c>
      <c r="B599" s="439" t="s">
        <v>143</v>
      </c>
      <c r="C599" s="439" t="s">
        <v>439</v>
      </c>
    </row>
    <row r="600" spans="1:3" ht="15" customHeight="1" x14ac:dyDescent="0.25">
      <c r="A600" t="s">
        <v>1030</v>
      </c>
      <c r="B600" s="439" t="s">
        <v>143</v>
      </c>
      <c r="C600" s="439" t="s">
        <v>10</v>
      </c>
    </row>
    <row r="601" spans="1:3" ht="15" customHeight="1" x14ac:dyDescent="0.25">
      <c r="A601" t="s">
        <v>1031</v>
      </c>
      <c r="B601" s="439" t="s">
        <v>143</v>
      </c>
      <c r="C601" s="439" t="s">
        <v>10</v>
      </c>
    </row>
    <row r="602" spans="1:3" ht="15" customHeight="1" x14ac:dyDescent="0.25">
      <c r="A602" t="s">
        <v>1032</v>
      </c>
      <c r="B602" s="439" t="s">
        <v>143</v>
      </c>
      <c r="C602" s="439" t="s">
        <v>10</v>
      </c>
    </row>
    <row r="603" spans="1:3" ht="15" customHeight="1" x14ac:dyDescent="0.25">
      <c r="A603" t="s">
        <v>1033</v>
      </c>
      <c r="B603" s="439" t="s">
        <v>143</v>
      </c>
      <c r="C603" s="439" t="s">
        <v>10</v>
      </c>
    </row>
    <row r="604" spans="1:3" ht="15" customHeight="1" x14ac:dyDescent="0.25">
      <c r="A604" t="s">
        <v>1034</v>
      </c>
      <c r="B604" s="439" t="s">
        <v>143</v>
      </c>
      <c r="C604" s="439" t="s">
        <v>10</v>
      </c>
    </row>
    <row r="605" spans="1:3" ht="15" customHeight="1" x14ac:dyDescent="0.25">
      <c r="A605" t="s">
        <v>1035</v>
      </c>
      <c r="B605" s="439" t="s">
        <v>143</v>
      </c>
      <c r="C605" s="439" t="s">
        <v>431</v>
      </c>
    </row>
    <row r="606" spans="1:3" ht="15" customHeight="1" x14ac:dyDescent="0.25">
      <c r="A606" t="s">
        <v>1036</v>
      </c>
      <c r="B606" s="439" t="s">
        <v>143</v>
      </c>
      <c r="C606" s="439" t="s">
        <v>10</v>
      </c>
    </row>
    <row r="607" spans="1:3" ht="15" customHeight="1" x14ac:dyDescent="0.25">
      <c r="A607" t="s">
        <v>1037</v>
      </c>
      <c r="B607" s="439" t="s">
        <v>143</v>
      </c>
      <c r="C607" s="439" t="s">
        <v>10</v>
      </c>
    </row>
    <row r="608" spans="1:3" ht="15" customHeight="1" x14ac:dyDescent="0.25">
      <c r="A608" t="s">
        <v>1038</v>
      </c>
      <c r="B608" s="439" t="s">
        <v>143</v>
      </c>
      <c r="C608" s="439" t="s">
        <v>439</v>
      </c>
    </row>
    <row r="609" spans="1:3" ht="15" customHeight="1" x14ac:dyDescent="0.25">
      <c r="A609" t="s">
        <v>1039</v>
      </c>
      <c r="B609" s="439" t="s">
        <v>143</v>
      </c>
      <c r="C609" s="439" t="s">
        <v>10</v>
      </c>
    </row>
    <row r="610" spans="1:3" ht="15" customHeight="1" x14ac:dyDescent="0.25">
      <c r="A610" t="s">
        <v>1040</v>
      </c>
      <c r="B610" s="439" t="s">
        <v>143</v>
      </c>
      <c r="C610" s="439" t="s">
        <v>439</v>
      </c>
    </row>
    <row r="611" spans="1:3" ht="15" customHeight="1" x14ac:dyDescent="0.25">
      <c r="A611" t="s">
        <v>1041</v>
      </c>
      <c r="B611" s="439" t="s">
        <v>143</v>
      </c>
      <c r="C611" s="439" t="s">
        <v>431</v>
      </c>
    </row>
    <row r="612" spans="1:3" ht="15" customHeight="1" x14ac:dyDescent="0.25">
      <c r="A612" t="s">
        <v>1042</v>
      </c>
      <c r="B612" s="439" t="s">
        <v>143</v>
      </c>
      <c r="C612" s="439" t="s">
        <v>439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I2021"/>
  <sheetViews>
    <sheetView topLeftCell="BU18" zoomScaleNormal="100" workbookViewId="0">
      <selection activeCell="BZ54" sqref="BZ54"/>
    </sheetView>
  </sheetViews>
  <sheetFormatPr defaultColWidth="8.7109375" defaultRowHeight="15" x14ac:dyDescent="0.25"/>
  <sheetData>
    <row r="1" spans="1:113" s="441" customFormat="1" ht="15" customHeight="1" x14ac:dyDescent="0.25">
      <c r="A1" s="441" t="s">
        <v>1043</v>
      </c>
      <c r="B1" s="441" t="s">
        <v>1044</v>
      </c>
      <c r="C1" s="441" t="s">
        <v>1045</v>
      </c>
      <c r="D1" s="441" t="s">
        <v>429</v>
      </c>
      <c r="E1" s="441" t="s">
        <v>1046</v>
      </c>
      <c r="F1" s="441" t="s">
        <v>1047</v>
      </c>
      <c r="G1" s="441" t="s">
        <v>1048</v>
      </c>
      <c r="H1" s="441" t="s">
        <v>1049</v>
      </c>
      <c r="I1" s="441" t="s">
        <v>1050</v>
      </c>
      <c r="J1" s="441" t="s">
        <v>1051</v>
      </c>
      <c r="K1" s="441" t="s">
        <v>1052</v>
      </c>
      <c r="L1" s="441" t="s">
        <v>1053</v>
      </c>
      <c r="M1" s="441" t="s">
        <v>1054</v>
      </c>
      <c r="N1" s="441" t="s">
        <v>1055</v>
      </c>
      <c r="O1" s="441" t="s">
        <v>1056</v>
      </c>
      <c r="P1" s="441" t="s">
        <v>1057</v>
      </c>
      <c r="Q1" s="441" t="s">
        <v>1058</v>
      </c>
      <c r="R1" s="441" t="s">
        <v>1059</v>
      </c>
      <c r="S1" s="441" t="s">
        <v>1060</v>
      </c>
      <c r="T1" s="441" t="s">
        <v>1061</v>
      </c>
      <c r="U1" s="441" t="s">
        <v>1062</v>
      </c>
      <c r="V1" s="441" t="s">
        <v>1063</v>
      </c>
      <c r="W1" s="441" t="s">
        <v>1064</v>
      </c>
      <c r="X1" s="441" t="s">
        <v>1065</v>
      </c>
      <c r="Y1" s="441" t="s">
        <v>1066</v>
      </c>
      <c r="Z1" s="441" t="s">
        <v>1067</v>
      </c>
      <c r="AA1" s="441" t="s">
        <v>1068</v>
      </c>
      <c r="AB1" s="441" t="s">
        <v>1069</v>
      </c>
      <c r="AC1" s="441" t="s">
        <v>1070</v>
      </c>
      <c r="AD1" s="441" t="s">
        <v>1071</v>
      </c>
      <c r="AE1" s="441" t="s">
        <v>1072</v>
      </c>
      <c r="AF1" s="441" t="s">
        <v>1073</v>
      </c>
      <c r="AG1" s="441" t="s">
        <v>1074</v>
      </c>
      <c r="AH1" s="441" t="s">
        <v>1075</v>
      </c>
      <c r="AI1" s="441" t="s">
        <v>1076</v>
      </c>
      <c r="AJ1" s="441" t="s">
        <v>1077</v>
      </c>
      <c r="AK1" s="441" t="s">
        <v>1078</v>
      </c>
      <c r="AL1" s="441" t="s">
        <v>1079</v>
      </c>
      <c r="AM1" s="441" t="s">
        <v>1080</v>
      </c>
      <c r="AN1" s="441" t="s">
        <v>1081</v>
      </c>
      <c r="AO1" s="441" t="s">
        <v>1082</v>
      </c>
      <c r="AP1" s="441" t="s">
        <v>1083</v>
      </c>
      <c r="AQ1" s="441" t="s">
        <v>1084</v>
      </c>
      <c r="AR1" s="441" t="s">
        <v>1085</v>
      </c>
      <c r="AS1" s="441" t="s">
        <v>1086</v>
      </c>
      <c r="AT1" s="441" t="s">
        <v>1087</v>
      </c>
      <c r="AU1" s="441" t="s">
        <v>1088</v>
      </c>
      <c r="AV1" s="441" t="s">
        <v>1089</v>
      </c>
      <c r="AW1" s="441" t="s">
        <v>1090</v>
      </c>
      <c r="AX1" s="441" t="s">
        <v>1091</v>
      </c>
      <c r="AY1" s="441" t="s">
        <v>1092</v>
      </c>
      <c r="AZ1" s="441" t="s">
        <v>1093</v>
      </c>
      <c r="BA1" s="441" t="s">
        <v>1094</v>
      </c>
      <c r="BB1" s="441" t="s">
        <v>1095</v>
      </c>
      <c r="BC1" s="441" t="s">
        <v>1096</v>
      </c>
      <c r="BD1" s="441" t="s">
        <v>1097</v>
      </c>
      <c r="BE1" s="441" t="s">
        <v>1098</v>
      </c>
      <c r="BF1" s="441" t="s">
        <v>1099</v>
      </c>
      <c r="BG1" s="441" t="s">
        <v>1100</v>
      </c>
      <c r="BH1" s="441" t="s">
        <v>1101</v>
      </c>
      <c r="BI1" s="441" t="s">
        <v>1102</v>
      </c>
      <c r="BJ1" s="441" t="s">
        <v>1103</v>
      </c>
      <c r="BK1" s="441" t="s">
        <v>1104</v>
      </c>
      <c r="BL1" s="441" t="s">
        <v>1105</v>
      </c>
      <c r="BM1" s="441" t="s">
        <v>1106</v>
      </c>
      <c r="BN1" s="441" t="s">
        <v>1107</v>
      </c>
      <c r="BO1" s="441" t="s">
        <v>1108</v>
      </c>
      <c r="BP1" s="441" t="s">
        <v>1109</v>
      </c>
      <c r="BQ1" s="441" t="s">
        <v>1110</v>
      </c>
      <c r="BR1" s="441" t="s">
        <v>1111</v>
      </c>
      <c r="BS1" s="441" t="s">
        <v>1112</v>
      </c>
      <c r="BT1" s="441" t="s">
        <v>1113</v>
      </c>
      <c r="BU1" s="441" t="s">
        <v>1114</v>
      </c>
      <c r="BV1" s="441" t="s">
        <v>1115</v>
      </c>
      <c r="BW1" s="441" t="s">
        <v>1116</v>
      </c>
      <c r="BX1" s="441" t="s">
        <v>1117</v>
      </c>
      <c r="BY1" s="441" t="s">
        <v>1118</v>
      </c>
      <c r="BZ1" s="441" t="s">
        <v>1119</v>
      </c>
      <c r="CA1" s="441" t="s">
        <v>1120</v>
      </c>
      <c r="CB1" s="441" t="s">
        <v>1121</v>
      </c>
      <c r="CC1" s="441" t="s">
        <v>1122</v>
      </c>
      <c r="CD1" s="441" t="s">
        <v>1123</v>
      </c>
      <c r="CE1" s="441" t="s">
        <v>1124</v>
      </c>
      <c r="CF1" s="441" t="s">
        <v>1125</v>
      </c>
      <c r="CG1" s="441" t="s">
        <v>1126</v>
      </c>
      <c r="CH1" s="441" t="s">
        <v>1127</v>
      </c>
      <c r="CI1" s="441" t="s">
        <v>1128</v>
      </c>
      <c r="CJ1" s="441" t="s">
        <v>1129</v>
      </c>
      <c r="CK1" s="441" t="s">
        <v>1130</v>
      </c>
      <c r="CL1" s="441" t="s">
        <v>1131</v>
      </c>
      <c r="CM1" s="441" t="s">
        <v>1132</v>
      </c>
      <c r="CN1" s="441" t="s">
        <v>1133</v>
      </c>
      <c r="CO1" s="441" t="s">
        <v>1134</v>
      </c>
      <c r="CP1" s="441" t="s">
        <v>1135</v>
      </c>
      <c r="CQ1" s="441" t="s">
        <v>1136</v>
      </c>
      <c r="CR1" s="441" t="s">
        <v>1137</v>
      </c>
      <c r="CS1" s="441" t="s">
        <v>1138</v>
      </c>
      <c r="CT1" s="441" t="s">
        <v>1139</v>
      </c>
      <c r="CU1" s="441" t="s">
        <v>1140</v>
      </c>
      <c r="CV1" s="441" t="s">
        <v>1141</v>
      </c>
      <c r="CW1" s="441" t="s">
        <v>1142</v>
      </c>
      <c r="CX1" s="441" t="s">
        <v>1143</v>
      </c>
      <c r="CY1" s="441" t="s">
        <v>1144</v>
      </c>
      <c r="CZ1" s="441" t="s">
        <v>1145</v>
      </c>
      <c r="DA1" s="441" t="s">
        <v>1146</v>
      </c>
      <c r="DB1" s="441" t="s">
        <v>1147</v>
      </c>
      <c r="DC1" s="441" t="s">
        <v>1148</v>
      </c>
      <c r="DD1" s="441" t="s">
        <v>1149</v>
      </c>
      <c r="DE1" s="441" t="s">
        <v>1150</v>
      </c>
      <c r="DF1" s="441" t="s">
        <v>1151</v>
      </c>
      <c r="DG1" s="441" t="s">
        <v>1152</v>
      </c>
      <c r="DH1" s="441" t="s">
        <v>1153</v>
      </c>
      <c r="DI1" s="441" t="s">
        <v>1154</v>
      </c>
    </row>
    <row r="2" spans="1:113" ht="15" customHeight="1" x14ac:dyDescent="0.25">
      <c r="A2" t="s">
        <v>1155</v>
      </c>
      <c r="B2" t="s">
        <v>1156</v>
      </c>
      <c r="C2" t="s">
        <v>1157</v>
      </c>
      <c r="D2" t="s">
        <v>1158</v>
      </c>
      <c r="E2" t="s">
        <v>1158</v>
      </c>
      <c r="F2" t="s">
        <v>1159</v>
      </c>
      <c r="G2">
        <v>2025</v>
      </c>
      <c r="H2" t="s">
        <v>1160</v>
      </c>
      <c r="I2" t="s">
        <v>124</v>
      </c>
      <c r="J2">
        <v>3</v>
      </c>
      <c r="K2">
        <v>58</v>
      </c>
      <c r="L2">
        <v>92</v>
      </c>
      <c r="M2">
        <v>544</v>
      </c>
      <c r="N2">
        <v>4</v>
      </c>
      <c r="O2">
        <v>3</v>
      </c>
      <c r="P2">
        <v>5</v>
      </c>
      <c r="Q2">
        <v>-37</v>
      </c>
      <c r="R2">
        <v>1</v>
      </c>
      <c r="S2">
        <v>0</v>
      </c>
      <c r="T2">
        <v>717</v>
      </c>
      <c r="U2">
        <v>271</v>
      </c>
      <c r="V2">
        <v>30</v>
      </c>
      <c r="W2">
        <v>-11.195535567243301</v>
      </c>
      <c r="X2">
        <v>-3.6926577488581298</v>
      </c>
      <c r="Y2">
        <v>0</v>
      </c>
      <c r="Z2">
        <v>0.75871687587168801</v>
      </c>
      <c r="AA2">
        <v>2</v>
      </c>
      <c r="AB2">
        <v>-1</v>
      </c>
      <c r="AC2">
        <v>0</v>
      </c>
      <c r="AD2">
        <v>1</v>
      </c>
      <c r="AE2">
        <v>0</v>
      </c>
      <c r="AF2">
        <v>1</v>
      </c>
      <c r="AG2">
        <v>-1.14645677199587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2</v>
      </c>
      <c r="BQ2">
        <v>0</v>
      </c>
      <c r="BR2">
        <v>0</v>
      </c>
      <c r="BS2">
        <v>0</v>
      </c>
      <c r="BT2">
        <v>1</v>
      </c>
      <c r="BU2">
        <v>10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C2">
        <v>0</v>
      </c>
      <c r="DD2">
        <v>0</v>
      </c>
      <c r="DE2">
        <v>0</v>
      </c>
      <c r="DF2">
        <v>0</v>
      </c>
      <c r="DH2">
        <v>31.66</v>
      </c>
      <c r="DI2">
        <v>31.66</v>
      </c>
    </row>
    <row r="3" spans="1:113" ht="15" customHeight="1" x14ac:dyDescent="0.25">
      <c r="A3" t="s">
        <v>1161</v>
      </c>
      <c r="B3" t="s">
        <v>1162</v>
      </c>
      <c r="C3" t="s">
        <v>1163</v>
      </c>
      <c r="D3" t="s">
        <v>1158</v>
      </c>
      <c r="E3" t="s">
        <v>1158</v>
      </c>
      <c r="F3" t="s">
        <v>1164</v>
      </c>
      <c r="G3">
        <v>2025</v>
      </c>
      <c r="H3" t="s">
        <v>1160</v>
      </c>
      <c r="I3" t="s">
        <v>103</v>
      </c>
      <c r="J3">
        <v>16</v>
      </c>
      <c r="K3">
        <v>327</v>
      </c>
      <c r="L3">
        <v>498</v>
      </c>
      <c r="M3">
        <v>3322</v>
      </c>
      <c r="N3">
        <v>24</v>
      </c>
      <c r="O3">
        <v>7</v>
      </c>
      <c r="P3">
        <v>29</v>
      </c>
      <c r="Q3">
        <v>-180</v>
      </c>
      <c r="R3">
        <v>3</v>
      </c>
      <c r="S3">
        <v>1</v>
      </c>
      <c r="T3">
        <v>3008</v>
      </c>
      <c r="U3">
        <v>2119</v>
      </c>
      <c r="V3">
        <v>144</v>
      </c>
      <c r="W3">
        <v>26.831206813725998</v>
      </c>
      <c r="X3">
        <v>4.1686901349132402E-2</v>
      </c>
      <c r="Y3">
        <v>1</v>
      </c>
      <c r="Z3">
        <v>1.1043882978723401</v>
      </c>
      <c r="AA3">
        <v>21</v>
      </c>
      <c r="AB3">
        <v>61</v>
      </c>
      <c r="AC3">
        <v>1</v>
      </c>
      <c r="AD3">
        <v>1</v>
      </c>
      <c r="AE3">
        <v>0</v>
      </c>
      <c r="AF3">
        <v>5</v>
      </c>
      <c r="AG3">
        <v>-2.9512070736999099</v>
      </c>
      <c r="AH3">
        <v>0</v>
      </c>
      <c r="AI3">
        <v>1</v>
      </c>
      <c r="AJ3">
        <v>1</v>
      </c>
      <c r="AK3">
        <v>-9</v>
      </c>
      <c r="AL3">
        <v>0</v>
      </c>
      <c r="AM3">
        <v>0</v>
      </c>
      <c r="AN3">
        <v>0</v>
      </c>
      <c r="AO3">
        <v>-9</v>
      </c>
      <c r="AP3">
        <v>0</v>
      </c>
      <c r="AQ3">
        <v>0</v>
      </c>
      <c r="AR3">
        <v>-1.5339853016194001</v>
      </c>
      <c r="AS3">
        <v>0</v>
      </c>
      <c r="AT3">
        <v>0</v>
      </c>
      <c r="AU3">
        <v>1.91570881226054E-3</v>
      </c>
      <c r="AV3">
        <v>-2.7439024390243901E-3</v>
      </c>
      <c r="AW3">
        <v>9.5283151107373196E-4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</v>
      </c>
      <c r="BP3">
        <v>2</v>
      </c>
      <c r="BQ3">
        <v>0</v>
      </c>
      <c r="BR3">
        <v>0</v>
      </c>
      <c r="BS3">
        <v>0</v>
      </c>
      <c r="BT3">
        <v>1</v>
      </c>
      <c r="BU3">
        <v>10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C3">
        <v>0</v>
      </c>
      <c r="DD3">
        <v>0</v>
      </c>
      <c r="DE3">
        <v>0</v>
      </c>
      <c r="DF3">
        <v>0</v>
      </c>
      <c r="DH3">
        <v>226.08</v>
      </c>
      <c r="DI3">
        <v>227.08</v>
      </c>
    </row>
    <row r="4" spans="1:113" ht="15" customHeight="1" x14ac:dyDescent="0.25">
      <c r="A4" t="s">
        <v>1165</v>
      </c>
      <c r="B4" t="s">
        <v>1166</v>
      </c>
      <c r="C4" t="s">
        <v>1167</v>
      </c>
      <c r="D4" t="s">
        <v>1168</v>
      </c>
      <c r="E4" t="s">
        <v>1169</v>
      </c>
      <c r="F4" t="s">
        <v>1170</v>
      </c>
      <c r="G4">
        <v>2025</v>
      </c>
      <c r="H4" t="s">
        <v>1160</v>
      </c>
      <c r="I4" t="s">
        <v>99</v>
      </c>
      <c r="J4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Y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18</v>
      </c>
      <c r="CA4">
        <v>20</v>
      </c>
      <c r="CB4">
        <v>2</v>
      </c>
      <c r="CC4">
        <v>0</v>
      </c>
      <c r="CD4">
        <v>52</v>
      </c>
      <c r="CE4">
        <v>0.9</v>
      </c>
      <c r="CF4">
        <v>0</v>
      </c>
      <c r="CG4">
        <v>4</v>
      </c>
      <c r="CH4">
        <v>7</v>
      </c>
      <c r="CI4">
        <v>6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 t="s">
        <v>1171</v>
      </c>
      <c r="CS4" t="s">
        <v>1172</v>
      </c>
      <c r="CU4">
        <v>671</v>
      </c>
      <c r="CV4">
        <v>91</v>
      </c>
      <c r="CW4">
        <v>0</v>
      </c>
      <c r="CX4">
        <v>46</v>
      </c>
      <c r="CY4">
        <v>49</v>
      </c>
      <c r="CZ4">
        <v>3</v>
      </c>
      <c r="DA4">
        <v>0</v>
      </c>
      <c r="DB4">
        <v>0.93877551020408201</v>
      </c>
      <c r="DC4">
        <v>1</v>
      </c>
      <c r="DD4">
        <v>1</v>
      </c>
      <c r="DE4">
        <v>0</v>
      </c>
      <c r="DF4">
        <v>0</v>
      </c>
      <c r="DG4">
        <v>32</v>
      </c>
      <c r="DH4">
        <v>0</v>
      </c>
      <c r="DI4">
        <v>0</v>
      </c>
    </row>
    <row r="5" spans="1:113" ht="15" customHeight="1" x14ac:dyDescent="0.25">
      <c r="A5" t="s">
        <v>1173</v>
      </c>
      <c r="B5" t="s">
        <v>1174</v>
      </c>
      <c r="C5" t="s">
        <v>1175</v>
      </c>
      <c r="D5" t="s">
        <v>439</v>
      </c>
      <c r="E5" t="s">
        <v>439</v>
      </c>
      <c r="F5" t="s">
        <v>1176</v>
      </c>
      <c r="G5">
        <v>2025</v>
      </c>
      <c r="H5" t="s">
        <v>1160</v>
      </c>
      <c r="I5" t="s">
        <v>115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15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C5">
        <v>0</v>
      </c>
      <c r="DD5">
        <v>0</v>
      </c>
      <c r="DE5">
        <v>0</v>
      </c>
      <c r="DF5">
        <v>0</v>
      </c>
      <c r="DH5">
        <v>0</v>
      </c>
      <c r="DI5">
        <v>0</v>
      </c>
    </row>
    <row r="6" spans="1:113" ht="15" customHeight="1" x14ac:dyDescent="0.25">
      <c r="A6" t="s">
        <v>1177</v>
      </c>
      <c r="B6" t="s">
        <v>1178</v>
      </c>
      <c r="C6" t="s">
        <v>1179</v>
      </c>
      <c r="D6" t="s">
        <v>1168</v>
      </c>
      <c r="E6" t="s">
        <v>1169</v>
      </c>
      <c r="F6" t="s">
        <v>1180</v>
      </c>
      <c r="G6">
        <v>2025</v>
      </c>
      <c r="H6" t="s">
        <v>1160</v>
      </c>
      <c r="I6" t="s">
        <v>101</v>
      </c>
      <c r="J6">
        <v>16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28</v>
      </c>
      <c r="CA6">
        <v>29</v>
      </c>
      <c r="CB6">
        <v>1</v>
      </c>
      <c r="CC6">
        <v>0</v>
      </c>
      <c r="CD6">
        <v>58</v>
      </c>
      <c r="CE6">
        <v>0.96551724137931005</v>
      </c>
      <c r="CF6">
        <v>0</v>
      </c>
      <c r="CG6">
        <v>5</v>
      </c>
      <c r="CH6">
        <v>9</v>
      </c>
      <c r="CI6">
        <v>7</v>
      </c>
      <c r="CJ6">
        <v>7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 t="s">
        <v>1181</v>
      </c>
      <c r="CS6">
        <v>55</v>
      </c>
      <c r="CU6">
        <v>1125</v>
      </c>
      <c r="CV6">
        <v>55</v>
      </c>
      <c r="CW6">
        <v>0</v>
      </c>
      <c r="CX6">
        <v>22</v>
      </c>
      <c r="CY6">
        <v>22</v>
      </c>
      <c r="CZ6">
        <v>0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56</v>
      </c>
      <c r="DH6">
        <v>0</v>
      </c>
      <c r="DI6">
        <v>0</v>
      </c>
    </row>
    <row r="7" spans="1:113" ht="15" customHeight="1" x14ac:dyDescent="0.25">
      <c r="A7" t="s">
        <v>1182</v>
      </c>
      <c r="B7" t="s">
        <v>1183</v>
      </c>
      <c r="C7" t="s">
        <v>1184</v>
      </c>
      <c r="D7" t="s">
        <v>1158</v>
      </c>
      <c r="E7" t="s">
        <v>1158</v>
      </c>
      <c r="F7" t="s">
        <v>1185</v>
      </c>
      <c r="G7">
        <v>2025</v>
      </c>
      <c r="H7" t="s">
        <v>1160</v>
      </c>
      <c r="I7" t="s">
        <v>107</v>
      </c>
      <c r="J7">
        <v>13</v>
      </c>
      <c r="K7">
        <v>251</v>
      </c>
      <c r="L7">
        <v>416</v>
      </c>
      <c r="M7">
        <v>2479</v>
      </c>
      <c r="N7">
        <v>15</v>
      </c>
      <c r="O7">
        <v>10</v>
      </c>
      <c r="P7">
        <v>18</v>
      </c>
      <c r="Q7">
        <v>-118</v>
      </c>
      <c r="R7">
        <v>3</v>
      </c>
      <c r="S7">
        <v>3</v>
      </c>
      <c r="T7">
        <v>3047</v>
      </c>
      <c r="U7">
        <v>1165</v>
      </c>
      <c r="V7">
        <v>115</v>
      </c>
      <c r="W7">
        <v>-40.872125217425001</v>
      </c>
      <c r="X7">
        <v>-2.8235056625746702</v>
      </c>
      <c r="Y7">
        <v>2</v>
      </c>
      <c r="Z7">
        <v>0.81358713488677403</v>
      </c>
      <c r="AA7">
        <v>21</v>
      </c>
      <c r="AB7">
        <v>35</v>
      </c>
      <c r="AC7">
        <v>1</v>
      </c>
      <c r="AD7">
        <v>0</v>
      </c>
      <c r="AE7">
        <v>0</v>
      </c>
      <c r="AF7">
        <v>9</v>
      </c>
      <c r="AG7">
        <v>5.4238351710593102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C7">
        <v>0</v>
      </c>
      <c r="DD7">
        <v>0</v>
      </c>
      <c r="DE7">
        <v>0</v>
      </c>
      <c r="DF7">
        <v>0</v>
      </c>
      <c r="DH7">
        <v>146.66</v>
      </c>
      <c r="DI7">
        <v>146.66</v>
      </c>
    </row>
    <row r="8" spans="1:113" ht="15" customHeight="1" x14ac:dyDescent="0.25">
      <c r="A8" t="s">
        <v>1186</v>
      </c>
      <c r="B8" t="s">
        <v>1187</v>
      </c>
      <c r="C8" t="s">
        <v>1188</v>
      </c>
      <c r="D8" t="s">
        <v>1189</v>
      </c>
      <c r="E8" t="s">
        <v>1190</v>
      </c>
      <c r="F8" t="s">
        <v>1191</v>
      </c>
      <c r="G8">
        <v>2025</v>
      </c>
      <c r="H8" t="s">
        <v>1160</v>
      </c>
      <c r="I8" t="s">
        <v>90</v>
      </c>
      <c r="J8">
        <v>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0</v>
      </c>
      <c r="AU8">
        <v>0</v>
      </c>
      <c r="AV8">
        <v>0</v>
      </c>
      <c r="AW8">
        <v>0</v>
      </c>
      <c r="AX8">
        <v>0</v>
      </c>
      <c r="AY8">
        <v>21</v>
      </c>
      <c r="AZ8">
        <v>2</v>
      </c>
      <c r="BA8">
        <v>20</v>
      </c>
      <c r="BB8">
        <v>9</v>
      </c>
      <c r="BC8">
        <v>55</v>
      </c>
      <c r="BD8">
        <v>0</v>
      </c>
      <c r="BE8">
        <v>6.5</v>
      </c>
      <c r="BF8">
        <v>50</v>
      </c>
      <c r="BG8">
        <v>16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15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C8">
        <v>0</v>
      </c>
      <c r="DD8">
        <v>0</v>
      </c>
      <c r="DE8">
        <v>0</v>
      </c>
      <c r="DF8">
        <v>0</v>
      </c>
      <c r="DH8">
        <v>0</v>
      </c>
      <c r="DI8">
        <v>0</v>
      </c>
    </row>
    <row r="9" spans="1:113" ht="15" customHeight="1" x14ac:dyDescent="0.25">
      <c r="A9" t="s">
        <v>1192</v>
      </c>
      <c r="B9" t="s">
        <v>1193</v>
      </c>
      <c r="C9" t="s">
        <v>1194</v>
      </c>
      <c r="D9" t="s">
        <v>1158</v>
      </c>
      <c r="E9" t="s">
        <v>1158</v>
      </c>
      <c r="F9" t="s">
        <v>1195</v>
      </c>
      <c r="G9">
        <v>2025</v>
      </c>
      <c r="H9" t="s">
        <v>1160</v>
      </c>
      <c r="I9" t="s">
        <v>143</v>
      </c>
      <c r="J9">
        <v>3</v>
      </c>
      <c r="K9">
        <v>34</v>
      </c>
      <c r="L9">
        <v>54</v>
      </c>
      <c r="M9">
        <v>372</v>
      </c>
      <c r="N9">
        <v>1</v>
      </c>
      <c r="O9">
        <v>2</v>
      </c>
      <c r="P9">
        <v>2</v>
      </c>
      <c r="Q9">
        <v>-14</v>
      </c>
      <c r="R9">
        <v>0</v>
      </c>
      <c r="S9">
        <v>0</v>
      </c>
      <c r="T9">
        <v>313</v>
      </c>
      <c r="U9">
        <v>213</v>
      </c>
      <c r="V9">
        <v>21</v>
      </c>
      <c r="W9">
        <v>3.8190098875594001</v>
      </c>
      <c r="X9">
        <v>2.0273486773173</v>
      </c>
      <c r="Y9">
        <v>0</v>
      </c>
      <c r="Z9">
        <v>1.18849840255591</v>
      </c>
      <c r="AA9">
        <v>12</v>
      </c>
      <c r="AB9">
        <v>55</v>
      </c>
      <c r="AC9">
        <v>1</v>
      </c>
      <c r="AD9">
        <v>2</v>
      </c>
      <c r="AE9">
        <v>1</v>
      </c>
      <c r="AF9">
        <v>6</v>
      </c>
      <c r="AG9">
        <v>-4.7993248036364102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S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4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C9">
        <v>0</v>
      </c>
      <c r="DD9">
        <v>0</v>
      </c>
      <c r="DE9">
        <v>0</v>
      </c>
      <c r="DF9">
        <v>0</v>
      </c>
      <c r="DH9">
        <v>24.38</v>
      </c>
      <c r="DI9">
        <v>24.38</v>
      </c>
    </row>
    <row r="10" spans="1:113" ht="15" customHeight="1" x14ac:dyDescent="0.25">
      <c r="A10" t="s">
        <v>1196</v>
      </c>
      <c r="B10" t="s">
        <v>1197</v>
      </c>
      <c r="C10" t="s">
        <v>1198</v>
      </c>
      <c r="D10" t="s">
        <v>1158</v>
      </c>
      <c r="E10" t="s">
        <v>1158</v>
      </c>
      <c r="F10" t="s">
        <v>1199</v>
      </c>
      <c r="G10">
        <v>2025</v>
      </c>
      <c r="H10" t="s">
        <v>1160</v>
      </c>
      <c r="I10" t="s">
        <v>1200</v>
      </c>
      <c r="J10">
        <v>17</v>
      </c>
      <c r="K10">
        <v>388</v>
      </c>
      <c r="L10">
        <v>597</v>
      </c>
      <c r="M10">
        <v>4707</v>
      </c>
      <c r="N10">
        <v>46</v>
      </c>
      <c r="O10">
        <v>8</v>
      </c>
      <c r="P10">
        <v>23</v>
      </c>
      <c r="Q10">
        <v>-150</v>
      </c>
      <c r="R10">
        <v>2</v>
      </c>
      <c r="S10">
        <v>2</v>
      </c>
      <c r="T10">
        <v>5428</v>
      </c>
      <c r="U10">
        <v>1850</v>
      </c>
      <c r="V10">
        <v>236</v>
      </c>
      <c r="W10">
        <v>150.45430748211399</v>
      </c>
      <c r="X10">
        <v>1.5916259021594601</v>
      </c>
      <c r="Y10">
        <v>0</v>
      </c>
      <c r="Z10">
        <v>0.86717022844509895</v>
      </c>
      <c r="AA10">
        <v>29</v>
      </c>
      <c r="AB10">
        <v>1</v>
      </c>
      <c r="AC10">
        <v>0</v>
      </c>
      <c r="AD10">
        <v>3</v>
      </c>
      <c r="AE10">
        <v>1</v>
      </c>
      <c r="AF10">
        <v>3</v>
      </c>
      <c r="AG10">
        <v>-31.835313609830301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</v>
      </c>
      <c r="BP10">
        <v>6</v>
      </c>
      <c r="BQ10">
        <v>0</v>
      </c>
      <c r="BR10">
        <v>0</v>
      </c>
      <c r="BS10">
        <v>0</v>
      </c>
      <c r="BT10">
        <v>1</v>
      </c>
      <c r="BU10">
        <v>12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C10">
        <v>0</v>
      </c>
      <c r="DD10">
        <v>0</v>
      </c>
      <c r="DE10">
        <v>0</v>
      </c>
      <c r="DF10">
        <v>0</v>
      </c>
      <c r="DH10">
        <v>350.38</v>
      </c>
      <c r="DI10">
        <v>350.38</v>
      </c>
    </row>
    <row r="11" spans="1:113" ht="15" customHeight="1" x14ac:dyDescent="0.25">
      <c r="A11" t="s">
        <v>1201</v>
      </c>
      <c r="B11" t="s">
        <v>1202</v>
      </c>
      <c r="C11" t="s">
        <v>1203</v>
      </c>
      <c r="D11" t="s">
        <v>1168</v>
      </c>
      <c r="E11" t="s">
        <v>1169</v>
      </c>
      <c r="F11" t="s">
        <v>1204</v>
      </c>
      <c r="G11">
        <v>2025</v>
      </c>
      <c r="H11" t="s">
        <v>1160</v>
      </c>
      <c r="I11" t="s">
        <v>139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9</v>
      </c>
      <c r="CA11">
        <v>10</v>
      </c>
      <c r="CB11">
        <v>1</v>
      </c>
      <c r="CC11">
        <v>0</v>
      </c>
      <c r="CD11">
        <v>55</v>
      </c>
      <c r="CE11">
        <v>0.9</v>
      </c>
      <c r="CF11">
        <v>0</v>
      </c>
      <c r="CG11">
        <v>3</v>
      </c>
      <c r="CH11">
        <v>4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 t="s">
        <v>1205</v>
      </c>
      <c r="CS11">
        <v>45</v>
      </c>
      <c r="CU11">
        <v>308</v>
      </c>
      <c r="CV11">
        <v>45</v>
      </c>
      <c r="CW11">
        <v>0</v>
      </c>
      <c r="CX11">
        <v>9</v>
      </c>
      <c r="CY11">
        <v>9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H11">
        <v>0</v>
      </c>
      <c r="DI11">
        <v>0</v>
      </c>
    </row>
    <row r="12" spans="1:113" ht="15" customHeight="1" x14ac:dyDescent="0.25">
      <c r="A12" t="s">
        <v>1206</v>
      </c>
      <c r="B12" t="s">
        <v>1207</v>
      </c>
      <c r="C12" t="s">
        <v>1208</v>
      </c>
      <c r="D12" t="s">
        <v>1209</v>
      </c>
      <c r="E12" t="s">
        <v>1169</v>
      </c>
      <c r="F12" t="s">
        <v>1210</v>
      </c>
      <c r="G12">
        <v>2025</v>
      </c>
      <c r="H12" t="s">
        <v>1160</v>
      </c>
      <c r="I12" t="s">
        <v>141</v>
      </c>
      <c r="J12">
        <v>15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Y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C12">
        <v>0</v>
      </c>
      <c r="DD12">
        <v>0</v>
      </c>
      <c r="DE12">
        <v>0</v>
      </c>
      <c r="DF12">
        <v>0</v>
      </c>
      <c r="DH12">
        <v>0</v>
      </c>
      <c r="DI12">
        <v>0</v>
      </c>
    </row>
    <row r="13" spans="1:113" ht="15" customHeight="1" x14ac:dyDescent="0.25">
      <c r="A13" t="s">
        <v>1211</v>
      </c>
      <c r="B13" t="s">
        <v>1212</v>
      </c>
      <c r="C13" t="s">
        <v>1213</v>
      </c>
      <c r="D13" t="s">
        <v>1214</v>
      </c>
      <c r="E13" t="s">
        <v>1169</v>
      </c>
      <c r="F13" t="s">
        <v>1215</v>
      </c>
      <c r="G13">
        <v>2025</v>
      </c>
      <c r="H13" t="s">
        <v>1160</v>
      </c>
      <c r="I13" t="s">
        <v>141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Y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S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C13">
        <v>0</v>
      </c>
      <c r="DD13">
        <v>0</v>
      </c>
      <c r="DE13">
        <v>0</v>
      </c>
      <c r="DF13">
        <v>0</v>
      </c>
      <c r="DH13">
        <v>0</v>
      </c>
      <c r="DI13">
        <v>0</v>
      </c>
    </row>
    <row r="14" spans="1:113" ht="15" customHeight="1" x14ac:dyDescent="0.25">
      <c r="A14" t="s">
        <v>1216</v>
      </c>
      <c r="B14" t="s">
        <v>1217</v>
      </c>
      <c r="C14" t="s">
        <v>1218</v>
      </c>
      <c r="D14" t="s">
        <v>1219</v>
      </c>
      <c r="E14" t="s">
        <v>1220</v>
      </c>
      <c r="F14" t="s">
        <v>1221</v>
      </c>
      <c r="G14">
        <v>2025</v>
      </c>
      <c r="H14" t="s">
        <v>1160</v>
      </c>
      <c r="I14" t="s">
        <v>141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Y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4</v>
      </c>
      <c r="BU14">
        <v>35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H14">
        <v>0</v>
      </c>
      <c r="DI14">
        <v>0</v>
      </c>
    </row>
    <row r="15" spans="1:113" ht="15" customHeight="1" x14ac:dyDescent="0.25">
      <c r="A15" t="s">
        <v>1222</v>
      </c>
      <c r="B15" t="s">
        <v>1223</v>
      </c>
      <c r="C15" t="s">
        <v>1224</v>
      </c>
      <c r="D15" t="s">
        <v>1189</v>
      </c>
      <c r="E15" t="s">
        <v>1190</v>
      </c>
      <c r="F15" t="s">
        <v>1225</v>
      </c>
      <c r="G15">
        <v>2025</v>
      </c>
      <c r="H15" t="s">
        <v>1160</v>
      </c>
      <c r="I15" t="s">
        <v>120</v>
      </c>
      <c r="J15">
        <v>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Y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S15">
        <v>0</v>
      </c>
      <c r="AU15">
        <v>0</v>
      </c>
      <c r="AV15">
        <v>0</v>
      </c>
      <c r="AW15">
        <v>0</v>
      </c>
      <c r="AX15">
        <v>0</v>
      </c>
      <c r="AY15">
        <v>4</v>
      </c>
      <c r="AZ15">
        <v>0</v>
      </c>
      <c r="BA15">
        <v>4</v>
      </c>
      <c r="BB15">
        <v>2</v>
      </c>
      <c r="BC15">
        <v>9</v>
      </c>
      <c r="BD15">
        <v>0</v>
      </c>
      <c r="BE15">
        <v>3</v>
      </c>
      <c r="BF15">
        <v>17</v>
      </c>
      <c r="BG15">
        <v>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C15">
        <v>0</v>
      </c>
      <c r="DD15">
        <v>0</v>
      </c>
      <c r="DE15">
        <v>0</v>
      </c>
      <c r="DF15">
        <v>0</v>
      </c>
      <c r="DH15">
        <v>0</v>
      </c>
      <c r="DI15">
        <v>0</v>
      </c>
    </row>
    <row r="16" spans="1:113" ht="15" customHeight="1" x14ac:dyDescent="0.25">
      <c r="A16" t="s">
        <v>1226</v>
      </c>
      <c r="B16" t="s">
        <v>1227</v>
      </c>
      <c r="C16" t="s">
        <v>1228</v>
      </c>
      <c r="D16" t="s">
        <v>1189</v>
      </c>
      <c r="E16" t="s">
        <v>1190</v>
      </c>
      <c r="F16" t="s">
        <v>1229</v>
      </c>
      <c r="G16">
        <v>2025</v>
      </c>
      <c r="H16" t="s">
        <v>1160</v>
      </c>
      <c r="I16" t="s">
        <v>126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Y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C16">
        <v>0</v>
      </c>
      <c r="DD16">
        <v>0</v>
      </c>
      <c r="DE16">
        <v>0</v>
      </c>
      <c r="DF16">
        <v>0</v>
      </c>
      <c r="DH16">
        <v>0</v>
      </c>
      <c r="DI16">
        <v>0</v>
      </c>
    </row>
    <row r="17" spans="1:113" ht="15" customHeight="1" x14ac:dyDescent="0.25">
      <c r="A17" t="s">
        <v>1230</v>
      </c>
      <c r="B17" t="s">
        <v>1231</v>
      </c>
      <c r="C17" t="s">
        <v>1232</v>
      </c>
      <c r="D17" t="s">
        <v>1233</v>
      </c>
      <c r="E17" t="s">
        <v>1234</v>
      </c>
      <c r="F17" t="s">
        <v>1235</v>
      </c>
      <c r="G17">
        <v>2025</v>
      </c>
      <c r="H17" t="s">
        <v>1160</v>
      </c>
      <c r="I17" t="s">
        <v>143</v>
      </c>
      <c r="J17">
        <v>14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Y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16</v>
      </c>
      <c r="AZ17">
        <v>0</v>
      </c>
      <c r="BA17">
        <v>10</v>
      </c>
      <c r="BB17">
        <v>6</v>
      </c>
      <c r="BC17">
        <v>41</v>
      </c>
      <c r="BD17">
        <v>0</v>
      </c>
      <c r="BE17">
        <v>9</v>
      </c>
      <c r="BF17">
        <v>66</v>
      </c>
      <c r="BG17">
        <v>15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C17">
        <v>0</v>
      </c>
      <c r="DD17">
        <v>0</v>
      </c>
      <c r="DE17">
        <v>0</v>
      </c>
      <c r="DF17">
        <v>0</v>
      </c>
      <c r="DH17">
        <v>0</v>
      </c>
      <c r="DI17">
        <v>0</v>
      </c>
    </row>
    <row r="18" spans="1:113" ht="15" customHeight="1" x14ac:dyDescent="0.25">
      <c r="A18" t="s">
        <v>1236</v>
      </c>
      <c r="B18" t="s">
        <v>1237</v>
      </c>
      <c r="C18" t="s">
        <v>1238</v>
      </c>
      <c r="D18" t="s">
        <v>1189</v>
      </c>
      <c r="E18" t="s">
        <v>1190</v>
      </c>
      <c r="F18" t="s">
        <v>1239</v>
      </c>
      <c r="G18">
        <v>2025</v>
      </c>
      <c r="H18" t="s">
        <v>1160</v>
      </c>
      <c r="I18" t="s">
        <v>138</v>
      </c>
      <c r="J18">
        <v>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AY18">
        <v>29</v>
      </c>
      <c r="AZ18">
        <v>3</v>
      </c>
      <c r="BA18">
        <v>15</v>
      </c>
      <c r="BB18">
        <v>15</v>
      </c>
      <c r="BC18">
        <v>70</v>
      </c>
      <c r="BD18">
        <v>2</v>
      </c>
      <c r="BE18">
        <v>10.5</v>
      </c>
      <c r="BF18">
        <v>64.5</v>
      </c>
      <c r="BG18">
        <v>15</v>
      </c>
      <c r="BH18">
        <v>0</v>
      </c>
      <c r="BI18">
        <v>0</v>
      </c>
      <c r="BJ18">
        <v>2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C18">
        <v>0</v>
      </c>
      <c r="DD18">
        <v>0</v>
      </c>
      <c r="DE18">
        <v>0</v>
      </c>
      <c r="DF18">
        <v>0</v>
      </c>
      <c r="DH18">
        <v>0</v>
      </c>
      <c r="DI18">
        <v>0</v>
      </c>
    </row>
    <row r="19" spans="1:113" ht="15" customHeight="1" x14ac:dyDescent="0.25">
      <c r="A19" t="s">
        <v>1240</v>
      </c>
      <c r="B19" t="s">
        <v>1241</v>
      </c>
      <c r="C19" t="s">
        <v>1242</v>
      </c>
      <c r="D19" t="s">
        <v>1243</v>
      </c>
      <c r="E19" t="s">
        <v>1190</v>
      </c>
      <c r="F19" t="s">
        <v>1244</v>
      </c>
      <c r="G19">
        <v>2025</v>
      </c>
      <c r="H19" t="s">
        <v>1160</v>
      </c>
      <c r="I19" t="s">
        <v>103</v>
      </c>
      <c r="J19">
        <v>17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S19">
        <v>0</v>
      </c>
      <c r="AU19">
        <v>0</v>
      </c>
      <c r="AV19">
        <v>0</v>
      </c>
      <c r="AW19">
        <v>0</v>
      </c>
      <c r="AX19">
        <v>0</v>
      </c>
      <c r="AY19">
        <v>36</v>
      </c>
      <c r="AZ19">
        <v>2</v>
      </c>
      <c r="BA19">
        <v>40</v>
      </c>
      <c r="BB19">
        <v>9</v>
      </c>
      <c r="BC19">
        <v>28</v>
      </c>
      <c r="BD19">
        <v>1</v>
      </c>
      <c r="BE19">
        <v>3.5</v>
      </c>
      <c r="BF19">
        <v>16</v>
      </c>
      <c r="BG19">
        <v>9</v>
      </c>
      <c r="BH19">
        <v>0</v>
      </c>
      <c r="BI19">
        <v>0</v>
      </c>
      <c r="BJ19">
        <v>6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4</v>
      </c>
      <c r="BU19">
        <v>40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C19">
        <v>0</v>
      </c>
      <c r="DD19">
        <v>0</v>
      </c>
      <c r="DE19">
        <v>0</v>
      </c>
      <c r="DF19">
        <v>0</v>
      </c>
      <c r="DH19">
        <v>0</v>
      </c>
      <c r="DI19">
        <v>0</v>
      </c>
    </row>
    <row r="20" spans="1:113" ht="15" customHeight="1" x14ac:dyDescent="0.25">
      <c r="A20" t="s">
        <v>1245</v>
      </c>
      <c r="B20" t="s">
        <v>1246</v>
      </c>
      <c r="C20" t="s">
        <v>1247</v>
      </c>
      <c r="D20" t="s">
        <v>1158</v>
      </c>
      <c r="E20" t="s">
        <v>1158</v>
      </c>
      <c r="F20" t="s">
        <v>1248</v>
      </c>
      <c r="G20">
        <v>2025</v>
      </c>
      <c r="H20" t="s">
        <v>1160</v>
      </c>
      <c r="I20" t="s">
        <v>96</v>
      </c>
      <c r="J20">
        <v>4</v>
      </c>
      <c r="K20">
        <v>25</v>
      </c>
      <c r="L20">
        <v>37</v>
      </c>
      <c r="M20">
        <v>293</v>
      </c>
      <c r="N20">
        <v>1</v>
      </c>
      <c r="O20">
        <v>1</v>
      </c>
      <c r="P20">
        <v>8</v>
      </c>
      <c r="Q20">
        <v>-54</v>
      </c>
      <c r="R20">
        <v>1</v>
      </c>
      <c r="S20">
        <v>1</v>
      </c>
      <c r="T20">
        <v>348</v>
      </c>
      <c r="U20">
        <v>90</v>
      </c>
      <c r="V20">
        <v>17</v>
      </c>
      <c r="W20">
        <v>-5.6616703778571704</v>
      </c>
      <c r="X20">
        <v>6.5959200263023403</v>
      </c>
      <c r="Y20">
        <v>0</v>
      </c>
      <c r="Z20">
        <v>0.84195402298850597</v>
      </c>
      <c r="AA20">
        <v>5</v>
      </c>
      <c r="AB20">
        <v>-2</v>
      </c>
      <c r="AC20">
        <v>0</v>
      </c>
      <c r="AD20">
        <v>1</v>
      </c>
      <c r="AE20">
        <v>1</v>
      </c>
      <c r="AF20">
        <v>1</v>
      </c>
      <c r="AG20">
        <v>-8.6591532202437502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H20">
        <v>9.52</v>
      </c>
      <c r="DI20">
        <v>9.52</v>
      </c>
    </row>
    <row r="21" spans="1:113" ht="15" customHeight="1" x14ac:dyDescent="0.25">
      <c r="A21" t="s">
        <v>1249</v>
      </c>
      <c r="B21" t="s">
        <v>1250</v>
      </c>
      <c r="C21" t="s">
        <v>1251</v>
      </c>
      <c r="D21" t="s">
        <v>1158</v>
      </c>
      <c r="E21" t="s">
        <v>1158</v>
      </c>
      <c r="F21" t="s">
        <v>1252</v>
      </c>
      <c r="G21">
        <v>2025</v>
      </c>
      <c r="H21" t="s">
        <v>1160</v>
      </c>
      <c r="I21" t="s">
        <v>101</v>
      </c>
      <c r="J21">
        <v>6</v>
      </c>
      <c r="K21">
        <v>80</v>
      </c>
      <c r="L21">
        <v>134</v>
      </c>
      <c r="M21">
        <v>779</v>
      </c>
      <c r="N21">
        <v>5</v>
      </c>
      <c r="O21">
        <v>5</v>
      </c>
      <c r="P21">
        <v>14</v>
      </c>
      <c r="Q21">
        <v>-82</v>
      </c>
      <c r="R21">
        <v>1</v>
      </c>
      <c r="S21">
        <v>1</v>
      </c>
      <c r="T21">
        <v>1145</v>
      </c>
      <c r="U21">
        <v>331</v>
      </c>
      <c r="V21">
        <v>41</v>
      </c>
      <c r="W21">
        <v>-13.3149107754829</v>
      </c>
      <c r="X21">
        <v>-0.87760287945664806</v>
      </c>
      <c r="Y21">
        <v>0</v>
      </c>
      <c r="Z21">
        <v>0.68034934497816602</v>
      </c>
      <c r="AA21">
        <v>27</v>
      </c>
      <c r="AB21">
        <v>143</v>
      </c>
      <c r="AC21">
        <v>1</v>
      </c>
      <c r="AD21">
        <v>0</v>
      </c>
      <c r="AE21">
        <v>0</v>
      </c>
      <c r="AF21">
        <v>10</v>
      </c>
      <c r="AG21">
        <v>5.4132444769544001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H21">
        <v>59.46</v>
      </c>
      <c r="DI21">
        <v>59.46</v>
      </c>
    </row>
    <row r="22" spans="1:113" ht="15" customHeight="1" x14ac:dyDescent="0.25">
      <c r="A22" t="s">
        <v>1253</v>
      </c>
      <c r="B22" t="s">
        <v>1254</v>
      </c>
      <c r="C22" t="s">
        <v>1255</v>
      </c>
      <c r="D22" t="s">
        <v>1234</v>
      </c>
      <c r="E22" t="s">
        <v>1234</v>
      </c>
      <c r="F22" t="s">
        <v>1256</v>
      </c>
      <c r="G22">
        <v>2025</v>
      </c>
      <c r="H22" t="s">
        <v>1160</v>
      </c>
      <c r="I22" t="s">
        <v>143</v>
      </c>
      <c r="J22">
        <v>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U22">
        <v>0</v>
      </c>
      <c r="AV22">
        <v>0</v>
      </c>
      <c r="AW22">
        <v>0</v>
      </c>
      <c r="AX22">
        <v>0</v>
      </c>
      <c r="AY22">
        <v>6</v>
      </c>
      <c r="AZ22">
        <v>0</v>
      </c>
      <c r="BA22">
        <v>6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H22">
        <v>0</v>
      </c>
      <c r="DI22">
        <v>0</v>
      </c>
    </row>
    <row r="23" spans="1:113" ht="15" customHeight="1" x14ac:dyDescent="0.25">
      <c r="A23" t="s">
        <v>1257</v>
      </c>
      <c r="B23" t="s">
        <v>1258</v>
      </c>
      <c r="C23" t="s">
        <v>1259</v>
      </c>
      <c r="D23" t="s">
        <v>1214</v>
      </c>
      <c r="E23" t="s">
        <v>1169</v>
      </c>
      <c r="F23" t="s">
        <v>1260</v>
      </c>
      <c r="G23">
        <v>2025</v>
      </c>
      <c r="H23" t="s">
        <v>1160</v>
      </c>
      <c r="I23" t="s">
        <v>1200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H23">
        <v>0</v>
      </c>
      <c r="DI23">
        <v>0</v>
      </c>
    </row>
    <row r="24" spans="1:113" ht="15" customHeight="1" x14ac:dyDescent="0.25">
      <c r="A24" t="s">
        <v>1261</v>
      </c>
      <c r="B24" t="s">
        <v>1262</v>
      </c>
      <c r="C24" t="s">
        <v>1263</v>
      </c>
      <c r="D24" t="s">
        <v>1214</v>
      </c>
      <c r="E24" t="s">
        <v>1169</v>
      </c>
      <c r="F24" t="s">
        <v>1264</v>
      </c>
      <c r="G24">
        <v>2025</v>
      </c>
      <c r="H24" t="s">
        <v>1160</v>
      </c>
      <c r="I24" t="s">
        <v>131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C24">
        <v>0</v>
      </c>
      <c r="DD24">
        <v>0</v>
      </c>
      <c r="DE24">
        <v>0</v>
      </c>
      <c r="DF24">
        <v>0</v>
      </c>
      <c r="DH24">
        <v>0</v>
      </c>
      <c r="DI24">
        <v>0</v>
      </c>
    </row>
    <row r="25" spans="1:113" ht="15" customHeight="1" x14ac:dyDescent="0.25">
      <c r="A25" t="s">
        <v>1265</v>
      </c>
      <c r="B25" t="s">
        <v>1266</v>
      </c>
      <c r="C25" t="s">
        <v>1267</v>
      </c>
      <c r="D25" t="s">
        <v>1209</v>
      </c>
      <c r="E25" t="s">
        <v>1169</v>
      </c>
      <c r="F25" t="s">
        <v>1268</v>
      </c>
      <c r="G25">
        <v>2025</v>
      </c>
      <c r="H25" t="s">
        <v>1160</v>
      </c>
      <c r="I25" t="s">
        <v>142</v>
      </c>
      <c r="J25">
        <v>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3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C25">
        <v>0</v>
      </c>
      <c r="DD25">
        <v>0</v>
      </c>
      <c r="DE25">
        <v>0</v>
      </c>
      <c r="DF25">
        <v>0</v>
      </c>
      <c r="DH25">
        <v>0</v>
      </c>
      <c r="DI25">
        <v>0</v>
      </c>
    </row>
    <row r="26" spans="1:113" ht="15" customHeight="1" x14ac:dyDescent="0.25">
      <c r="A26" t="s">
        <v>1269</v>
      </c>
      <c r="B26" t="s">
        <v>1270</v>
      </c>
      <c r="C26" t="s">
        <v>1271</v>
      </c>
      <c r="D26" t="s">
        <v>1214</v>
      </c>
      <c r="E26" t="s">
        <v>1169</v>
      </c>
      <c r="F26" t="s">
        <v>1272</v>
      </c>
      <c r="G26">
        <v>2025</v>
      </c>
      <c r="H26" t="s">
        <v>1160</v>
      </c>
      <c r="I26" t="s">
        <v>90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C26">
        <v>0</v>
      </c>
      <c r="DD26">
        <v>0</v>
      </c>
      <c r="DE26">
        <v>0</v>
      </c>
      <c r="DF26">
        <v>0</v>
      </c>
      <c r="DH26">
        <v>0</v>
      </c>
      <c r="DI26">
        <v>0</v>
      </c>
    </row>
    <row r="27" spans="1:113" ht="15" customHeight="1" x14ac:dyDescent="0.25">
      <c r="A27" t="s">
        <v>1273</v>
      </c>
      <c r="B27" t="s">
        <v>1274</v>
      </c>
      <c r="C27" t="s">
        <v>1275</v>
      </c>
      <c r="D27" t="s">
        <v>1214</v>
      </c>
      <c r="E27" t="s">
        <v>1169</v>
      </c>
      <c r="F27" t="s">
        <v>1276</v>
      </c>
      <c r="G27">
        <v>2025</v>
      </c>
      <c r="H27" t="s">
        <v>1160</v>
      </c>
      <c r="I27" t="s">
        <v>120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C27">
        <v>0</v>
      </c>
      <c r="DD27">
        <v>0</v>
      </c>
      <c r="DE27">
        <v>0</v>
      </c>
      <c r="DF27">
        <v>0</v>
      </c>
      <c r="DH27">
        <v>0</v>
      </c>
      <c r="DI27">
        <v>0</v>
      </c>
    </row>
    <row r="28" spans="1:113" ht="15" customHeight="1" x14ac:dyDescent="0.25">
      <c r="A28" t="s">
        <v>1277</v>
      </c>
      <c r="B28" t="s">
        <v>1278</v>
      </c>
      <c r="C28" t="s">
        <v>1279</v>
      </c>
      <c r="D28" t="s">
        <v>1280</v>
      </c>
      <c r="E28" t="s">
        <v>1234</v>
      </c>
      <c r="F28" t="s">
        <v>1281</v>
      </c>
      <c r="G28">
        <v>2025</v>
      </c>
      <c r="H28" t="s">
        <v>1160</v>
      </c>
      <c r="I28" t="s">
        <v>143</v>
      </c>
      <c r="J28">
        <v>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Y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75</v>
      </c>
      <c r="AZ28">
        <v>4</v>
      </c>
      <c r="BA28">
        <v>83</v>
      </c>
      <c r="BB28">
        <v>8</v>
      </c>
      <c r="BC28">
        <v>35</v>
      </c>
      <c r="BD28">
        <v>0</v>
      </c>
      <c r="BE28">
        <v>4.5</v>
      </c>
      <c r="BF28">
        <v>22.5</v>
      </c>
      <c r="BG28">
        <v>9</v>
      </c>
      <c r="BH28">
        <v>2</v>
      </c>
      <c r="BI28">
        <v>7</v>
      </c>
      <c r="BJ28">
        <v>4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C28">
        <v>0</v>
      </c>
      <c r="DD28">
        <v>0</v>
      </c>
      <c r="DE28">
        <v>0</v>
      </c>
      <c r="DF28">
        <v>0</v>
      </c>
      <c r="DH28">
        <v>0</v>
      </c>
      <c r="DI28">
        <v>0</v>
      </c>
    </row>
    <row r="29" spans="1:113" ht="15" customHeight="1" x14ac:dyDescent="0.25">
      <c r="A29" t="s">
        <v>1282</v>
      </c>
      <c r="B29" t="s">
        <v>1283</v>
      </c>
      <c r="C29" t="s">
        <v>1284</v>
      </c>
      <c r="D29" t="s">
        <v>1158</v>
      </c>
      <c r="E29" t="s">
        <v>1158</v>
      </c>
      <c r="F29" t="s">
        <v>1285</v>
      </c>
      <c r="G29">
        <v>2025</v>
      </c>
      <c r="H29" t="s">
        <v>1160</v>
      </c>
      <c r="I29" t="s">
        <v>139</v>
      </c>
      <c r="J29">
        <v>6</v>
      </c>
      <c r="K29">
        <v>69</v>
      </c>
      <c r="L29">
        <v>119</v>
      </c>
      <c r="M29">
        <v>831</v>
      </c>
      <c r="N29">
        <v>3</v>
      </c>
      <c r="O29">
        <v>3</v>
      </c>
      <c r="P29">
        <v>10</v>
      </c>
      <c r="Q29">
        <v>-66</v>
      </c>
      <c r="R29">
        <v>2</v>
      </c>
      <c r="S29">
        <v>0</v>
      </c>
      <c r="T29">
        <v>1058</v>
      </c>
      <c r="U29">
        <v>376</v>
      </c>
      <c r="V29">
        <v>32</v>
      </c>
      <c r="W29">
        <v>-15.6764519892427</v>
      </c>
      <c r="X29">
        <v>-1.47996957695812</v>
      </c>
      <c r="Y29">
        <v>0</v>
      </c>
      <c r="Z29">
        <v>0.78544423440453703</v>
      </c>
      <c r="AA29">
        <v>18</v>
      </c>
      <c r="AB29">
        <v>106</v>
      </c>
      <c r="AC29">
        <v>0</v>
      </c>
      <c r="AD29">
        <v>1</v>
      </c>
      <c r="AE29">
        <v>0</v>
      </c>
      <c r="AF29">
        <v>6</v>
      </c>
      <c r="AG29">
        <v>-1.28636391573001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S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2</v>
      </c>
      <c r="BQ29">
        <v>0</v>
      </c>
      <c r="BR29">
        <v>0</v>
      </c>
      <c r="BS29">
        <v>0</v>
      </c>
      <c r="BT29">
        <v>1</v>
      </c>
      <c r="BU29">
        <v>10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H29">
        <v>49.84</v>
      </c>
      <c r="DI29">
        <v>49.84</v>
      </c>
    </row>
    <row r="30" spans="1:113" ht="15" customHeight="1" x14ac:dyDescent="0.25">
      <c r="A30" t="s">
        <v>1286</v>
      </c>
      <c r="B30" t="s">
        <v>1287</v>
      </c>
      <c r="C30" t="s">
        <v>1288</v>
      </c>
      <c r="D30" t="s">
        <v>1219</v>
      </c>
      <c r="E30" t="s">
        <v>1220</v>
      </c>
      <c r="F30" t="s">
        <v>1289</v>
      </c>
      <c r="G30">
        <v>2025</v>
      </c>
      <c r="H30" t="s">
        <v>1160</v>
      </c>
      <c r="I30" t="s">
        <v>90</v>
      </c>
      <c r="J30">
        <v>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7</v>
      </c>
      <c r="BU30">
        <v>46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H30">
        <v>0</v>
      </c>
      <c r="DI30">
        <v>0</v>
      </c>
    </row>
    <row r="31" spans="1:113" ht="15" customHeight="1" x14ac:dyDescent="0.25">
      <c r="A31" t="s">
        <v>1290</v>
      </c>
      <c r="B31" t="s">
        <v>1291</v>
      </c>
      <c r="C31" t="s">
        <v>1292</v>
      </c>
      <c r="D31" t="s">
        <v>1233</v>
      </c>
      <c r="E31" t="s">
        <v>1234</v>
      </c>
      <c r="F31" t="s">
        <v>1293</v>
      </c>
      <c r="G31">
        <v>2025</v>
      </c>
      <c r="H31" t="s">
        <v>1160</v>
      </c>
      <c r="I31" t="s">
        <v>126</v>
      </c>
      <c r="J31">
        <v>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S31">
        <v>0</v>
      </c>
      <c r="AU31">
        <v>0</v>
      </c>
      <c r="AV31">
        <v>0</v>
      </c>
      <c r="AW31">
        <v>0</v>
      </c>
      <c r="AX31">
        <v>0</v>
      </c>
      <c r="AY31">
        <v>59</v>
      </c>
      <c r="AZ31">
        <v>2</v>
      </c>
      <c r="BA31">
        <v>53</v>
      </c>
      <c r="BB31">
        <v>8</v>
      </c>
      <c r="BC31">
        <v>34</v>
      </c>
      <c r="BD31">
        <v>2</v>
      </c>
      <c r="BE31">
        <v>3.5</v>
      </c>
      <c r="BF31">
        <v>27</v>
      </c>
      <c r="BG31">
        <v>6</v>
      </c>
      <c r="BH31">
        <v>1</v>
      </c>
      <c r="BI31">
        <v>3</v>
      </c>
      <c r="BJ31">
        <v>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</v>
      </c>
      <c r="BR31">
        <v>2</v>
      </c>
      <c r="BS31">
        <v>0</v>
      </c>
      <c r="BT31">
        <v>2</v>
      </c>
      <c r="BU31">
        <v>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H31">
        <v>0</v>
      </c>
      <c r="DI31">
        <v>0</v>
      </c>
    </row>
    <row r="32" spans="1:113" ht="15" customHeight="1" x14ac:dyDescent="0.25">
      <c r="A32" t="s">
        <v>1294</v>
      </c>
      <c r="B32" t="s">
        <v>1295</v>
      </c>
      <c r="C32" t="s">
        <v>1296</v>
      </c>
      <c r="D32" t="s">
        <v>1297</v>
      </c>
      <c r="E32" t="s">
        <v>1220</v>
      </c>
      <c r="F32" t="s">
        <v>1298</v>
      </c>
      <c r="G32">
        <v>2025</v>
      </c>
      <c r="H32" t="s">
        <v>1160</v>
      </c>
      <c r="I32" t="s">
        <v>142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</v>
      </c>
      <c r="BU32">
        <v>30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H32">
        <v>0</v>
      </c>
      <c r="DI32">
        <v>0</v>
      </c>
    </row>
    <row r="33" spans="1:113" ht="15" customHeight="1" x14ac:dyDescent="0.25">
      <c r="A33" t="s">
        <v>1299</v>
      </c>
      <c r="B33" t="s">
        <v>1300</v>
      </c>
      <c r="C33" t="s">
        <v>1301</v>
      </c>
      <c r="D33" t="s">
        <v>1158</v>
      </c>
      <c r="E33" t="s">
        <v>1158</v>
      </c>
      <c r="F33" t="s">
        <v>1302</v>
      </c>
      <c r="G33">
        <v>2025</v>
      </c>
      <c r="H33" t="s">
        <v>1160</v>
      </c>
      <c r="I33" t="s">
        <v>93</v>
      </c>
      <c r="J33">
        <v>10</v>
      </c>
      <c r="K33">
        <v>166</v>
      </c>
      <c r="L33">
        <v>269</v>
      </c>
      <c r="M33">
        <v>1721</v>
      </c>
      <c r="N33">
        <v>10</v>
      </c>
      <c r="O33">
        <v>5</v>
      </c>
      <c r="P33">
        <v>13</v>
      </c>
      <c r="Q33">
        <v>-79</v>
      </c>
      <c r="R33">
        <v>2</v>
      </c>
      <c r="S33">
        <v>0</v>
      </c>
      <c r="T33">
        <v>1870</v>
      </c>
      <c r="U33">
        <v>983</v>
      </c>
      <c r="V33">
        <v>86</v>
      </c>
      <c r="W33">
        <v>-0.93079827776230295</v>
      </c>
      <c r="X33">
        <v>-2.79932229542265</v>
      </c>
      <c r="Y33">
        <v>0</v>
      </c>
      <c r="Z33">
        <v>0.92032085561497301</v>
      </c>
      <c r="AA33">
        <v>14</v>
      </c>
      <c r="AB33">
        <v>7</v>
      </c>
      <c r="AC33">
        <v>1</v>
      </c>
      <c r="AD33">
        <v>1</v>
      </c>
      <c r="AE33">
        <v>1</v>
      </c>
      <c r="AF33">
        <v>5</v>
      </c>
      <c r="AG33">
        <v>-2.4924185620911898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2</v>
      </c>
      <c r="BQ33">
        <v>0</v>
      </c>
      <c r="BR33">
        <v>0</v>
      </c>
      <c r="BS33">
        <v>0</v>
      </c>
      <c r="BT33">
        <v>2</v>
      </c>
      <c r="BU33">
        <v>23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C33">
        <v>0</v>
      </c>
      <c r="DD33">
        <v>0</v>
      </c>
      <c r="DE33">
        <v>0</v>
      </c>
      <c r="DF33">
        <v>0</v>
      </c>
      <c r="DH33">
        <v>103.54</v>
      </c>
      <c r="DI33">
        <v>103.54</v>
      </c>
    </row>
    <row r="34" spans="1:113" ht="15" customHeight="1" x14ac:dyDescent="0.25">
      <c r="A34" t="s">
        <v>1303</v>
      </c>
      <c r="B34" t="s">
        <v>1304</v>
      </c>
      <c r="C34" t="s">
        <v>1305</v>
      </c>
      <c r="D34" t="s">
        <v>1306</v>
      </c>
      <c r="E34" t="s">
        <v>1307</v>
      </c>
      <c r="F34" t="s">
        <v>1308</v>
      </c>
      <c r="G34">
        <v>2025</v>
      </c>
      <c r="H34" t="s">
        <v>1160</v>
      </c>
      <c r="I34" t="s">
        <v>137</v>
      </c>
      <c r="J34">
        <v>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Y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U34">
        <v>0</v>
      </c>
      <c r="AV34">
        <v>0</v>
      </c>
      <c r="AW34">
        <v>0</v>
      </c>
      <c r="AX34">
        <v>0</v>
      </c>
      <c r="AY34">
        <v>37</v>
      </c>
      <c r="AZ34">
        <v>0</v>
      </c>
      <c r="BA34">
        <v>17</v>
      </c>
      <c r="BB34">
        <v>3</v>
      </c>
      <c r="BC34">
        <v>13</v>
      </c>
      <c r="BD34">
        <v>1</v>
      </c>
      <c r="BE34">
        <v>1</v>
      </c>
      <c r="BF34">
        <v>7</v>
      </c>
      <c r="BG34">
        <v>2</v>
      </c>
      <c r="BH34">
        <v>2</v>
      </c>
      <c r="BI34">
        <v>12</v>
      </c>
      <c r="BJ34">
        <v>10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0</v>
      </c>
      <c r="BT34">
        <v>2</v>
      </c>
      <c r="BU34">
        <v>37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C34">
        <v>0</v>
      </c>
      <c r="DD34">
        <v>0</v>
      </c>
      <c r="DE34">
        <v>0</v>
      </c>
      <c r="DF34">
        <v>0</v>
      </c>
      <c r="DH34">
        <v>0</v>
      </c>
      <c r="DI34">
        <v>0</v>
      </c>
    </row>
    <row r="35" spans="1:113" ht="15" customHeight="1" x14ac:dyDescent="0.25">
      <c r="A35" t="s">
        <v>1309</v>
      </c>
      <c r="B35" t="s">
        <v>1310</v>
      </c>
      <c r="C35" t="s">
        <v>1311</v>
      </c>
      <c r="D35" t="s">
        <v>1233</v>
      </c>
      <c r="E35" t="s">
        <v>1234</v>
      </c>
      <c r="F35" t="s">
        <v>1312</v>
      </c>
      <c r="G35">
        <v>2025</v>
      </c>
      <c r="H35" t="s">
        <v>1160</v>
      </c>
      <c r="I35" t="s">
        <v>138</v>
      </c>
      <c r="J35">
        <v>17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61</v>
      </c>
      <c r="AZ35">
        <v>3</v>
      </c>
      <c r="BA35">
        <v>79</v>
      </c>
      <c r="BB35">
        <v>6</v>
      </c>
      <c r="BC35">
        <v>12</v>
      </c>
      <c r="BD35">
        <v>2</v>
      </c>
      <c r="BE35">
        <v>0.5</v>
      </c>
      <c r="BF35">
        <v>4</v>
      </c>
      <c r="BG35">
        <v>2</v>
      </c>
      <c r="BH35">
        <v>0</v>
      </c>
      <c r="BI35">
        <v>0</v>
      </c>
      <c r="BJ35">
        <v>3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2</v>
      </c>
      <c r="BU35">
        <v>17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C35">
        <v>0</v>
      </c>
      <c r="DD35">
        <v>0</v>
      </c>
      <c r="DE35">
        <v>0</v>
      </c>
      <c r="DF35">
        <v>0</v>
      </c>
      <c r="DH35">
        <v>0</v>
      </c>
      <c r="DI35">
        <v>0</v>
      </c>
    </row>
    <row r="36" spans="1:113" ht="15" customHeight="1" x14ac:dyDescent="0.25">
      <c r="A36" t="s">
        <v>1313</v>
      </c>
      <c r="B36" t="s">
        <v>1314</v>
      </c>
      <c r="C36" t="s">
        <v>1315</v>
      </c>
      <c r="D36" t="s">
        <v>1297</v>
      </c>
      <c r="E36" t="s">
        <v>1220</v>
      </c>
      <c r="F36" t="s">
        <v>1316</v>
      </c>
      <c r="G36">
        <v>2025</v>
      </c>
      <c r="H36" t="s">
        <v>1160</v>
      </c>
      <c r="I36" t="s">
        <v>139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Y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</v>
      </c>
      <c r="BU36">
        <v>10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C36">
        <v>0</v>
      </c>
      <c r="DD36">
        <v>0</v>
      </c>
      <c r="DE36">
        <v>0</v>
      </c>
      <c r="DF36">
        <v>0</v>
      </c>
      <c r="DH36">
        <v>0</v>
      </c>
      <c r="DI36">
        <v>0</v>
      </c>
    </row>
    <row r="37" spans="1:113" ht="15" customHeight="1" x14ac:dyDescent="0.25">
      <c r="A37" t="s">
        <v>1317</v>
      </c>
      <c r="B37" t="s">
        <v>1318</v>
      </c>
      <c r="C37" t="s">
        <v>1319</v>
      </c>
      <c r="D37" t="s">
        <v>1209</v>
      </c>
      <c r="E37" t="s">
        <v>1169</v>
      </c>
      <c r="F37" t="s">
        <v>1320</v>
      </c>
      <c r="G37">
        <v>2025</v>
      </c>
      <c r="H37" t="s">
        <v>1160</v>
      </c>
      <c r="I37" t="s">
        <v>112</v>
      </c>
      <c r="J37">
        <v>17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Y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S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C37">
        <v>0</v>
      </c>
      <c r="DD37">
        <v>0</v>
      </c>
      <c r="DE37">
        <v>0</v>
      </c>
      <c r="DF37">
        <v>0</v>
      </c>
      <c r="DH37">
        <v>0</v>
      </c>
      <c r="DI37">
        <v>0</v>
      </c>
    </row>
    <row r="38" spans="1:113" ht="15" customHeight="1" x14ac:dyDescent="0.25">
      <c r="A38" t="s">
        <v>1321</v>
      </c>
      <c r="B38" t="s">
        <v>1322</v>
      </c>
      <c r="C38" t="s">
        <v>1323</v>
      </c>
      <c r="D38" t="s">
        <v>1214</v>
      </c>
      <c r="E38" t="s">
        <v>1169</v>
      </c>
      <c r="F38" t="s">
        <v>1324</v>
      </c>
      <c r="G38">
        <v>2025</v>
      </c>
      <c r="H38" t="s">
        <v>1160</v>
      </c>
      <c r="I38" t="s">
        <v>137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C38">
        <v>0</v>
      </c>
      <c r="DD38">
        <v>0</v>
      </c>
      <c r="DE38">
        <v>0</v>
      </c>
      <c r="DF38">
        <v>0</v>
      </c>
      <c r="DH38">
        <v>0</v>
      </c>
      <c r="DI38">
        <v>0</v>
      </c>
    </row>
    <row r="39" spans="1:113" ht="15" customHeight="1" x14ac:dyDescent="0.25">
      <c r="A39" t="s">
        <v>1325</v>
      </c>
      <c r="B39" t="s">
        <v>1326</v>
      </c>
      <c r="C39" t="s">
        <v>1327</v>
      </c>
      <c r="D39" t="s">
        <v>1168</v>
      </c>
      <c r="E39" t="s">
        <v>1169</v>
      </c>
      <c r="F39" t="s">
        <v>1328</v>
      </c>
      <c r="G39">
        <v>2025</v>
      </c>
      <c r="H39" t="s">
        <v>1160</v>
      </c>
      <c r="I39" t="s">
        <v>118</v>
      </c>
      <c r="J39">
        <v>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Y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S39">
        <v>0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24</v>
      </c>
      <c r="CA39">
        <v>30</v>
      </c>
      <c r="CB39">
        <v>5</v>
      </c>
      <c r="CC39">
        <v>1</v>
      </c>
      <c r="CD39">
        <v>56</v>
      </c>
      <c r="CE39">
        <v>0.8</v>
      </c>
      <c r="CF39">
        <v>0</v>
      </c>
      <c r="CG39">
        <v>10</v>
      </c>
      <c r="CH39">
        <v>8</v>
      </c>
      <c r="CI39">
        <v>3</v>
      </c>
      <c r="CJ39">
        <v>3</v>
      </c>
      <c r="CK39">
        <v>0</v>
      </c>
      <c r="CL39">
        <v>0</v>
      </c>
      <c r="CM39">
        <v>0</v>
      </c>
      <c r="CN39">
        <v>0</v>
      </c>
      <c r="CO39">
        <v>3</v>
      </c>
      <c r="CP39">
        <v>1</v>
      </c>
      <c r="CQ39">
        <v>1</v>
      </c>
      <c r="CR39" t="s">
        <v>1329</v>
      </c>
      <c r="CS39" t="s">
        <v>1330</v>
      </c>
      <c r="CT39">
        <v>43</v>
      </c>
      <c r="CU39">
        <v>827</v>
      </c>
      <c r="CV39">
        <v>256</v>
      </c>
      <c r="CW39">
        <v>43</v>
      </c>
      <c r="CX39">
        <v>32</v>
      </c>
      <c r="CY39">
        <v>33</v>
      </c>
      <c r="CZ39">
        <v>0</v>
      </c>
      <c r="DA39">
        <v>1</v>
      </c>
      <c r="DB39">
        <v>0.96969696969696995</v>
      </c>
      <c r="DC39">
        <v>0</v>
      </c>
      <c r="DD39">
        <v>0</v>
      </c>
      <c r="DE39">
        <v>0</v>
      </c>
      <c r="DF39">
        <v>0</v>
      </c>
      <c r="DH39">
        <v>0</v>
      </c>
      <c r="DI39">
        <v>0</v>
      </c>
    </row>
    <row r="40" spans="1:113" ht="15" customHeight="1" x14ac:dyDescent="0.25">
      <c r="A40" t="s">
        <v>1331</v>
      </c>
      <c r="B40" t="s">
        <v>1332</v>
      </c>
      <c r="C40" t="s">
        <v>1333</v>
      </c>
      <c r="D40" t="s">
        <v>1334</v>
      </c>
      <c r="E40" t="s">
        <v>431</v>
      </c>
      <c r="F40" t="s">
        <v>1335</v>
      </c>
      <c r="G40">
        <v>2025</v>
      </c>
      <c r="H40" t="s">
        <v>1160</v>
      </c>
      <c r="I40" t="s">
        <v>141</v>
      </c>
      <c r="J40">
        <v>16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AA40">
        <v>2</v>
      </c>
      <c r="AB40">
        <v>-3</v>
      </c>
      <c r="AC40">
        <v>0</v>
      </c>
      <c r="AD40">
        <v>0</v>
      </c>
      <c r="AE40">
        <v>0</v>
      </c>
      <c r="AF40">
        <v>0</v>
      </c>
      <c r="AG40">
        <v>-3.4974754005670499</v>
      </c>
      <c r="AH40">
        <v>0</v>
      </c>
      <c r="AI40">
        <v>24</v>
      </c>
      <c r="AJ40">
        <v>28</v>
      </c>
      <c r="AK40">
        <v>213</v>
      </c>
      <c r="AL40">
        <v>2</v>
      </c>
      <c r="AM40">
        <v>0</v>
      </c>
      <c r="AN40">
        <v>0</v>
      </c>
      <c r="AO40">
        <v>120</v>
      </c>
      <c r="AP40">
        <v>109</v>
      </c>
      <c r="AQ40">
        <v>10</v>
      </c>
      <c r="AR40">
        <v>7.4226890297723003</v>
      </c>
      <c r="AS40">
        <v>0</v>
      </c>
      <c r="AT40">
        <v>1.7749999999999999</v>
      </c>
      <c r="AU40">
        <v>5.0909090909090897E-2</v>
      </c>
      <c r="AV40">
        <v>2.7932960893854799E-2</v>
      </c>
      <c r="AW40">
        <v>9.5916708989334701E-2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C40">
        <v>0</v>
      </c>
      <c r="DD40">
        <v>0</v>
      </c>
      <c r="DE40">
        <v>0</v>
      </c>
      <c r="DF40">
        <v>0</v>
      </c>
      <c r="DH40">
        <v>33</v>
      </c>
      <c r="DI40">
        <v>57</v>
      </c>
    </row>
    <row r="41" spans="1:113" ht="15" customHeight="1" x14ac:dyDescent="0.25">
      <c r="A41" t="s">
        <v>1336</v>
      </c>
      <c r="B41" t="s">
        <v>1337</v>
      </c>
      <c r="C41" t="s">
        <v>1338</v>
      </c>
      <c r="D41" t="s">
        <v>1219</v>
      </c>
      <c r="E41" t="s">
        <v>1220</v>
      </c>
      <c r="F41" t="s">
        <v>1339</v>
      </c>
      <c r="G41">
        <v>2025</v>
      </c>
      <c r="H41" t="s">
        <v>1160</v>
      </c>
      <c r="I41" t="s">
        <v>111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H41">
        <v>0</v>
      </c>
      <c r="DI41">
        <v>0</v>
      </c>
    </row>
    <row r="42" spans="1:113" ht="15" customHeight="1" x14ac:dyDescent="0.25">
      <c r="A42" t="s">
        <v>1340</v>
      </c>
      <c r="B42" t="s">
        <v>1341</v>
      </c>
      <c r="C42" t="s">
        <v>1342</v>
      </c>
      <c r="D42" t="s">
        <v>10</v>
      </c>
      <c r="E42" t="s">
        <v>10</v>
      </c>
      <c r="F42" t="s">
        <v>1343</v>
      </c>
      <c r="G42">
        <v>2025</v>
      </c>
      <c r="H42" t="s">
        <v>1160</v>
      </c>
      <c r="I42" t="s">
        <v>103</v>
      </c>
      <c r="J42">
        <v>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>
        <v>0</v>
      </c>
      <c r="AI42">
        <v>19</v>
      </c>
      <c r="AJ42">
        <v>35</v>
      </c>
      <c r="AK42">
        <v>186</v>
      </c>
      <c r="AL42">
        <v>0</v>
      </c>
      <c r="AM42">
        <v>0</v>
      </c>
      <c r="AN42">
        <v>0</v>
      </c>
      <c r="AO42">
        <v>306</v>
      </c>
      <c r="AP42">
        <v>44</v>
      </c>
      <c r="AQ42">
        <v>10</v>
      </c>
      <c r="AR42">
        <v>5.17950284502888</v>
      </c>
      <c r="AS42">
        <v>1</v>
      </c>
      <c r="AT42">
        <v>0.60784313725490202</v>
      </c>
      <c r="AU42">
        <v>7.4786324786324798E-2</v>
      </c>
      <c r="AV42">
        <v>8.1447963800904993E-2</v>
      </c>
      <c r="AW42">
        <v>0.16919306184012101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C42">
        <v>0</v>
      </c>
      <c r="DD42">
        <v>0</v>
      </c>
      <c r="DE42">
        <v>0</v>
      </c>
      <c r="DF42">
        <v>0</v>
      </c>
      <c r="DH42">
        <v>20.6</v>
      </c>
      <c r="DI42">
        <v>39.6</v>
      </c>
    </row>
    <row r="43" spans="1:113" ht="15" customHeight="1" x14ac:dyDescent="0.25">
      <c r="A43" t="s">
        <v>1344</v>
      </c>
      <c r="B43" t="s">
        <v>1345</v>
      </c>
      <c r="C43" t="s">
        <v>1027</v>
      </c>
      <c r="D43" t="s">
        <v>439</v>
      </c>
      <c r="E43" t="s">
        <v>439</v>
      </c>
      <c r="F43" t="s">
        <v>1346</v>
      </c>
      <c r="G43">
        <v>2025</v>
      </c>
      <c r="H43" t="s">
        <v>1160</v>
      </c>
      <c r="I43" t="s">
        <v>143</v>
      </c>
      <c r="J43">
        <v>13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Y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>
        <v>0</v>
      </c>
      <c r="AI43">
        <v>50</v>
      </c>
      <c r="AJ43">
        <v>72</v>
      </c>
      <c r="AK43">
        <v>504</v>
      </c>
      <c r="AL43">
        <v>4</v>
      </c>
      <c r="AM43">
        <v>1</v>
      </c>
      <c r="AN43">
        <v>0</v>
      </c>
      <c r="AO43">
        <v>656</v>
      </c>
      <c r="AP43">
        <v>123</v>
      </c>
      <c r="AQ43">
        <v>26</v>
      </c>
      <c r="AR43">
        <v>11.7102959396067</v>
      </c>
      <c r="AS43">
        <v>1</v>
      </c>
      <c r="AT43">
        <v>0.76829268292682895</v>
      </c>
      <c r="AU43">
        <v>0.16666666666666699</v>
      </c>
      <c r="AV43">
        <v>0.16408204102050999</v>
      </c>
      <c r="AW43">
        <v>0.364857428714357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5</v>
      </c>
      <c r="BU43">
        <v>25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C43">
        <v>0</v>
      </c>
      <c r="DD43">
        <v>0</v>
      </c>
      <c r="DE43">
        <v>0</v>
      </c>
      <c r="DF43">
        <v>0</v>
      </c>
      <c r="DH43">
        <v>76.400000000000006</v>
      </c>
      <c r="DI43">
        <v>126.4</v>
      </c>
    </row>
    <row r="44" spans="1:113" ht="15" customHeight="1" x14ac:dyDescent="0.25">
      <c r="A44" t="s">
        <v>1347</v>
      </c>
      <c r="B44" t="s">
        <v>1348</v>
      </c>
      <c r="C44" t="s">
        <v>1349</v>
      </c>
      <c r="D44" t="s">
        <v>1350</v>
      </c>
      <c r="E44" t="s">
        <v>1307</v>
      </c>
      <c r="F44" t="s">
        <v>1351</v>
      </c>
      <c r="G44">
        <v>2025</v>
      </c>
      <c r="H44" t="s">
        <v>1160</v>
      </c>
      <c r="I44" t="s">
        <v>103</v>
      </c>
      <c r="J44">
        <v>10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Y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S44">
        <v>0</v>
      </c>
      <c r="AU44">
        <v>0</v>
      </c>
      <c r="AV44">
        <v>0</v>
      </c>
      <c r="AW44">
        <v>0</v>
      </c>
      <c r="AX44">
        <v>0</v>
      </c>
      <c r="AY44">
        <v>28</v>
      </c>
      <c r="AZ44">
        <v>0</v>
      </c>
      <c r="BA44">
        <v>8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C44">
        <v>0</v>
      </c>
      <c r="DD44">
        <v>0</v>
      </c>
      <c r="DE44">
        <v>0</v>
      </c>
      <c r="DF44">
        <v>0</v>
      </c>
      <c r="DH44">
        <v>0</v>
      </c>
      <c r="DI44">
        <v>0</v>
      </c>
    </row>
    <row r="45" spans="1:113" ht="15" customHeight="1" x14ac:dyDescent="0.25">
      <c r="A45" t="s">
        <v>1352</v>
      </c>
      <c r="B45" t="s">
        <v>1353</v>
      </c>
      <c r="C45" t="s">
        <v>1354</v>
      </c>
      <c r="D45" t="s">
        <v>1243</v>
      </c>
      <c r="E45" t="s">
        <v>1190</v>
      </c>
      <c r="F45" t="s">
        <v>1355</v>
      </c>
      <c r="G45">
        <v>2025</v>
      </c>
      <c r="H45" t="s">
        <v>1160</v>
      </c>
      <c r="I45" t="s">
        <v>97</v>
      </c>
      <c r="J45">
        <v>16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Y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S45">
        <v>0</v>
      </c>
      <c r="AU45">
        <v>0</v>
      </c>
      <c r="AV45">
        <v>0</v>
      </c>
      <c r="AW45">
        <v>0</v>
      </c>
      <c r="AX45">
        <v>0</v>
      </c>
      <c r="AY45">
        <v>15</v>
      </c>
      <c r="AZ45">
        <v>1</v>
      </c>
      <c r="BA45">
        <v>23</v>
      </c>
      <c r="BB45">
        <v>3</v>
      </c>
      <c r="BC45">
        <v>11</v>
      </c>
      <c r="BD45">
        <v>2</v>
      </c>
      <c r="BE45">
        <v>1</v>
      </c>
      <c r="BF45">
        <v>9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C45">
        <v>0</v>
      </c>
      <c r="DD45">
        <v>0</v>
      </c>
      <c r="DE45">
        <v>0</v>
      </c>
      <c r="DF45">
        <v>0</v>
      </c>
      <c r="DH45">
        <v>0</v>
      </c>
      <c r="DI45">
        <v>0</v>
      </c>
    </row>
    <row r="46" spans="1:113" ht="15" customHeight="1" x14ac:dyDescent="0.25">
      <c r="A46" t="s">
        <v>1356</v>
      </c>
      <c r="B46" t="s">
        <v>1357</v>
      </c>
      <c r="C46" t="s">
        <v>1358</v>
      </c>
      <c r="D46" t="s">
        <v>1209</v>
      </c>
      <c r="E46" t="s">
        <v>1169</v>
      </c>
      <c r="F46" t="s">
        <v>1359</v>
      </c>
      <c r="G46">
        <v>2025</v>
      </c>
      <c r="H46" t="s">
        <v>1160</v>
      </c>
      <c r="I46" t="s">
        <v>96</v>
      </c>
      <c r="J46">
        <v>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S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C46">
        <v>0</v>
      </c>
      <c r="DD46">
        <v>0</v>
      </c>
      <c r="DE46">
        <v>0</v>
      </c>
      <c r="DF46">
        <v>0</v>
      </c>
      <c r="DH46">
        <v>0</v>
      </c>
      <c r="DI46">
        <v>0</v>
      </c>
    </row>
    <row r="47" spans="1:113" ht="15" customHeight="1" x14ac:dyDescent="0.25">
      <c r="A47" t="s">
        <v>1360</v>
      </c>
      <c r="B47" t="s">
        <v>1361</v>
      </c>
      <c r="C47" t="s">
        <v>1362</v>
      </c>
      <c r="D47" t="s">
        <v>1306</v>
      </c>
      <c r="E47" t="s">
        <v>1307</v>
      </c>
      <c r="F47" t="s">
        <v>1363</v>
      </c>
      <c r="G47">
        <v>2025</v>
      </c>
      <c r="H47" t="s">
        <v>1160</v>
      </c>
      <c r="I47" t="s">
        <v>99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S47">
        <v>0</v>
      </c>
      <c r="AU47">
        <v>0</v>
      </c>
      <c r="AV47">
        <v>0</v>
      </c>
      <c r="AW47">
        <v>0</v>
      </c>
      <c r="AX47">
        <v>0</v>
      </c>
      <c r="AY47">
        <v>31</v>
      </c>
      <c r="AZ47">
        <v>0</v>
      </c>
      <c r="BA47">
        <v>39</v>
      </c>
      <c r="BB47">
        <v>1</v>
      </c>
      <c r="BC47">
        <v>7</v>
      </c>
      <c r="BD47">
        <v>0</v>
      </c>
      <c r="BE47">
        <v>0.5</v>
      </c>
      <c r="BF47">
        <v>4</v>
      </c>
      <c r="BG47">
        <v>1</v>
      </c>
      <c r="BH47">
        <v>1</v>
      </c>
      <c r="BI47">
        <v>10</v>
      </c>
      <c r="BJ47">
        <v>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C47">
        <v>0</v>
      </c>
      <c r="DD47">
        <v>0</v>
      </c>
      <c r="DE47">
        <v>0</v>
      </c>
      <c r="DF47">
        <v>0</v>
      </c>
      <c r="DH47">
        <v>0</v>
      </c>
      <c r="DI47">
        <v>0</v>
      </c>
    </row>
    <row r="48" spans="1:113" ht="15" customHeight="1" x14ac:dyDescent="0.25">
      <c r="A48" t="s">
        <v>1364</v>
      </c>
      <c r="B48" t="s">
        <v>1365</v>
      </c>
      <c r="C48" t="s">
        <v>1366</v>
      </c>
      <c r="D48" t="s">
        <v>1209</v>
      </c>
      <c r="E48" t="s">
        <v>1169</v>
      </c>
      <c r="F48" t="s">
        <v>1367</v>
      </c>
      <c r="G48">
        <v>2025</v>
      </c>
      <c r="H48" t="s">
        <v>1160</v>
      </c>
      <c r="I48" t="s">
        <v>143</v>
      </c>
      <c r="J48">
        <v>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Y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S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C48">
        <v>0</v>
      </c>
      <c r="DD48">
        <v>0</v>
      </c>
      <c r="DE48">
        <v>0</v>
      </c>
      <c r="DF48">
        <v>0</v>
      </c>
      <c r="DH48">
        <v>0</v>
      </c>
      <c r="DI48">
        <v>0</v>
      </c>
    </row>
    <row r="49" spans="1:113" ht="15" customHeight="1" x14ac:dyDescent="0.25">
      <c r="A49" t="s">
        <v>1368</v>
      </c>
      <c r="B49" t="s">
        <v>1369</v>
      </c>
      <c r="C49" t="s">
        <v>1370</v>
      </c>
      <c r="D49" t="s">
        <v>10</v>
      </c>
      <c r="E49" t="s">
        <v>10</v>
      </c>
      <c r="F49" t="s">
        <v>1371</v>
      </c>
      <c r="G49">
        <v>2025</v>
      </c>
      <c r="H49" t="s">
        <v>1160</v>
      </c>
      <c r="I49" t="s">
        <v>131</v>
      </c>
      <c r="J49">
        <v>17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Y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>
        <v>0</v>
      </c>
      <c r="AI49">
        <v>81</v>
      </c>
      <c r="AJ49">
        <v>122</v>
      </c>
      <c r="AK49">
        <v>777</v>
      </c>
      <c r="AL49">
        <v>4</v>
      </c>
      <c r="AM49">
        <v>2</v>
      </c>
      <c r="AN49">
        <v>0</v>
      </c>
      <c r="AO49">
        <v>1027</v>
      </c>
      <c r="AP49">
        <v>231</v>
      </c>
      <c r="AQ49">
        <v>49</v>
      </c>
      <c r="AR49">
        <v>34.920523438576701</v>
      </c>
      <c r="AS49">
        <v>0</v>
      </c>
      <c r="AT49">
        <v>0.75657254138266805</v>
      </c>
      <c r="AU49">
        <v>0.224264705882353</v>
      </c>
      <c r="AV49">
        <v>0.225912890453146</v>
      </c>
      <c r="AW49">
        <v>0.49453608214073103</v>
      </c>
      <c r="AX49">
        <v>0</v>
      </c>
      <c r="AY49">
        <v>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C49">
        <v>0</v>
      </c>
      <c r="DD49">
        <v>0</v>
      </c>
      <c r="DE49">
        <v>0</v>
      </c>
      <c r="DF49">
        <v>0</v>
      </c>
      <c r="DH49">
        <v>101.7</v>
      </c>
      <c r="DI49">
        <v>182.7</v>
      </c>
    </row>
    <row r="50" spans="1:113" ht="15" customHeight="1" x14ac:dyDescent="0.25">
      <c r="A50" t="s">
        <v>1372</v>
      </c>
      <c r="B50" t="s">
        <v>1373</v>
      </c>
      <c r="C50" t="s">
        <v>1374</v>
      </c>
      <c r="D50" t="s">
        <v>1375</v>
      </c>
      <c r="E50" t="s">
        <v>1307</v>
      </c>
      <c r="F50" t="s">
        <v>1376</v>
      </c>
      <c r="G50">
        <v>2025</v>
      </c>
      <c r="H50" t="s">
        <v>1160</v>
      </c>
      <c r="I50" t="s">
        <v>131</v>
      </c>
      <c r="J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Y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S50">
        <v>0</v>
      </c>
      <c r="AU50">
        <v>0</v>
      </c>
      <c r="AV50">
        <v>0</v>
      </c>
      <c r="AW50">
        <v>0</v>
      </c>
      <c r="AX50">
        <v>0</v>
      </c>
      <c r="AY50">
        <v>36</v>
      </c>
      <c r="AZ50">
        <v>1</v>
      </c>
      <c r="BA50">
        <v>20</v>
      </c>
      <c r="BB50">
        <v>1</v>
      </c>
      <c r="BC50">
        <v>2</v>
      </c>
      <c r="BD50">
        <v>0</v>
      </c>
      <c r="BE50">
        <v>0</v>
      </c>
      <c r="BF50">
        <v>0</v>
      </c>
      <c r="BG50">
        <v>2</v>
      </c>
      <c r="BH50">
        <v>4</v>
      </c>
      <c r="BI50">
        <v>5</v>
      </c>
      <c r="BJ50">
        <v>7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15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C50">
        <v>0</v>
      </c>
      <c r="DD50">
        <v>0</v>
      </c>
      <c r="DE50">
        <v>0</v>
      </c>
      <c r="DF50">
        <v>0</v>
      </c>
      <c r="DH50">
        <v>0</v>
      </c>
      <c r="DI50">
        <v>0</v>
      </c>
    </row>
    <row r="51" spans="1:113" ht="15" customHeight="1" x14ac:dyDescent="0.25">
      <c r="A51" t="s">
        <v>1377</v>
      </c>
      <c r="B51" t="s">
        <v>1378</v>
      </c>
      <c r="C51" t="s">
        <v>712</v>
      </c>
      <c r="D51" t="s">
        <v>439</v>
      </c>
      <c r="E51" t="s">
        <v>439</v>
      </c>
      <c r="F51" t="s">
        <v>1379</v>
      </c>
      <c r="G51">
        <v>2025</v>
      </c>
      <c r="H51" t="s">
        <v>1160</v>
      </c>
      <c r="I51" t="s">
        <v>123</v>
      </c>
      <c r="J51">
        <v>17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-1.8751907240366601</v>
      </c>
      <c r="AH51">
        <v>0</v>
      </c>
      <c r="AI51">
        <v>76</v>
      </c>
      <c r="AJ51">
        <v>108</v>
      </c>
      <c r="AK51">
        <v>851</v>
      </c>
      <c r="AL51">
        <v>5</v>
      </c>
      <c r="AM51">
        <v>1</v>
      </c>
      <c r="AN51">
        <v>0</v>
      </c>
      <c r="AO51">
        <v>735</v>
      </c>
      <c r="AP51">
        <v>424</v>
      </c>
      <c r="AQ51">
        <v>46</v>
      </c>
      <c r="AR51">
        <v>40.412753769448301</v>
      </c>
      <c r="AS51">
        <v>1</v>
      </c>
      <c r="AT51">
        <v>1.1578231292517001</v>
      </c>
      <c r="AU51">
        <v>0.19672131147541</v>
      </c>
      <c r="AV51">
        <v>0.16214427531436101</v>
      </c>
      <c r="AW51">
        <v>0.40858295993316801</v>
      </c>
      <c r="AX51">
        <v>0</v>
      </c>
      <c r="AY51">
        <v>2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</v>
      </c>
      <c r="BU51">
        <v>8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C51">
        <v>0</v>
      </c>
      <c r="DD51">
        <v>0</v>
      </c>
      <c r="DE51">
        <v>0</v>
      </c>
      <c r="DF51">
        <v>0</v>
      </c>
      <c r="DH51">
        <v>117.2</v>
      </c>
      <c r="DI51">
        <v>193.2</v>
      </c>
    </row>
    <row r="52" spans="1:113" ht="15" customHeight="1" x14ac:dyDescent="0.25">
      <c r="A52" t="s">
        <v>1380</v>
      </c>
      <c r="B52" t="s">
        <v>1381</v>
      </c>
      <c r="C52" t="s">
        <v>1382</v>
      </c>
      <c r="D52" t="s">
        <v>1219</v>
      </c>
      <c r="E52" t="s">
        <v>1220</v>
      </c>
      <c r="F52" t="s">
        <v>1383</v>
      </c>
      <c r="G52">
        <v>2025</v>
      </c>
      <c r="H52" t="s">
        <v>1160</v>
      </c>
      <c r="I52" t="s">
        <v>120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Y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3</v>
      </c>
      <c r="BU52">
        <v>25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C52">
        <v>0</v>
      </c>
      <c r="DD52">
        <v>0</v>
      </c>
      <c r="DE52">
        <v>0</v>
      </c>
      <c r="DF52">
        <v>0</v>
      </c>
      <c r="DH52">
        <v>0</v>
      </c>
      <c r="DI52">
        <v>0</v>
      </c>
    </row>
    <row r="53" spans="1:113" ht="15" customHeight="1" x14ac:dyDescent="0.25">
      <c r="A53" t="s">
        <v>1384</v>
      </c>
      <c r="B53" t="s">
        <v>1385</v>
      </c>
      <c r="C53" t="s">
        <v>1386</v>
      </c>
      <c r="D53" t="s">
        <v>10</v>
      </c>
      <c r="E53" t="s">
        <v>10</v>
      </c>
      <c r="F53" t="s">
        <v>1387</v>
      </c>
      <c r="G53">
        <v>2025</v>
      </c>
      <c r="H53" t="s">
        <v>1160</v>
      </c>
      <c r="I53" t="s">
        <v>97</v>
      </c>
      <c r="J53">
        <v>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Y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>
        <v>0</v>
      </c>
      <c r="AI53">
        <v>22</v>
      </c>
      <c r="AJ53">
        <v>39</v>
      </c>
      <c r="AK53">
        <v>330</v>
      </c>
      <c r="AL53">
        <v>2</v>
      </c>
      <c r="AM53">
        <v>0</v>
      </c>
      <c r="AN53">
        <v>0</v>
      </c>
      <c r="AO53">
        <v>513</v>
      </c>
      <c r="AP53">
        <v>65</v>
      </c>
      <c r="AQ53">
        <v>15</v>
      </c>
      <c r="AR53">
        <v>9.4472290776596992</v>
      </c>
      <c r="AS53">
        <v>0</v>
      </c>
      <c r="AT53">
        <v>0.64327485380117</v>
      </c>
      <c r="AU53">
        <v>9.5823095823095797E-2</v>
      </c>
      <c r="AV53">
        <v>0.14991233196960799</v>
      </c>
      <c r="AW53">
        <v>0.24867327611337001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C53">
        <v>0</v>
      </c>
      <c r="DD53">
        <v>0</v>
      </c>
      <c r="DE53">
        <v>0</v>
      </c>
      <c r="DF53">
        <v>0</v>
      </c>
      <c r="DH53">
        <v>45</v>
      </c>
      <c r="DI53">
        <v>67</v>
      </c>
    </row>
    <row r="54" spans="1:113" ht="15" customHeight="1" x14ac:dyDescent="0.25">
      <c r="A54" t="s">
        <v>1388</v>
      </c>
      <c r="B54" t="s">
        <v>1389</v>
      </c>
      <c r="C54" t="s">
        <v>1390</v>
      </c>
      <c r="D54" t="s">
        <v>1158</v>
      </c>
      <c r="E54" t="s">
        <v>1158</v>
      </c>
      <c r="F54" t="s">
        <v>1391</v>
      </c>
      <c r="G54">
        <v>2025</v>
      </c>
      <c r="H54" t="s">
        <v>1160</v>
      </c>
      <c r="I54" t="s">
        <v>89</v>
      </c>
      <c r="J54">
        <v>15</v>
      </c>
      <c r="K54">
        <v>302</v>
      </c>
      <c r="L54">
        <v>448</v>
      </c>
      <c r="M54">
        <v>3025</v>
      </c>
      <c r="N54">
        <v>19</v>
      </c>
      <c r="O54">
        <v>17</v>
      </c>
      <c r="P54">
        <v>55</v>
      </c>
      <c r="Q54">
        <v>-405</v>
      </c>
      <c r="R54">
        <v>3</v>
      </c>
      <c r="S54">
        <v>1</v>
      </c>
      <c r="T54">
        <v>2762</v>
      </c>
      <c r="U54">
        <v>1713</v>
      </c>
      <c r="V54">
        <v>149</v>
      </c>
      <c r="W54">
        <v>-72.9214060488586</v>
      </c>
      <c r="X54">
        <v>0.70712558716257101</v>
      </c>
      <c r="Y54">
        <v>1</v>
      </c>
      <c r="Z54">
        <v>1.09522085445329</v>
      </c>
      <c r="AA54">
        <v>41</v>
      </c>
      <c r="AB54">
        <v>109</v>
      </c>
      <c r="AC54">
        <v>0</v>
      </c>
      <c r="AD54">
        <v>1</v>
      </c>
      <c r="AE54">
        <v>0</v>
      </c>
      <c r="AF54">
        <v>14</v>
      </c>
      <c r="AG54">
        <v>-1.67355429116287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</v>
      </c>
      <c r="BP54">
        <v>4</v>
      </c>
      <c r="BQ54">
        <v>0</v>
      </c>
      <c r="BR54">
        <v>0</v>
      </c>
      <c r="BS54">
        <v>0</v>
      </c>
      <c r="BT54">
        <v>1</v>
      </c>
      <c r="BU54">
        <v>13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C54">
        <v>0</v>
      </c>
      <c r="DD54">
        <v>0</v>
      </c>
      <c r="DE54">
        <v>0</v>
      </c>
      <c r="DF54">
        <v>0</v>
      </c>
      <c r="DH54">
        <v>173.9</v>
      </c>
      <c r="DI54">
        <v>173.9</v>
      </c>
    </row>
    <row r="55" spans="1:113" ht="15" customHeight="1" x14ac:dyDescent="0.25">
      <c r="A55" t="s">
        <v>1392</v>
      </c>
      <c r="B55" t="s">
        <v>1393</v>
      </c>
      <c r="C55" t="s">
        <v>1394</v>
      </c>
      <c r="D55" t="s">
        <v>1214</v>
      </c>
      <c r="E55" t="s">
        <v>1169</v>
      </c>
      <c r="F55" t="s">
        <v>1395</v>
      </c>
      <c r="G55">
        <v>2025</v>
      </c>
      <c r="H55" t="s">
        <v>1160</v>
      </c>
      <c r="I55" t="s">
        <v>123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S55">
        <v>0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C55">
        <v>0</v>
      </c>
      <c r="DD55">
        <v>0</v>
      </c>
      <c r="DE55">
        <v>0</v>
      </c>
      <c r="DF55">
        <v>0</v>
      </c>
      <c r="DH55">
        <v>0</v>
      </c>
      <c r="DI55">
        <v>0</v>
      </c>
    </row>
    <row r="56" spans="1:113" ht="15" customHeight="1" x14ac:dyDescent="0.25">
      <c r="A56" t="s">
        <v>1396</v>
      </c>
      <c r="B56" t="s">
        <v>1397</v>
      </c>
      <c r="C56" t="s">
        <v>1398</v>
      </c>
      <c r="D56" t="s">
        <v>1219</v>
      </c>
      <c r="E56" t="s">
        <v>1220</v>
      </c>
      <c r="F56" t="s">
        <v>1399</v>
      </c>
      <c r="G56">
        <v>2025</v>
      </c>
      <c r="H56" t="s">
        <v>1160</v>
      </c>
      <c r="I56" t="s">
        <v>109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Y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S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</v>
      </c>
      <c r="BU56">
        <v>15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C56">
        <v>0</v>
      </c>
      <c r="DD56">
        <v>0</v>
      </c>
      <c r="DE56">
        <v>0</v>
      </c>
      <c r="DF56">
        <v>0</v>
      </c>
      <c r="DH56">
        <v>0</v>
      </c>
      <c r="DI56">
        <v>0</v>
      </c>
    </row>
    <row r="57" spans="1:113" ht="15" customHeight="1" x14ac:dyDescent="0.25">
      <c r="A57" t="s">
        <v>1400</v>
      </c>
      <c r="B57" t="s">
        <v>1401</v>
      </c>
      <c r="C57" t="s">
        <v>1402</v>
      </c>
      <c r="D57" t="s">
        <v>1243</v>
      </c>
      <c r="E57" t="s">
        <v>1190</v>
      </c>
      <c r="F57" t="s">
        <v>1403</v>
      </c>
      <c r="G57">
        <v>2025</v>
      </c>
      <c r="H57" t="s">
        <v>1160</v>
      </c>
      <c r="I57" t="s">
        <v>123</v>
      </c>
      <c r="J57">
        <v>13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Y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S57">
        <v>0</v>
      </c>
      <c r="AU57">
        <v>0</v>
      </c>
      <c r="AV57">
        <v>0</v>
      </c>
      <c r="AW57">
        <v>0</v>
      </c>
      <c r="AX57">
        <v>0</v>
      </c>
      <c r="AY57">
        <v>7</v>
      </c>
      <c r="AZ57">
        <v>1</v>
      </c>
      <c r="BA57">
        <v>18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C57">
        <v>0</v>
      </c>
      <c r="DD57">
        <v>0</v>
      </c>
      <c r="DE57">
        <v>0</v>
      </c>
      <c r="DF57">
        <v>0</v>
      </c>
      <c r="DH57">
        <v>0</v>
      </c>
      <c r="DI57">
        <v>0</v>
      </c>
    </row>
    <row r="58" spans="1:113" ht="15" customHeight="1" x14ac:dyDescent="0.25">
      <c r="A58" t="s">
        <v>1404</v>
      </c>
      <c r="B58" t="s">
        <v>1405</v>
      </c>
      <c r="C58" t="s">
        <v>1406</v>
      </c>
      <c r="D58" t="s">
        <v>1233</v>
      </c>
      <c r="E58" t="s">
        <v>1234</v>
      </c>
      <c r="F58" t="s">
        <v>1407</v>
      </c>
      <c r="G58">
        <v>2025</v>
      </c>
      <c r="H58" t="s">
        <v>1160</v>
      </c>
      <c r="I58" t="s">
        <v>131</v>
      </c>
      <c r="J58">
        <v>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Y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19</v>
      </c>
      <c r="AZ58">
        <v>0</v>
      </c>
      <c r="BA58">
        <v>13</v>
      </c>
      <c r="BB58">
        <v>6</v>
      </c>
      <c r="BC58">
        <v>35</v>
      </c>
      <c r="BD58">
        <v>4</v>
      </c>
      <c r="BE58">
        <v>5.5</v>
      </c>
      <c r="BF58">
        <v>34</v>
      </c>
      <c r="BG58">
        <v>11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C58">
        <v>0</v>
      </c>
      <c r="DD58">
        <v>0</v>
      </c>
      <c r="DE58">
        <v>0</v>
      </c>
      <c r="DF58">
        <v>0</v>
      </c>
      <c r="DH58">
        <v>0</v>
      </c>
      <c r="DI58">
        <v>0</v>
      </c>
    </row>
    <row r="59" spans="1:113" ht="15" customHeight="1" x14ac:dyDescent="0.25">
      <c r="A59" t="s">
        <v>1408</v>
      </c>
      <c r="B59" t="s">
        <v>1409</v>
      </c>
      <c r="C59" t="s">
        <v>1410</v>
      </c>
      <c r="D59" t="s">
        <v>1243</v>
      </c>
      <c r="E59" t="s">
        <v>1190</v>
      </c>
      <c r="F59" t="s">
        <v>1411</v>
      </c>
      <c r="G59">
        <v>2025</v>
      </c>
      <c r="H59" t="s">
        <v>1160</v>
      </c>
      <c r="I59" t="s">
        <v>99</v>
      </c>
      <c r="J59">
        <v>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Y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S59">
        <v>0</v>
      </c>
      <c r="AU59">
        <v>0</v>
      </c>
      <c r="AV59">
        <v>0</v>
      </c>
      <c r="AW59">
        <v>0</v>
      </c>
      <c r="AX59">
        <v>0</v>
      </c>
      <c r="AY59">
        <v>10</v>
      </c>
      <c r="AZ59">
        <v>1</v>
      </c>
      <c r="BA59">
        <v>11</v>
      </c>
      <c r="BB59">
        <v>3</v>
      </c>
      <c r="BC59">
        <v>11</v>
      </c>
      <c r="BD59">
        <v>1</v>
      </c>
      <c r="BE59">
        <v>3</v>
      </c>
      <c r="BF59">
        <v>8</v>
      </c>
      <c r="BG59">
        <v>8</v>
      </c>
      <c r="BH59">
        <v>1</v>
      </c>
      <c r="BI59">
        <v>1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C59">
        <v>0</v>
      </c>
      <c r="DD59">
        <v>0</v>
      </c>
      <c r="DE59">
        <v>0</v>
      </c>
      <c r="DF59">
        <v>0</v>
      </c>
      <c r="DH59">
        <v>0</v>
      </c>
      <c r="DI59">
        <v>0</v>
      </c>
    </row>
    <row r="60" spans="1:113" ht="15" customHeight="1" x14ac:dyDescent="0.25">
      <c r="A60" t="s">
        <v>1412</v>
      </c>
      <c r="B60" t="s">
        <v>1413</v>
      </c>
      <c r="C60" t="s">
        <v>1414</v>
      </c>
      <c r="D60" t="s">
        <v>1209</v>
      </c>
      <c r="E60" t="s">
        <v>1169</v>
      </c>
      <c r="F60" t="s">
        <v>1415</v>
      </c>
      <c r="G60">
        <v>2025</v>
      </c>
      <c r="H60" t="s">
        <v>1160</v>
      </c>
      <c r="I60" t="s">
        <v>90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Y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S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C60">
        <v>0</v>
      </c>
      <c r="DD60">
        <v>0</v>
      </c>
      <c r="DE60">
        <v>0</v>
      </c>
      <c r="DF60">
        <v>0</v>
      </c>
      <c r="DH60">
        <v>0</v>
      </c>
      <c r="DI60">
        <v>0</v>
      </c>
    </row>
    <row r="61" spans="1:113" ht="15" customHeight="1" x14ac:dyDescent="0.25">
      <c r="A61" t="s">
        <v>1416</v>
      </c>
      <c r="B61" t="s">
        <v>1417</v>
      </c>
      <c r="C61" t="s">
        <v>1418</v>
      </c>
      <c r="D61" t="s">
        <v>1168</v>
      </c>
      <c r="E61" t="s">
        <v>1169</v>
      </c>
      <c r="F61" t="s">
        <v>1419</v>
      </c>
      <c r="G61">
        <v>2025</v>
      </c>
      <c r="H61" t="s">
        <v>1160</v>
      </c>
      <c r="I61" t="s">
        <v>103</v>
      </c>
      <c r="J61">
        <v>17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Y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S61">
        <v>0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27</v>
      </c>
      <c r="CA61">
        <v>32</v>
      </c>
      <c r="CB61">
        <v>4</v>
      </c>
      <c r="CC61">
        <v>1</v>
      </c>
      <c r="CD61">
        <v>60</v>
      </c>
      <c r="CE61">
        <v>0.84375</v>
      </c>
      <c r="CF61">
        <v>0</v>
      </c>
      <c r="CG61">
        <v>6</v>
      </c>
      <c r="CH61">
        <v>2</v>
      </c>
      <c r="CI61">
        <v>10</v>
      </c>
      <c r="CJ61">
        <v>8</v>
      </c>
      <c r="CK61">
        <v>1</v>
      </c>
      <c r="CL61">
        <v>0</v>
      </c>
      <c r="CM61">
        <v>0</v>
      </c>
      <c r="CN61">
        <v>1</v>
      </c>
      <c r="CO61">
        <v>1</v>
      </c>
      <c r="CP61">
        <v>2</v>
      </c>
      <c r="CQ61">
        <v>0</v>
      </c>
      <c r="CR61" t="s">
        <v>1420</v>
      </c>
      <c r="CS61" t="s">
        <v>1421</v>
      </c>
      <c r="CT61">
        <v>30</v>
      </c>
      <c r="CU61">
        <v>1167</v>
      </c>
      <c r="CV61">
        <v>190</v>
      </c>
      <c r="CW61">
        <v>30</v>
      </c>
      <c r="CX61">
        <v>42</v>
      </c>
      <c r="CY61">
        <v>43</v>
      </c>
      <c r="CZ61">
        <v>0</v>
      </c>
      <c r="DA61">
        <v>1</v>
      </c>
      <c r="DB61">
        <v>0.97674418604651203</v>
      </c>
      <c r="DC61">
        <v>0</v>
      </c>
      <c r="DD61">
        <v>0</v>
      </c>
      <c r="DE61">
        <v>0</v>
      </c>
      <c r="DF61">
        <v>0</v>
      </c>
      <c r="DH61">
        <v>0</v>
      </c>
      <c r="DI61">
        <v>0</v>
      </c>
    </row>
    <row r="62" spans="1:113" ht="15" customHeight="1" x14ac:dyDescent="0.25">
      <c r="A62" t="s">
        <v>1422</v>
      </c>
      <c r="B62" t="s">
        <v>1423</v>
      </c>
      <c r="C62" t="s">
        <v>1424</v>
      </c>
      <c r="D62" t="s">
        <v>1214</v>
      </c>
      <c r="E62" t="s">
        <v>1169</v>
      </c>
      <c r="F62" t="s">
        <v>1425</v>
      </c>
      <c r="G62">
        <v>2025</v>
      </c>
      <c r="H62" t="s">
        <v>1160</v>
      </c>
      <c r="I62" t="s">
        <v>143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Y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S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C62">
        <v>0</v>
      </c>
      <c r="DD62">
        <v>0</v>
      </c>
      <c r="DE62">
        <v>0</v>
      </c>
      <c r="DF62">
        <v>0</v>
      </c>
      <c r="DH62">
        <v>0</v>
      </c>
      <c r="DI62">
        <v>0</v>
      </c>
    </row>
    <row r="63" spans="1:113" ht="15" customHeight="1" x14ac:dyDescent="0.25">
      <c r="A63" t="s">
        <v>1426</v>
      </c>
      <c r="B63" t="s">
        <v>1427</v>
      </c>
      <c r="C63" t="s">
        <v>1428</v>
      </c>
      <c r="D63" t="s">
        <v>1189</v>
      </c>
      <c r="E63" t="s">
        <v>1190</v>
      </c>
      <c r="F63" t="s">
        <v>1429</v>
      </c>
      <c r="G63">
        <v>2025</v>
      </c>
      <c r="H63" t="s">
        <v>1160</v>
      </c>
      <c r="I63" t="s">
        <v>97</v>
      </c>
      <c r="J63">
        <v>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Y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S63">
        <v>0</v>
      </c>
      <c r="AU63">
        <v>0</v>
      </c>
      <c r="AV63">
        <v>0</v>
      </c>
      <c r="AW63">
        <v>0</v>
      </c>
      <c r="AX63">
        <v>0</v>
      </c>
      <c r="AY63">
        <v>7</v>
      </c>
      <c r="AZ63">
        <v>0</v>
      </c>
      <c r="BA63">
        <v>12</v>
      </c>
      <c r="BB63">
        <v>3</v>
      </c>
      <c r="BC63">
        <v>10</v>
      </c>
      <c r="BD63">
        <v>0</v>
      </c>
      <c r="BE63">
        <v>0.5</v>
      </c>
      <c r="BF63">
        <v>3</v>
      </c>
      <c r="BG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C63">
        <v>0</v>
      </c>
      <c r="DD63">
        <v>0</v>
      </c>
      <c r="DE63">
        <v>0</v>
      </c>
      <c r="DF63">
        <v>0</v>
      </c>
      <c r="DH63">
        <v>0</v>
      </c>
      <c r="DI63">
        <v>0</v>
      </c>
    </row>
    <row r="64" spans="1:113" ht="15" customHeight="1" x14ac:dyDescent="0.25">
      <c r="A64" t="s">
        <v>1430</v>
      </c>
      <c r="B64" t="s">
        <v>1431</v>
      </c>
      <c r="C64" t="s">
        <v>1432</v>
      </c>
      <c r="D64" t="s">
        <v>1168</v>
      </c>
      <c r="E64" t="s">
        <v>1169</v>
      </c>
      <c r="F64" t="s">
        <v>1433</v>
      </c>
      <c r="G64">
        <v>2025</v>
      </c>
      <c r="H64" t="s">
        <v>1160</v>
      </c>
      <c r="I64" t="s">
        <v>104</v>
      </c>
      <c r="J64">
        <v>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Y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S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25</v>
      </c>
      <c r="CA64">
        <v>30</v>
      </c>
      <c r="CB64">
        <v>4</v>
      </c>
      <c r="CC64">
        <v>1</v>
      </c>
      <c r="CD64">
        <v>54</v>
      </c>
      <c r="CE64">
        <v>0.83333333333333304</v>
      </c>
      <c r="CF64">
        <v>0</v>
      </c>
      <c r="CG64">
        <v>3</v>
      </c>
      <c r="CH64">
        <v>8</v>
      </c>
      <c r="CI64">
        <v>10</v>
      </c>
      <c r="CJ64">
        <v>4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2</v>
      </c>
      <c r="CQ64">
        <v>0</v>
      </c>
      <c r="CR64" t="s">
        <v>1434</v>
      </c>
      <c r="CS64" t="s">
        <v>1435</v>
      </c>
      <c r="CT64">
        <v>47</v>
      </c>
      <c r="CU64">
        <v>998</v>
      </c>
      <c r="CV64">
        <v>188</v>
      </c>
      <c r="CW64">
        <v>47</v>
      </c>
      <c r="CX64">
        <v>39</v>
      </c>
      <c r="CY64">
        <v>39</v>
      </c>
      <c r="CZ64">
        <v>0</v>
      </c>
      <c r="DA64">
        <v>0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48</v>
      </c>
      <c r="DH64">
        <v>0</v>
      </c>
      <c r="DI64">
        <v>0</v>
      </c>
    </row>
    <row r="65" spans="1:113" ht="15" customHeight="1" x14ac:dyDescent="0.25">
      <c r="A65" t="s">
        <v>1436</v>
      </c>
      <c r="B65" t="s">
        <v>1437</v>
      </c>
      <c r="C65" t="s">
        <v>1438</v>
      </c>
      <c r="D65" t="s">
        <v>10</v>
      </c>
      <c r="E65" t="s">
        <v>10</v>
      </c>
      <c r="F65" t="s">
        <v>1439</v>
      </c>
      <c r="G65">
        <v>2025</v>
      </c>
      <c r="H65" t="s">
        <v>1160</v>
      </c>
      <c r="I65" t="s">
        <v>99</v>
      </c>
      <c r="J65">
        <v>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Y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0</v>
      </c>
      <c r="AI65">
        <v>24</v>
      </c>
      <c r="AJ65">
        <v>36</v>
      </c>
      <c r="AK65">
        <v>279</v>
      </c>
      <c r="AL65">
        <v>0</v>
      </c>
      <c r="AM65">
        <v>0</v>
      </c>
      <c r="AN65">
        <v>0</v>
      </c>
      <c r="AO65">
        <v>516</v>
      </c>
      <c r="AP65">
        <v>43</v>
      </c>
      <c r="AQ65">
        <v>14</v>
      </c>
      <c r="AR65">
        <v>16.035737761522899</v>
      </c>
      <c r="AS65">
        <v>0</v>
      </c>
      <c r="AT65">
        <v>0.54069767441860495</v>
      </c>
      <c r="AU65">
        <v>6.3716814159292007E-2</v>
      </c>
      <c r="AV65">
        <v>0.107791936494673</v>
      </c>
      <c r="AW65">
        <v>0.171029576785209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C65">
        <v>0</v>
      </c>
      <c r="DD65">
        <v>0</v>
      </c>
      <c r="DE65">
        <v>0</v>
      </c>
      <c r="DF65">
        <v>0</v>
      </c>
      <c r="DH65">
        <v>27.9</v>
      </c>
      <c r="DI65">
        <v>51.9</v>
      </c>
    </row>
    <row r="66" spans="1:113" ht="15" customHeight="1" x14ac:dyDescent="0.25">
      <c r="A66" t="s">
        <v>1440</v>
      </c>
      <c r="B66" t="s">
        <v>1441</v>
      </c>
      <c r="C66" t="s">
        <v>1442</v>
      </c>
      <c r="D66" t="s">
        <v>1158</v>
      </c>
      <c r="E66" t="s">
        <v>1158</v>
      </c>
      <c r="F66" t="s">
        <v>1443</v>
      </c>
      <c r="G66">
        <v>2025</v>
      </c>
      <c r="H66" t="s">
        <v>1160</v>
      </c>
      <c r="I66" t="s">
        <v>126</v>
      </c>
      <c r="J66">
        <v>3</v>
      </c>
      <c r="K66">
        <v>8</v>
      </c>
      <c r="L66">
        <v>15</v>
      </c>
      <c r="M66">
        <v>62</v>
      </c>
      <c r="N66">
        <v>0</v>
      </c>
      <c r="O66">
        <v>0</v>
      </c>
      <c r="P66">
        <v>2</v>
      </c>
      <c r="Q66">
        <v>-21</v>
      </c>
      <c r="R66">
        <v>0</v>
      </c>
      <c r="S66">
        <v>0</v>
      </c>
      <c r="T66">
        <v>98</v>
      </c>
      <c r="U66">
        <v>52</v>
      </c>
      <c r="V66">
        <v>2</v>
      </c>
      <c r="W66">
        <v>-12.4985269496683</v>
      </c>
      <c r="X66">
        <v>-16.294206678867301</v>
      </c>
      <c r="Y66">
        <v>0</v>
      </c>
      <c r="Z66">
        <v>0.63265306122449005</v>
      </c>
      <c r="AA66">
        <v>3</v>
      </c>
      <c r="AB66">
        <v>4</v>
      </c>
      <c r="AC66">
        <v>0</v>
      </c>
      <c r="AD66">
        <v>0</v>
      </c>
      <c r="AE66">
        <v>0</v>
      </c>
      <c r="AF66">
        <v>0</v>
      </c>
      <c r="AG66">
        <v>-1.88060835935175E-2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C66">
        <v>0</v>
      </c>
      <c r="DD66">
        <v>0</v>
      </c>
      <c r="DE66">
        <v>0</v>
      </c>
      <c r="DF66">
        <v>0</v>
      </c>
      <c r="DH66">
        <v>2.88</v>
      </c>
      <c r="DI66">
        <v>2.88</v>
      </c>
    </row>
    <row r="67" spans="1:113" ht="15" customHeight="1" x14ac:dyDescent="0.25">
      <c r="A67" t="s">
        <v>1444</v>
      </c>
      <c r="B67" t="s">
        <v>1445</v>
      </c>
      <c r="C67" t="s">
        <v>1446</v>
      </c>
      <c r="D67" t="s">
        <v>1243</v>
      </c>
      <c r="E67" t="s">
        <v>1190</v>
      </c>
      <c r="F67" t="s">
        <v>1447</v>
      </c>
      <c r="G67">
        <v>2025</v>
      </c>
      <c r="H67" t="s">
        <v>1160</v>
      </c>
      <c r="I67" t="s">
        <v>121</v>
      </c>
      <c r="J67">
        <v>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Y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>
        <v>0</v>
      </c>
      <c r="AU67">
        <v>0</v>
      </c>
      <c r="AV67">
        <v>0</v>
      </c>
      <c r="AW67">
        <v>0</v>
      </c>
      <c r="AX67">
        <v>0</v>
      </c>
      <c r="AY67">
        <v>5</v>
      </c>
      <c r="AZ67">
        <v>0</v>
      </c>
      <c r="BA67">
        <v>3</v>
      </c>
      <c r="BB67">
        <v>3</v>
      </c>
      <c r="BC67">
        <v>21</v>
      </c>
      <c r="BD67">
        <v>1</v>
      </c>
      <c r="BE67">
        <v>3.5</v>
      </c>
      <c r="BF67">
        <v>22.5</v>
      </c>
      <c r="BG67">
        <v>4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3</v>
      </c>
      <c r="BU67">
        <v>30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C67">
        <v>0</v>
      </c>
      <c r="DD67">
        <v>0</v>
      </c>
      <c r="DE67">
        <v>0</v>
      </c>
      <c r="DF67">
        <v>0</v>
      </c>
      <c r="DH67">
        <v>0</v>
      </c>
      <c r="DI67">
        <v>0</v>
      </c>
    </row>
    <row r="68" spans="1:113" ht="15" customHeight="1" x14ac:dyDescent="0.25">
      <c r="A68" t="s">
        <v>1448</v>
      </c>
      <c r="B68" t="s">
        <v>1449</v>
      </c>
      <c r="C68" t="s">
        <v>1450</v>
      </c>
      <c r="D68" t="s">
        <v>1243</v>
      </c>
      <c r="E68" t="s">
        <v>1190</v>
      </c>
      <c r="F68" t="s">
        <v>1451</v>
      </c>
      <c r="G68">
        <v>2025</v>
      </c>
      <c r="H68" t="s">
        <v>1160</v>
      </c>
      <c r="I68" t="s">
        <v>109</v>
      </c>
      <c r="J68">
        <v>17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Y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S68">
        <v>0</v>
      </c>
      <c r="AU68">
        <v>0</v>
      </c>
      <c r="AV68">
        <v>0</v>
      </c>
      <c r="AW68">
        <v>0</v>
      </c>
      <c r="AX68">
        <v>0</v>
      </c>
      <c r="AY68">
        <v>12</v>
      </c>
      <c r="AZ68">
        <v>3</v>
      </c>
      <c r="BA68">
        <v>17</v>
      </c>
      <c r="BB68">
        <v>7</v>
      </c>
      <c r="BC68">
        <v>19</v>
      </c>
      <c r="BD68">
        <v>0</v>
      </c>
      <c r="BE68">
        <v>1</v>
      </c>
      <c r="BF68">
        <v>5.5</v>
      </c>
      <c r="BG68">
        <v>5</v>
      </c>
      <c r="BH68">
        <v>0</v>
      </c>
      <c r="BI68">
        <v>0</v>
      </c>
      <c r="BJ68">
        <v>4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</v>
      </c>
      <c r="BU68">
        <v>32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C68">
        <v>0</v>
      </c>
      <c r="DD68">
        <v>0</v>
      </c>
      <c r="DE68">
        <v>0</v>
      </c>
      <c r="DF68">
        <v>0</v>
      </c>
      <c r="DH68">
        <v>0</v>
      </c>
      <c r="DI68">
        <v>0</v>
      </c>
    </row>
    <row r="69" spans="1:113" ht="15" customHeight="1" x14ac:dyDescent="0.25">
      <c r="A69" t="s">
        <v>1452</v>
      </c>
      <c r="B69" t="s">
        <v>1453</v>
      </c>
      <c r="C69" t="s">
        <v>1454</v>
      </c>
      <c r="D69" t="s">
        <v>1219</v>
      </c>
      <c r="E69" t="s">
        <v>1220</v>
      </c>
      <c r="F69" t="s">
        <v>1455</v>
      </c>
      <c r="G69">
        <v>2025</v>
      </c>
      <c r="H69" t="s">
        <v>1160</v>
      </c>
      <c r="I69" t="s">
        <v>93</v>
      </c>
      <c r="J69">
        <v>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-0.240465411858168</v>
      </c>
      <c r="AS69">
        <v>0</v>
      </c>
      <c r="AT69">
        <v>0</v>
      </c>
      <c r="AU69">
        <v>1.92678227360308E-3</v>
      </c>
      <c r="AV69">
        <v>2.3980815347721799E-4</v>
      </c>
      <c r="AW69">
        <v>3.05803911783868E-3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7</v>
      </c>
      <c r="BU69">
        <v>50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C69">
        <v>0</v>
      </c>
      <c r="DD69">
        <v>0</v>
      </c>
      <c r="DE69">
        <v>0</v>
      </c>
      <c r="DF69">
        <v>0</v>
      </c>
      <c r="DH69">
        <v>0</v>
      </c>
      <c r="DI69">
        <v>0</v>
      </c>
    </row>
    <row r="70" spans="1:113" ht="15" customHeight="1" x14ac:dyDescent="0.25">
      <c r="A70" t="s">
        <v>1456</v>
      </c>
      <c r="B70" t="s">
        <v>1457</v>
      </c>
      <c r="C70" t="s">
        <v>1458</v>
      </c>
      <c r="D70" t="s">
        <v>1219</v>
      </c>
      <c r="E70" t="s">
        <v>1220</v>
      </c>
      <c r="F70" t="s">
        <v>1459</v>
      </c>
      <c r="G70">
        <v>2025</v>
      </c>
      <c r="H70" t="s">
        <v>1160</v>
      </c>
      <c r="I70" t="s">
        <v>114</v>
      </c>
      <c r="J70">
        <v>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Y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S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6</v>
      </c>
      <c r="BU70">
        <v>35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C70">
        <v>0</v>
      </c>
      <c r="DD70">
        <v>0</v>
      </c>
      <c r="DE70">
        <v>0</v>
      </c>
      <c r="DF70">
        <v>0</v>
      </c>
      <c r="DH70">
        <v>0</v>
      </c>
      <c r="DI70">
        <v>0</v>
      </c>
    </row>
    <row r="71" spans="1:113" ht="15" customHeight="1" x14ac:dyDescent="0.25">
      <c r="A71" t="s">
        <v>1460</v>
      </c>
      <c r="B71" t="s">
        <v>1461</v>
      </c>
      <c r="C71" t="s">
        <v>1462</v>
      </c>
      <c r="D71" t="s">
        <v>1158</v>
      </c>
      <c r="E71" t="s">
        <v>1158</v>
      </c>
      <c r="F71" t="s">
        <v>1463</v>
      </c>
      <c r="G71">
        <v>2025</v>
      </c>
      <c r="H71" t="s">
        <v>1160</v>
      </c>
      <c r="I71" t="s">
        <v>1200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Y71">
        <v>0</v>
      </c>
      <c r="AA71">
        <v>9</v>
      </c>
      <c r="AB71">
        <v>-10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C71">
        <v>0</v>
      </c>
      <c r="DD71">
        <v>0</v>
      </c>
      <c r="DE71">
        <v>0</v>
      </c>
      <c r="DF71">
        <v>0</v>
      </c>
      <c r="DH71">
        <v>-1</v>
      </c>
      <c r="DI71">
        <v>-1</v>
      </c>
    </row>
    <row r="72" spans="1:113" ht="15" customHeight="1" x14ac:dyDescent="0.25">
      <c r="A72" t="s">
        <v>1464</v>
      </c>
      <c r="B72" t="s">
        <v>1465</v>
      </c>
      <c r="C72" t="s">
        <v>1466</v>
      </c>
      <c r="D72" t="s">
        <v>1350</v>
      </c>
      <c r="E72" t="s">
        <v>1307</v>
      </c>
      <c r="F72" t="s">
        <v>1467</v>
      </c>
      <c r="G72">
        <v>2025</v>
      </c>
      <c r="H72" t="s">
        <v>1160</v>
      </c>
      <c r="I72" t="s">
        <v>112</v>
      </c>
      <c r="J72">
        <v>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>
        <v>0</v>
      </c>
      <c r="AU72">
        <v>0</v>
      </c>
      <c r="AV72">
        <v>0</v>
      </c>
      <c r="AW72">
        <v>0</v>
      </c>
      <c r="AX72">
        <v>0</v>
      </c>
      <c r="AY72">
        <v>10</v>
      </c>
      <c r="AZ72">
        <v>0</v>
      </c>
      <c r="BA72">
        <v>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</v>
      </c>
      <c r="BU72">
        <v>25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C72">
        <v>0</v>
      </c>
      <c r="DD72">
        <v>0</v>
      </c>
      <c r="DE72">
        <v>0</v>
      </c>
      <c r="DF72">
        <v>0</v>
      </c>
      <c r="DH72">
        <v>0</v>
      </c>
      <c r="DI72">
        <v>0</v>
      </c>
    </row>
    <row r="73" spans="1:113" ht="15" customHeight="1" x14ac:dyDescent="0.25">
      <c r="A73" t="s">
        <v>1468</v>
      </c>
      <c r="B73" t="s">
        <v>1469</v>
      </c>
      <c r="C73" t="s">
        <v>1470</v>
      </c>
      <c r="D73" t="s">
        <v>1280</v>
      </c>
      <c r="E73" t="s">
        <v>1234</v>
      </c>
      <c r="F73" t="s">
        <v>1471</v>
      </c>
      <c r="G73">
        <v>2025</v>
      </c>
      <c r="H73" t="s">
        <v>1160</v>
      </c>
      <c r="I73" t="s">
        <v>97</v>
      </c>
      <c r="J73">
        <v>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Y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S73">
        <v>0</v>
      </c>
      <c r="AU73">
        <v>0</v>
      </c>
      <c r="AV73">
        <v>0</v>
      </c>
      <c r="AW73">
        <v>0</v>
      </c>
      <c r="AX73">
        <v>0</v>
      </c>
      <c r="AY73">
        <v>12</v>
      </c>
      <c r="AZ73">
        <v>0</v>
      </c>
      <c r="BA73">
        <v>8</v>
      </c>
      <c r="BB73">
        <v>4</v>
      </c>
      <c r="BC73">
        <v>18</v>
      </c>
      <c r="BD73">
        <v>0</v>
      </c>
      <c r="BE73">
        <v>2</v>
      </c>
      <c r="BF73">
        <v>15</v>
      </c>
      <c r="BG73">
        <v>9</v>
      </c>
      <c r="BH73">
        <v>1</v>
      </c>
      <c r="BI73">
        <v>11</v>
      </c>
      <c r="BJ73">
        <v>4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</v>
      </c>
      <c r="BU73">
        <v>10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C73">
        <v>0</v>
      </c>
      <c r="DD73">
        <v>0</v>
      </c>
      <c r="DE73">
        <v>0</v>
      </c>
      <c r="DF73">
        <v>0</v>
      </c>
      <c r="DH73">
        <v>0</v>
      </c>
      <c r="DI73">
        <v>0</v>
      </c>
    </row>
    <row r="74" spans="1:113" ht="15" customHeight="1" x14ac:dyDescent="0.25">
      <c r="A74" t="s">
        <v>1472</v>
      </c>
      <c r="B74" t="s">
        <v>1473</v>
      </c>
      <c r="C74" t="s">
        <v>1474</v>
      </c>
      <c r="D74" t="s">
        <v>1233</v>
      </c>
      <c r="E74" t="s">
        <v>1234</v>
      </c>
      <c r="F74" t="s">
        <v>1475</v>
      </c>
      <c r="G74">
        <v>2025</v>
      </c>
      <c r="H74" t="s">
        <v>1160</v>
      </c>
      <c r="I74" t="s">
        <v>112</v>
      </c>
      <c r="J74">
        <v>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Y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>
        <v>0</v>
      </c>
      <c r="AU74">
        <v>0</v>
      </c>
      <c r="AV74">
        <v>0</v>
      </c>
      <c r="AW74">
        <v>0</v>
      </c>
      <c r="AX74">
        <v>0</v>
      </c>
      <c r="AY74">
        <v>21</v>
      </c>
      <c r="AZ74">
        <v>3</v>
      </c>
      <c r="BA74">
        <v>17</v>
      </c>
      <c r="BB74">
        <v>12</v>
      </c>
      <c r="BC74">
        <v>56</v>
      </c>
      <c r="BD74">
        <v>1</v>
      </c>
      <c r="BE74">
        <v>8.5</v>
      </c>
      <c r="BF74">
        <v>42</v>
      </c>
      <c r="BG74">
        <v>10</v>
      </c>
      <c r="BH74">
        <v>0</v>
      </c>
      <c r="BI74">
        <v>0</v>
      </c>
      <c r="BJ74">
        <v>4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</v>
      </c>
      <c r="BR74">
        <v>2</v>
      </c>
      <c r="BS74">
        <v>0</v>
      </c>
      <c r="BT74">
        <v>3</v>
      </c>
      <c r="BU74">
        <v>15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C74">
        <v>0</v>
      </c>
      <c r="DD74">
        <v>0</v>
      </c>
      <c r="DE74">
        <v>0</v>
      </c>
      <c r="DF74">
        <v>0</v>
      </c>
      <c r="DH74">
        <v>0</v>
      </c>
      <c r="DI74">
        <v>0</v>
      </c>
    </row>
    <row r="75" spans="1:113" ht="15" customHeight="1" x14ac:dyDescent="0.25">
      <c r="A75" t="s">
        <v>1476</v>
      </c>
      <c r="B75" t="s">
        <v>1477</v>
      </c>
      <c r="C75" t="s">
        <v>741</v>
      </c>
      <c r="D75" t="s">
        <v>10</v>
      </c>
      <c r="E75" t="s">
        <v>10</v>
      </c>
      <c r="F75" t="s">
        <v>1478</v>
      </c>
      <c r="G75">
        <v>2025</v>
      </c>
      <c r="H75" t="s">
        <v>1160</v>
      </c>
      <c r="I75" t="s">
        <v>1200</v>
      </c>
      <c r="J75">
        <v>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Y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>
        <v>0</v>
      </c>
      <c r="AI75">
        <v>60</v>
      </c>
      <c r="AJ75">
        <v>114</v>
      </c>
      <c r="AK75">
        <v>789</v>
      </c>
      <c r="AL75">
        <v>14</v>
      </c>
      <c r="AM75">
        <v>0</v>
      </c>
      <c r="AN75">
        <v>0</v>
      </c>
      <c r="AO75">
        <v>1444</v>
      </c>
      <c r="AP75">
        <v>117</v>
      </c>
      <c r="AQ75">
        <v>51</v>
      </c>
      <c r="AR75">
        <v>27.033441679594201</v>
      </c>
      <c r="AS75">
        <v>0</v>
      </c>
      <c r="AT75">
        <v>0.54639889196675895</v>
      </c>
      <c r="AU75">
        <v>0.19621342512908799</v>
      </c>
      <c r="AV75">
        <v>0.26602800294767898</v>
      </c>
      <c r="AW75">
        <v>0.48053973975700698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C75">
        <v>0</v>
      </c>
      <c r="DD75">
        <v>0</v>
      </c>
      <c r="DE75">
        <v>0</v>
      </c>
      <c r="DF75">
        <v>0</v>
      </c>
      <c r="DH75">
        <v>162.9</v>
      </c>
      <c r="DI75">
        <v>222.9</v>
      </c>
    </row>
    <row r="76" spans="1:113" ht="15" customHeight="1" x14ac:dyDescent="0.25">
      <c r="A76" t="s">
        <v>1479</v>
      </c>
      <c r="B76" t="s">
        <v>1480</v>
      </c>
      <c r="C76" t="s">
        <v>963</v>
      </c>
      <c r="D76" t="s">
        <v>10</v>
      </c>
      <c r="E76" t="s">
        <v>10</v>
      </c>
      <c r="F76" t="s">
        <v>1481</v>
      </c>
      <c r="G76">
        <v>2025</v>
      </c>
      <c r="H76" t="s">
        <v>1160</v>
      </c>
      <c r="I76" t="s">
        <v>126</v>
      </c>
      <c r="J76">
        <v>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Y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>
        <v>0</v>
      </c>
      <c r="AI76">
        <v>30</v>
      </c>
      <c r="AJ76">
        <v>62</v>
      </c>
      <c r="AK76">
        <v>368</v>
      </c>
      <c r="AL76">
        <v>3</v>
      </c>
      <c r="AM76">
        <v>0</v>
      </c>
      <c r="AN76">
        <v>0</v>
      </c>
      <c r="AO76">
        <v>824</v>
      </c>
      <c r="AP76">
        <v>37</v>
      </c>
      <c r="AQ76">
        <v>23</v>
      </c>
      <c r="AR76">
        <v>5.2663249628748199</v>
      </c>
      <c r="AS76">
        <v>0</v>
      </c>
      <c r="AT76">
        <v>0.44660194174757301</v>
      </c>
      <c r="AU76">
        <v>0.11460258780037</v>
      </c>
      <c r="AV76">
        <v>0.18294849023090601</v>
      </c>
      <c r="AW76">
        <v>0.29996782486218898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</v>
      </c>
      <c r="BU76">
        <v>30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C76">
        <v>0</v>
      </c>
      <c r="DD76">
        <v>0</v>
      </c>
      <c r="DE76">
        <v>0</v>
      </c>
      <c r="DF76">
        <v>0</v>
      </c>
      <c r="DH76">
        <v>54.8</v>
      </c>
      <c r="DI76">
        <v>84.8</v>
      </c>
    </row>
    <row r="77" spans="1:113" ht="15" customHeight="1" x14ac:dyDescent="0.25">
      <c r="A77" t="s">
        <v>1482</v>
      </c>
      <c r="B77" t="s">
        <v>1483</v>
      </c>
      <c r="C77" t="s">
        <v>1484</v>
      </c>
      <c r="D77" t="s">
        <v>1234</v>
      </c>
      <c r="E77" t="s">
        <v>1234</v>
      </c>
      <c r="F77" t="s">
        <v>1485</v>
      </c>
      <c r="G77">
        <v>2025</v>
      </c>
      <c r="H77" t="s">
        <v>1160</v>
      </c>
      <c r="I77" t="s">
        <v>140</v>
      </c>
      <c r="J77">
        <v>16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Y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>
        <v>0</v>
      </c>
      <c r="AU77">
        <v>0</v>
      </c>
      <c r="AV77">
        <v>0</v>
      </c>
      <c r="AW77">
        <v>0</v>
      </c>
      <c r="AX77">
        <v>0</v>
      </c>
      <c r="AY77">
        <v>23</v>
      </c>
      <c r="AZ77">
        <v>1</v>
      </c>
      <c r="BA77">
        <v>29</v>
      </c>
      <c r="BB77">
        <v>11</v>
      </c>
      <c r="BC77">
        <v>54</v>
      </c>
      <c r="BD77">
        <v>3</v>
      </c>
      <c r="BE77">
        <v>6</v>
      </c>
      <c r="BF77">
        <v>42</v>
      </c>
      <c r="BG77">
        <v>20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8</v>
      </c>
      <c r="BO77">
        <v>0</v>
      </c>
      <c r="BP77">
        <v>0</v>
      </c>
      <c r="BQ77">
        <v>3</v>
      </c>
      <c r="BR77">
        <v>3</v>
      </c>
      <c r="BS77">
        <v>2</v>
      </c>
      <c r="BT77">
        <v>1</v>
      </c>
      <c r="BU77">
        <v>15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C77">
        <v>0</v>
      </c>
      <c r="DD77">
        <v>0</v>
      </c>
      <c r="DE77">
        <v>0</v>
      </c>
      <c r="DF77">
        <v>0</v>
      </c>
      <c r="DH77">
        <v>0</v>
      </c>
      <c r="DI77">
        <v>0</v>
      </c>
    </row>
    <row r="78" spans="1:113" ht="15" customHeight="1" x14ac:dyDescent="0.25">
      <c r="A78" t="s">
        <v>1486</v>
      </c>
      <c r="B78" t="s">
        <v>1487</v>
      </c>
      <c r="C78" t="s">
        <v>1488</v>
      </c>
      <c r="D78" t="s">
        <v>1297</v>
      </c>
      <c r="E78" t="s">
        <v>1220</v>
      </c>
      <c r="F78" t="s">
        <v>1489</v>
      </c>
      <c r="G78">
        <v>2025</v>
      </c>
      <c r="H78" t="s">
        <v>1160</v>
      </c>
      <c r="I78" t="s">
        <v>109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Y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C78">
        <v>0</v>
      </c>
      <c r="DD78">
        <v>0</v>
      </c>
      <c r="DE78">
        <v>0</v>
      </c>
      <c r="DF78">
        <v>0</v>
      </c>
      <c r="DH78">
        <v>0</v>
      </c>
      <c r="DI78">
        <v>0</v>
      </c>
    </row>
    <row r="79" spans="1:113" ht="15" customHeight="1" x14ac:dyDescent="0.25">
      <c r="A79" t="s">
        <v>1490</v>
      </c>
      <c r="B79" t="s">
        <v>1491</v>
      </c>
      <c r="C79" t="s">
        <v>871</v>
      </c>
      <c r="D79" t="s">
        <v>439</v>
      </c>
      <c r="E79" t="s">
        <v>439</v>
      </c>
      <c r="F79" t="s">
        <v>1492</v>
      </c>
      <c r="G79">
        <v>2025</v>
      </c>
      <c r="H79" t="s">
        <v>1160</v>
      </c>
      <c r="I79" t="s">
        <v>139</v>
      </c>
      <c r="J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Y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>
        <v>0</v>
      </c>
      <c r="AI79">
        <v>1</v>
      </c>
      <c r="AJ79">
        <v>2</v>
      </c>
      <c r="AK79">
        <v>7</v>
      </c>
      <c r="AL79">
        <v>0</v>
      </c>
      <c r="AM79">
        <v>0</v>
      </c>
      <c r="AN79">
        <v>0</v>
      </c>
      <c r="AO79">
        <v>11</v>
      </c>
      <c r="AP79">
        <v>6</v>
      </c>
      <c r="AQ79">
        <v>0</v>
      </c>
      <c r="AR79">
        <v>-0.38052138424245602</v>
      </c>
      <c r="AS79">
        <v>0</v>
      </c>
      <c r="AT79">
        <v>0.63636363636363602</v>
      </c>
      <c r="AU79">
        <v>3.9761431411530802E-3</v>
      </c>
      <c r="AV79">
        <v>2.4591996422982298E-3</v>
      </c>
      <c r="AW79">
        <v>7.6856544613383903E-3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C79">
        <v>0</v>
      </c>
      <c r="DD79">
        <v>0</v>
      </c>
      <c r="DE79">
        <v>0</v>
      </c>
      <c r="DF79">
        <v>0</v>
      </c>
      <c r="DH79">
        <v>0.7</v>
      </c>
      <c r="DI79">
        <v>1.7</v>
      </c>
    </row>
    <row r="80" spans="1:113" ht="15" customHeight="1" x14ac:dyDescent="0.25">
      <c r="A80" t="s">
        <v>1493</v>
      </c>
      <c r="B80" t="s">
        <v>1494</v>
      </c>
      <c r="C80" t="s">
        <v>1495</v>
      </c>
      <c r="D80" t="s">
        <v>1168</v>
      </c>
      <c r="E80" t="s">
        <v>1169</v>
      </c>
      <c r="F80" t="s">
        <v>1496</v>
      </c>
      <c r="G80">
        <v>2025</v>
      </c>
      <c r="H80" t="s">
        <v>1160</v>
      </c>
      <c r="I80" t="s">
        <v>140</v>
      </c>
      <c r="J80">
        <v>17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Y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S80">
        <v>0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41</v>
      </c>
      <c r="CA80">
        <v>48</v>
      </c>
      <c r="CB80">
        <v>6</v>
      </c>
      <c r="CC80">
        <v>1</v>
      </c>
      <c r="CD80">
        <v>57</v>
      </c>
      <c r="CE80">
        <v>0.85416666666666696</v>
      </c>
      <c r="CF80">
        <v>0</v>
      </c>
      <c r="CG80">
        <v>5</v>
      </c>
      <c r="CH80">
        <v>14</v>
      </c>
      <c r="CI80">
        <v>13</v>
      </c>
      <c r="CJ80">
        <v>9</v>
      </c>
      <c r="CK80">
        <v>0</v>
      </c>
      <c r="CL80">
        <v>0</v>
      </c>
      <c r="CM80">
        <v>1</v>
      </c>
      <c r="CN80">
        <v>1</v>
      </c>
      <c r="CO80">
        <v>2</v>
      </c>
      <c r="CP80">
        <v>1</v>
      </c>
      <c r="CQ80">
        <v>1</v>
      </c>
      <c r="CR80" t="s">
        <v>1497</v>
      </c>
      <c r="CS80" t="s">
        <v>1498</v>
      </c>
      <c r="CT80">
        <v>53</v>
      </c>
      <c r="CU80">
        <v>1666</v>
      </c>
      <c r="CV80">
        <v>267</v>
      </c>
      <c r="CW80">
        <v>53</v>
      </c>
      <c r="CX80">
        <v>48</v>
      </c>
      <c r="CY80">
        <v>48</v>
      </c>
      <c r="CZ80">
        <v>0</v>
      </c>
      <c r="DA80">
        <v>0</v>
      </c>
      <c r="DB80">
        <v>1</v>
      </c>
      <c r="DC80">
        <v>1</v>
      </c>
      <c r="DD80">
        <v>2</v>
      </c>
      <c r="DE80">
        <v>1</v>
      </c>
      <c r="DF80">
        <v>0</v>
      </c>
      <c r="DG80" t="s">
        <v>1499</v>
      </c>
      <c r="DH80">
        <v>0</v>
      </c>
      <c r="DI80">
        <v>0</v>
      </c>
    </row>
    <row r="81" spans="1:113" ht="15" customHeight="1" x14ac:dyDescent="0.25">
      <c r="A81" t="s">
        <v>1500</v>
      </c>
      <c r="B81" t="s">
        <v>1501</v>
      </c>
      <c r="C81" t="s">
        <v>1502</v>
      </c>
      <c r="D81" t="s">
        <v>1158</v>
      </c>
      <c r="E81" t="s">
        <v>1158</v>
      </c>
      <c r="F81" t="s">
        <v>1503</v>
      </c>
      <c r="G81">
        <v>2025</v>
      </c>
      <c r="H81" t="s">
        <v>1160</v>
      </c>
      <c r="I81" t="s">
        <v>139</v>
      </c>
      <c r="J81">
        <v>3</v>
      </c>
      <c r="K81">
        <v>37</v>
      </c>
      <c r="L81">
        <v>66</v>
      </c>
      <c r="M81">
        <v>567</v>
      </c>
      <c r="N81">
        <v>2</v>
      </c>
      <c r="O81">
        <v>2</v>
      </c>
      <c r="P81">
        <v>3</v>
      </c>
      <c r="Q81">
        <v>-11</v>
      </c>
      <c r="R81">
        <v>1</v>
      </c>
      <c r="S81">
        <v>1</v>
      </c>
      <c r="T81">
        <v>619</v>
      </c>
      <c r="U81">
        <v>210</v>
      </c>
      <c r="V81">
        <v>26</v>
      </c>
      <c r="W81">
        <v>15.3917009882326</v>
      </c>
      <c r="X81">
        <v>-3.0970628299410401</v>
      </c>
      <c r="Y81">
        <v>0</v>
      </c>
      <c r="Z81">
        <v>0.91599353796445904</v>
      </c>
      <c r="AA81">
        <v>7</v>
      </c>
      <c r="AB81">
        <v>23</v>
      </c>
      <c r="AC81">
        <v>1</v>
      </c>
      <c r="AD81">
        <v>0</v>
      </c>
      <c r="AE81">
        <v>0</v>
      </c>
      <c r="AF81">
        <v>3</v>
      </c>
      <c r="AG81">
        <v>4.2881339391169604</v>
      </c>
      <c r="AH81">
        <v>0</v>
      </c>
      <c r="AI81">
        <v>1</v>
      </c>
      <c r="AJ81">
        <v>1</v>
      </c>
      <c r="AK81">
        <v>33</v>
      </c>
      <c r="AL81">
        <v>1</v>
      </c>
      <c r="AM81">
        <v>0</v>
      </c>
      <c r="AN81">
        <v>0</v>
      </c>
      <c r="AO81">
        <v>13</v>
      </c>
      <c r="AP81">
        <v>20</v>
      </c>
      <c r="AQ81">
        <v>1</v>
      </c>
      <c r="AR81">
        <v>3.22335465252399</v>
      </c>
      <c r="AS81">
        <v>0</v>
      </c>
      <c r="AT81">
        <v>2.5384615384615401</v>
      </c>
      <c r="AU81">
        <v>1.9880715705765401E-3</v>
      </c>
      <c r="AV81">
        <v>2.9063268499888201E-3</v>
      </c>
      <c r="AW81">
        <v>5.0165361508569904E-3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C81">
        <v>0</v>
      </c>
      <c r="DD81">
        <v>0</v>
      </c>
      <c r="DE81">
        <v>0</v>
      </c>
      <c r="DF81">
        <v>0</v>
      </c>
      <c r="DH81">
        <v>42.28</v>
      </c>
      <c r="DI81">
        <v>43.28</v>
      </c>
    </row>
    <row r="82" spans="1:113" ht="15" customHeight="1" x14ac:dyDescent="0.25">
      <c r="A82" t="s">
        <v>1504</v>
      </c>
      <c r="B82" t="s">
        <v>1505</v>
      </c>
      <c r="C82" t="s">
        <v>1506</v>
      </c>
      <c r="D82" t="s">
        <v>1233</v>
      </c>
      <c r="E82" t="s">
        <v>1234</v>
      </c>
      <c r="F82" t="s">
        <v>1507</v>
      </c>
      <c r="G82">
        <v>2025</v>
      </c>
      <c r="H82" t="s">
        <v>1160</v>
      </c>
      <c r="I82" t="s">
        <v>99</v>
      </c>
      <c r="J82">
        <v>12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Y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S82">
        <v>0</v>
      </c>
      <c r="AU82">
        <v>0</v>
      </c>
      <c r="AV82">
        <v>0</v>
      </c>
      <c r="AW82">
        <v>0</v>
      </c>
      <c r="AX82">
        <v>0</v>
      </c>
      <c r="AY82">
        <v>33</v>
      </c>
      <c r="AZ82">
        <v>0</v>
      </c>
      <c r="BA82">
        <v>23</v>
      </c>
      <c r="BB82">
        <v>6</v>
      </c>
      <c r="BC82">
        <v>20</v>
      </c>
      <c r="BD82">
        <v>1</v>
      </c>
      <c r="BE82">
        <v>1</v>
      </c>
      <c r="BF82">
        <v>2</v>
      </c>
      <c r="BG82">
        <v>2</v>
      </c>
      <c r="BH82">
        <v>0</v>
      </c>
      <c r="BI82">
        <v>0</v>
      </c>
      <c r="BJ82">
        <v>2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</v>
      </c>
      <c r="BU82">
        <v>10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C82">
        <v>0</v>
      </c>
      <c r="DD82">
        <v>0</v>
      </c>
      <c r="DE82">
        <v>0</v>
      </c>
      <c r="DF82">
        <v>0</v>
      </c>
      <c r="DH82">
        <v>0</v>
      </c>
      <c r="DI82">
        <v>0</v>
      </c>
    </row>
    <row r="83" spans="1:113" ht="15" customHeight="1" x14ac:dyDescent="0.25">
      <c r="A83" t="s">
        <v>1508</v>
      </c>
      <c r="B83" t="s">
        <v>1509</v>
      </c>
      <c r="C83" t="s">
        <v>1510</v>
      </c>
      <c r="D83" t="s">
        <v>1511</v>
      </c>
      <c r="E83" t="s">
        <v>1190</v>
      </c>
      <c r="F83" t="s">
        <v>1512</v>
      </c>
      <c r="G83">
        <v>2025</v>
      </c>
      <c r="H83" t="s">
        <v>1160</v>
      </c>
      <c r="I83" t="s">
        <v>143</v>
      </c>
      <c r="J83">
        <v>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Y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>
        <v>0</v>
      </c>
      <c r="AU83">
        <v>0</v>
      </c>
      <c r="AV83">
        <v>0</v>
      </c>
      <c r="AW83">
        <v>0</v>
      </c>
      <c r="AX83">
        <v>0</v>
      </c>
      <c r="AY83">
        <v>8</v>
      </c>
      <c r="AZ83">
        <v>2</v>
      </c>
      <c r="BA83">
        <v>16</v>
      </c>
      <c r="BB83">
        <v>4</v>
      </c>
      <c r="BC83">
        <v>7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C83">
        <v>0</v>
      </c>
      <c r="DD83">
        <v>0</v>
      </c>
      <c r="DE83">
        <v>0</v>
      </c>
      <c r="DF83">
        <v>0</v>
      </c>
      <c r="DH83">
        <v>0</v>
      </c>
      <c r="DI83">
        <v>0</v>
      </c>
    </row>
    <row r="84" spans="1:113" ht="15" customHeight="1" x14ac:dyDescent="0.25">
      <c r="A84" t="s">
        <v>1513</v>
      </c>
      <c r="B84" t="s">
        <v>1514</v>
      </c>
      <c r="C84" t="s">
        <v>1515</v>
      </c>
      <c r="D84" t="s">
        <v>1280</v>
      </c>
      <c r="E84" t="s">
        <v>1234</v>
      </c>
      <c r="F84" t="s">
        <v>1516</v>
      </c>
      <c r="G84">
        <v>2025</v>
      </c>
      <c r="H84" t="s">
        <v>1160</v>
      </c>
      <c r="I84" t="s">
        <v>141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Y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S84">
        <v>0</v>
      </c>
      <c r="AU84">
        <v>0</v>
      </c>
      <c r="AV84">
        <v>0</v>
      </c>
      <c r="AW84">
        <v>0</v>
      </c>
      <c r="AX84">
        <v>0</v>
      </c>
      <c r="AY84">
        <v>3</v>
      </c>
      <c r="AZ84">
        <v>0</v>
      </c>
      <c r="BA84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C84">
        <v>0</v>
      </c>
      <c r="DD84">
        <v>0</v>
      </c>
      <c r="DE84">
        <v>0</v>
      </c>
      <c r="DF84">
        <v>0</v>
      </c>
      <c r="DH84">
        <v>0</v>
      </c>
      <c r="DI84">
        <v>0</v>
      </c>
    </row>
    <row r="85" spans="1:113" ht="15" customHeight="1" x14ac:dyDescent="0.25">
      <c r="A85" t="s">
        <v>1517</v>
      </c>
      <c r="B85" t="s">
        <v>1518</v>
      </c>
      <c r="C85" t="s">
        <v>1519</v>
      </c>
      <c r="D85" t="s">
        <v>1243</v>
      </c>
      <c r="E85" t="s">
        <v>1190</v>
      </c>
      <c r="F85" t="s">
        <v>1520</v>
      </c>
      <c r="G85">
        <v>2025</v>
      </c>
      <c r="H85" t="s">
        <v>1160</v>
      </c>
      <c r="I85" t="s">
        <v>99</v>
      </c>
      <c r="J85">
        <v>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Y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>
        <v>0</v>
      </c>
      <c r="AU85">
        <v>0</v>
      </c>
      <c r="AV85">
        <v>0</v>
      </c>
      <c r="AW85">
        <v>0</v>
      </c>
      <c r="AX85">
        <v>0</v>
      </c>
      <c r="AY85">
        <v>5</v>
      </c>
      <c r="AZ85">
        <v>0</v>
      </c>
      <c r="BA85">
        <v>4</v>
      </c>
      <c r="BB85">
        <v>2</v>
      </c>
      <c r="BC85">
        <v>8</v>
      </c>
      <c r="BD85">
        <v>0</v>
      </c>
      <c r="BE85">
        <v>1</v>
      </c>
      <c r="BF85">
        <v>7</v>
      </c>
      <c r="BG85">
        <v>1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5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C85">
        <v>0</v>
      </c>
      <c r="DD85">
        <v>0</v>
      </c>
      <c r="DE85">
        <v>0</v>
      </c>
      <c r="DF85">
        <v>0</v>
      </c>
      <c r="DH85">
        <v>0</v>
      </c>
      <c r="DI85">
        <v>0</v>
      </c>
    </row>
    <row r="86" spans="1:113" ht="15" customHeight="1" x14ac:dyDescent="0.25">
      <c r="A86" t="s">
        <v>1521</v>
      </c>
      <c r="B86" t="s">
        <v>1522</v>
      </c>
      <c r="C86" t="s">
        <v>1523</v>
      </c>
      <c r="D86" t="s">
        <v>1189</v>
      </c>
      <c r="E86" t="s">
        <v>1190</v>
      </c>
      <c r="F86" t="s">
        <v>1524</v>
      </c>
      <c r="G86">
        <v>2025</v>
      </c>
      <c r="H86" t="s">
        <v>1160</v>
      </c>
      <c r="I86" t="s">
        <v>121</v>
      </c>
      <c r="J86">
        <v>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Y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>
        <v>0</v>
      </c>
      <c r="AU86">
        <v>0</v>
      </c>
      <c r="AV86">
        <v>0</v>
      </c>
      <c r="AW86">
        <v>0</v>
      </c>
      <c r="AX86">
        <v>0</v>
      </c>
      <c r="AY86">
        <v>28</v>
      </c>
      <c r="AZ86">
        <v>0</v>
      </c>
      <c r="BA86">
        <v>26</v>
      </c>
      <c r="BB86">
        <v>15</v>
      </c>
      <c r="BC86">
        <v>112</v>
      </c>
      <c r="BD86">
        <v>3</v>
      </c>
      <c r="BE86">
        <v>15</v>
      </c>
      <c r="BF86">
        <v>117</v>
      </c>
      <c r="BG86">
        <v>22</v>
      </c>
      <c r="BH86">
        <v>0</v>
      </c>
      <c r="BI86">
        <v>0</v>
      </c>
      <c r="BJ86">
        <v>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1</v>
      </c>
      <c r="BS86">
        <v>0</v>
      </c>
      <c r="BT86">
        <v>1</v>
      </c>
      <c r="BU86">
        <v>5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C86">
        <v>0</v>
      </c>
      <c r="DD86">
        <v>0</v>
      </c>
      <c r="DE86">
        <v>0</v>
      </c>
      <c r="DF86">
        <v>0</v>
      </c>
      <c r="DH86">
        <v>0</v>
      </c>
      <c r="DI86">
        <v>0</v>
      </c>
    </row>
    <row r="87" spans="1:113" ht="15" customHeight="1" x14ac:dyDescent="0.25">
      <c r="A87" t="s">
        <v>1525</v>
      </c>
      <c r="B87" t="s">
        <v>1526</v>
      </c>
      <c r="C87" t="s">
        <v>1527</v>
      </c>
      <c r="D87" t="s">
        <v>1189</v>
      </c>
      <c r="E87" t="s">
        <v>1190</v>
      </c>
      <c r="F87" t="s">
        <v>1528</v>
      </c>
      <c r="G87">
        <v>2025</v>
      </c>
      <c r="H87" t="s">
        <v>1160</v>
      </c>
      <c r="I87" t="s">
        <v>120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Y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S87">
        <v>0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0</v>
      </c>
      <c r="BA87">
        <v>7</v>
      </c>
      <c r="BB87">
        <v>2</v>
      </c>
      <c r="BC87">
        <v>15</v>
      </c>
      <c r="BD87">
        <v>0</v>
      </c>
      <c r="BE87">
        <v>1.5</v>
      </c>
      <c r="BF87">
        <v>18.5</v>
      </c>
      <c r="BG87">
        <v>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C87">
        <v>0</v>
      </c>
      <c r="DD87">
        <v>0</v>
      </c>
      <c r="DE87">
        <v>0</v>
      </c>
      <c r="DF87">
        <v>0</v>
      </c>
      <c r="DH87">
        <v>0</v>
      </c>
      <c r="DI87">
        <v>0</v>
      </c>
    </row>
    <row r="88" spans="1:113" ht="15" customHeight="1" x14ac:dyDescent="0.25">
      <c r="A88" t="s">
        <v>1529</v>
      </c>
      <c r="B88" t="s">
        <v>1530</v>
      </c>
      <c r="C88" t="s">
        <v>1531</v>
      </c>
      <c r="D88" t="s">
        <v>1243</v>
      </c>
      <c r="E88" t="s">
        <v>1190</v>
      </c>
      <c r="F88" t="s">
        <v>1532</v>
      </c>
      <c r="G88">
        <v>2025</v>
      </c>
      <c r="H88" t="s">
        <v>1160</v>
      </c>
      <c r="I88" t="s">
        <v>104</v>
      </c>
      <c r="J88">
        <v>13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Y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>
        <v>0</v>
      </c>
      <c r="AU88">
        <v>0</v>
      </c>
      <c r="AV88">
        <v>0</v>
      </c>
      <c r="AW88">
        <v>0</v>
      </c>
      <c r="AX88">
        <v>0</v>
      </c>
      <c r="AY88">
        <v>14</v>
      </c>
      <c r="AZ88">
        <v>0</v>
      </c>
      <c r="BA88">
        <v>25</v>
      </c>
      <c r="BB88">
        <v>1</v>
      </c>
      <c r="BC88">
        <v>4</v>
      </c>
      <c r="BD88">
        <v>0</v>
      </c>
      <c r="BE88">
        <v>1.5</v>
      </c>
      <c r="BF88">
        <v>6.5</v>
      </c>
      <c r="BG88">
        <v>8</v>
      </c>
      <c r="BH88">
        <v>0</v>
      </c>
      <c r="BI88">
        <v>0</v>
      </c>
      <c r="BJ88">
        <v>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11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C88">
        <v>0</v>
      </c>
      <c r="DD88">
        <v>0</v>
      </c>
      <c r="DE88">
        <v>0</v>
      </c>
      <c r="DF88">
        <v>0</v>
      </c>
      <c r="DH88">
        <v>0</v>
      </c>
      <c r="DI88">
        <v>0</v>
      </c>
    </row>
    <row r="89" spans="1:113" ht="15" customHeight="1" x14ac:dyDescent="0.25">
      <c r="A89" t="s">
        <v>1533</v>
      </c>
      <c r="B89" t="s">
        <v>1534</v>
      </c>
      <c r="C89" t="s">
        <v>1535</v>
      </c>
      <c r="D89" t="s">
        <v>10</v>
      </c>
      <c r="E89" t="s">
        <v>10</v>
      </c>
      <c r="F89" t="s">
        <v>1536</v>
      </c>
      <c r="G89">
        <v>2025</v>
      </c>
      <c r="H89" t="s">
        <v>1160</v>
      </c>
      <c r="I89" t="s">
        <v>114</v>
      </c>
      <c r="J89">
        <v>17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Y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H89">
        <v>0</v>
      </c>
      <c r="AI89">
        <v>85</v>
      </c>
      <c r="AJ89">
        <v>102</v>
      </c>
      <c r="AK89">
        <v>1013</v>
      </c>
      <c r="AL89">
        <v>4</v>
      </c>
      <c r="AM89">
        <v>0</v>
      </c>
      <c r="AN89">
        <v>0</v>
      </c>
      <c r="AO89">
        <v>871</v>
      </c>
      <c r="AP89">
        <v>354</v>
      </c>
      <c r="AQ89">
        <v>51</v>
      </c>
      <c r="AR89">
        <v>70.370373888625494</v>
      </c>
      <c r="AS89">
        <v>0</v>
      </c>
      <c r="AT89">
        <v>1.1630309988518901</v>
      </c>
      <c r="AU89">
        <v>0.21161825726141101</v>
      </c>
      <c r="AV89">
        <v>0.18885516045099701</v>
      </c>
      <c r="AW89">
        <v>0.44962599820781401</v>
      </c>
      <c r="AX89">
        <v>0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</v>
      </c>
      <c r="BU89">
        <v>35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C89">
        <v>0</v>
      </c>
      <c r="DD89">
        <v>0</v>
      </c>
      <c r="DE89">
        <v>0</v>
      </c>
      <c r="DF89">
        <v>0</v>
      </c>
      <c r="DH89">
        <v>125.3</v>
      </c>
      <c r="DI89">
        <v>210.3</v>
      </c>
    </row>
    <row r="90" spans="1:113" ht="15" customHeight="1" x14ac:dyDescent="0.25">
      <c r="A90" t="s">
        <v>1537</v>
      </c>
      <c r="B90" t="s">
        <v>1538</v>
      </c>
      <c r="C90" t="s">
        <v>1539</v>
      </c>
      <c r="D90" t="s">
        <v>1375</v>
      </c>
      <c r="E90" t="s">
        <v>1307</v>
      </c>
      <c r="F90" t="s">
        <v>1540</v>
      </c>
      <c r="G90">
        <v>2025</v>
      </c>
      <c r="H90" t="s">
        <v>1160</v>
      </c>
      <c r="I90" t="s">
        <v>142</v>
      </c>
      <c r="J90">
        <v>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Y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S90">
        <v>0</v>
      </c>
      <c r="AU90">
        <v>0</v>
      </c>
      <c r="AV90">
        <v>0</v>
      </c>
      <c r="AW90">
        <v>0</v>
      </c>
      <c r="AX90">
        <v>0</v>
      </c>
      <c r="AY90">
        <v>16</v>
      </c>
      <c r="AZ90">
        <v>1</v>
      </c>
      <c r="BA90">
        <v>13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D90">
        <v>0</v>
      </c>
      <c r="DE90">
        <v>0</v>
      </c>
      <c r="DF90">
        <v>0</v>
      </c>
      <c r="DH90">
        <v>0</v>
      </c>
      <c r="DI90">
        <v>0</v>
      </c>
    </row>
    <row r="91" spans="1:113" ht="15" customHeight="1" x14ac:dyDescent="0.25">
      <c r="A91" t="s">
        <v>1541</v>
      </c>
      <c r="B91" t="s">
        <v>1542</v>
      </c>
      <c r="C91" t="s">
        <v>791</v>
      </c>
      <c r="D91" t="s">
        <v>439</v>
      </c>
      <c r="E91" t="s">
        <v>439</v>
      </c>
      <c r="F91" t="s">
        <v>1543</v>
      </c>
      <c r="G91">
        <v>2025</v>
      </c>
      <c r="H91" t="s">
        <v>1160</v>
      </c>
      <c r="I91" t="s">
        <v>133</v>
      </c>
      <c r="J91">
        <v>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Y91">
        <v>0</v>
      </c>
      <c r="AA91">
        <v>1</v>
      </c>
      <c r="AB91">
        <v>4</v>
      </c>
      <c r="AC91">
        <v>0</v>
      </c>
      <c r="AD91">
        <v>0</v>
      </c>
      <c r="AE91">
        <v>0</v>
      </c>
      <c r="AF91">
        <v>1</v>
      </c>
      <c r="AG91">
        <v>0.36744584736879898</v>
      </c>
      <c r="AH91">
        <v>0</v>
      </c>
      <c r="AI91">
        <v>24</v>
      </c>
      <c r="AJ91">
        <v>34</v>
      </c>
      <c r="AK91">
        <v>283</v>
      </c>
      <c r="AL91">
        <v>6</v>
      </c>
      <c r="AM91">
        <v>0</v>
      </c>
      <c r="AN91">
        <v>0</v>
      </c>
      <c r="AO91">
        <v>359</v>
      </c>
      <c r="AP91">
        <v>73</v>
      </c>
      <c r="AQ91">
        <v>19</v>
      </c>
      <c r="AR91">
        <v>28.266235016621199</v>
      </c>
      <c r="AS91">
        <v>0</v>
      </c>
      <c r="AT91">
        <v>0.78830083565459597</v>
      </c>
      <c r="AU91">
        <v>7.3593073593073599E-2</v>
      </c>
      <c r="AV91">
        <v>0.106781677572873</v>
      </c>
      <c r="AW91">
        <v>0.185136784690622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5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C91">
        <v>0</v>
      </c>
      <c r="DD91">
        <v>0</v>
      </c>
      <c r="DE91">
        <v>0</v>
      </c>
      <c r="DF91">
        <v>0</v>
      </c>
      <c r="DH91">
        <v>64.7</v>
      </c>
      <c r="DI91">
        <v>88.7</v>
      </c>
    </row>
    <row r="92" spans="1:113" ht="15" customHeight="1" x14ac:dyDescent="0.25">
      <c r="A92" t="s">
        <v>1544</v>
      </c>
      <c r="B92" t="s">
        <v>1545</v>
      </c>
      <c r="C92" t="s">
        <v>1546</v>
      </c>
      <c r="D92" t="s">
        <v>1219</v>
      </c>
      <c r="E92" t="s">
        <v>1220</v>
      </c>
      <c r="F92" t="s">
        <v>1547</v>
      </c>
      <c r="G92">
        <v>2025</v>
      </c>
      <c r="H92" t="s">
        <v>1160</v>
      </c>
      <c r="I92" t="s">
        <v>131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Y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5</v>
      </c>
      <c r="BU92">
        <v>25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D92">
        <v>0</v>
      </c>
      <c r="DE92">
        <v>0</v>
      </c>
      <c r="DF92">
        <v>0</v>
      </c>
      <c r="DH92">
        <v>0</v>
      </c>
      <c r="DI92">
        <v>0</v>
      </c>
    </row>
    <row r="93" spans="1:113" ht="15" customHeight="1" x14ac:dyDescent="0.25">
      <c r="A93" t="s">
        <v>1548</v>
      </c>
      <c r="B93" t="s">
        <v>1549</v>
      </c>
      <c r="C93" t="s">
        <v>1550</v>
      </c>
      <c r="D93" t="s">
        <v>431</v>
      </c>
      <c r="E93" t="s">
        <v>431</v>
      </c>
      <c r="F93" t="s">
        <v>1551</v>
      </c>
      <c r="G93">
        <v>2025</v>
      </c>
      <c r="H93" t="s">
        <v>1160</v>
      </c>
      <c r="I93" t="s">
        <v>89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Y93">
        <v>0</v>
      </c>
      <c r="AA93">
        <v>22</v>
      </c>
      <c r="AB93">
        <v>104</v>
      </c>
      <c r="AC93">
        <v>0</v>
      </c>
      <c r="AD93">
        <v>0</v>
      </c>
      <c r="AE93">
        <v>0</v>
      </c>
      <c r="AF93">
        <v>5</v>
      </c>
      <c r="AG93">
        <v>-9.0552454657260508</v>
      </c>
      <c r="AH93">
        <v>0</v>
      </c>
      <c r="AI93">
        <v>12</v>
      </c>
      <c r="AJ93">
        <v>12</v>
      </c>
      <c r="AK93">
        <v>70</v>
      </c>
      <c r="AL93">
        <v>0</v>
      </c>
      <c r="AM93">
        <v>0</v>
      </c>
      <c r="AN93">
        <v>0</v>
      </c>
      <c r="AO93">
        <v>-16</v>
      </c>
      <c r="AP93">
        <v>86</v>
      </c>
      <c r="AQ93">
        <v>6</v>
      </c>
      <c r="AR93">
        <v>1.4606742499163401</v>
      </c>
      <c r="AS93">
        <v>0</v>
      </c>
      <c r="AT93">
        <v>-4.375</v>
      </c>
      <c r="AU93">
        <v>2.4291497975708499E-2</v>
      </c>
      <c r="AV93">
        <v>-4.9875311720698296E-3</v>
      </c>
      <c r="AW93">
        <v>3.2945975143113898E-2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23</v>
      </c>
      <c r="BY93">
        <v>673</v>
      </c>
      <c r="BZ93">
        <v>0</v>
      </c>
      <c r="CA93">
        <v>0</v>
      </c>
      <c r="CB93">
        <v>0</v>
      </c>
      <c r="CC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C93">
        <v>0</v>
      </c>
      <c r="DD93">
        <v>0</v>
      </c>
      <c r="DE93">
        <v>0</v>
      </c>
      <c r="DF93">
        <v>0</v>
      </c>
      <c r="DH93">
        <v>17.399999999999999</v>
      </c>
      <c r="DI93">
        <v>29.4</v>
      </c>
    </row>
    <row r="94" spans="1:113" ht="15" customHeight="1" x14ac:dyDescent="0.25">
      <c r="A94" t="s">
        <v>1552</v>
      </c>
      <c r="B94" t="s">
        <v>1553</v>
      </c>
      <c r="C94" t="s">
        <v>1554</v>
      </c>
      <c r="D94" t="s">
        <v>1234</v>
      </c>
      <c r="E94" t="s">
        <v>1234</v>
      </c>
      <c r="F94" t="s">
        <v>1555</v>
      </c>
      <c r="G94">
        <v>2025</v>
      </c>
      <c r="H94" t="s">
        <v>1160</v>
      </c>
      <c r="I94" t="s">
        <v>139</v>
      </c>
      <c r="J94">
        <v>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Y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S94">
        <v>0</v>
      </c>
      <c r="AU94">
        <v>0</v>
      </c>
      <c r="AV94">
        <v>0</v>
      </c>
      <c r="AW94">
        <v>0</v>
      </c>
      <c r="AX94">
        <v>0</v>
      </c>
      <c r="AY94">
        <v>5</v>
      </c>
      <c r="AZ94">
        <v>0</v>
      </c>
      <c r="BA94">
        <v>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0</v>
      </c>
      <c r="DD94">
        <v>0</v>
      </c>
      <c r="DE94">
        <v>0</v>
      </c>
      <c r="DF94">
        <v>0</v>
      </c>
      <c r="DH94">
        <v>0</v>
      </c>
      <c r="DI94">
        <v>0</v>
      </c>
    </row>
    <row r="95" spans="1:113" ht="15" customHeight="1" x14ac:dyDescent="0.25">
      <c r="A95" t="s">
        <v>1556</v>
      </c>
      <c r="B95" t="s">
        <v>1557</v>
      </c>
      <c r="C95" t="s">
        <v>1558</v>
      </c>
      <c r="D95" t="s">
        <v>10</v>
      </c>
      <c r="E95" t="s">
        <v>10</v>
      </c>
      <c r="F95" t="s">
        <v>1559</v>
      </c>
      <c r="G95">
        <v>2025</v>
      </c>
      <c r="H95" t="s">
        <v>1160</v>
      </c>
      <c r="I95" t="s">
        <v>109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Y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S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6</v>
      </c>
      <c r="BW95">
        <v>56</v>
      </c>
      <c r="BX95">
        <v>11</v>
      </c>
      <c r="BY95">
        <v>274</v>
      </c>
      <c r="BZ95">
        <v>0</v>
      </c>
      <c r="CA95">
        <v>0</v>
      </c>
      <c r="CB95">
        <v>0</v>
      </c>
      <c r="CC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C95">
        <v>0</v>
      </c>
      <c r="DD95">
        <v>0</v>
      </c>
      <c r="DE95">
        <v>0</v>
      </c>
      <c r="DF95">
        <v>0</v>
      </c>
      <c r="DH95">
        <v>0</v>
      </c>
      <c r="DI95">
        <v>0</v>
      </c>
    </row>
    <row r="96" spans="1:113" ht="15" customHeight="1" x14ac:dyDescent="0.25">
      <c r="A96" t="s">
        <v>1560</v>
      </c>
      <c r="B96" t="s">
        <v>1561</v>
      </c>
      <c r="C96" t="s">
        <v>1562</v>
      </c>
      <c r="D96" t="s">
        <v>1234</v>
      </c>
      <c r="E96" t="s">
        <v>1234</v>
      </c>
      <c r="F96" t="s">
        <v>1563</v>
      </c>
      <c r="G96">
        <v>2025</v>
      </c>
      <c r="H96" t="s">
        <v>1160</v>
      </c>
      <c r="I96" t="s">
        <v>115</v>
      </c>
      <c r="J96">
        <v>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Y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S96">
        <v>0</v>
      </c>
      <c r="AU96">
        <v>0</v>
      </c>
      <c r="AV96">
        <v>0</v>
      </c>
      <c r="AW96">
        <v>0</v>
      </c>
      <c r="AX96">
        <v>0</v>
      </c>
      <c r="AY96">
        <v>52</v>
      </c>
      <c r="AZ96">
        <v>2</v>
      </c>
      <c r="BA96">
        <v>81</v>
      </c>
      <c r="BB96">
        <v>3</v>
      </c>
      <c r="BC96">
        <v>5</v>
      </c>
      <c r="BD96">
        <v>1</v>
      </c>
      <c r="BE96">
        <v>1</v>
      </c>
      <c r="BF96">
        <v>1</v>
      </c>
      <c r="BG96">
        <v>3</v>
      </c>
      <c r="BH96">
        <v>0</v>
      </c>
      <c r="BI96">
        <v>0</v>
      </c>
      <c r="BJ96">
        <v>4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0</v>
      </c>
      <c r="DD96">
        <v>0</v>
      </c>
      <c r="DE96">
        <v>0</v>
      </c>
      <c r="DF96">
        <v>0</v>
      </c>
      <c r="DH96">
        <v>0</v>
      </c>
      <c r="DI96">
        <v>0</v>
      </c>
    </row>
    <row r="97" spans="1:113" ht="15" customHeight="1" x14ac:dyDescent="0.25">
      <c r="A97" t="s">
        <v>1564</v>
      </c>
      <c r="B97" t="s">
        <v>1565</v>
      </c>
      <c r="C97" t="s">
        <v>1566</v>
      </c>
      <c r="D97" t="s">
        <v>1189</v>
      </c>
      <c r="E97" t="s">
        <v>1190</v>
      </c>
      <c r="F97" t="s">
        <v>1567</v>
      </c>
      <c r="G97">
        <v>2025</v>
      </c>
      <c r="H97" t="s">
        <v>1160</v>
      </c>
      <c r="I97" t="s">
        <v>140</v>
      </c>
      <c r="J97">
        <v>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Y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S97">
        <v>0</v>
      </c>
      <c r="AU97">
        <v>0</v>
      </c>
      <c r="AV97">
        <v>0</v>
      </c>
      <c r="AW97">
        <v>0</v>
      </c>
      <c r="AX97">
        <v>0</v>
      </c>
      <c r="AY97">
        <v>32</v>
      </c>
      <c r="AZ97">
        <v>1</v>
      </c>
      <c r="BA97">
        <v>29</v>
      </c>
      <c r="BB97">
        <v>9</v>
      </c>
      <c r="BC97">
        <v>41</v>
      </c>
      <c r="BD97">
        <v>0</v>
      </c>
      <c r="BE97">
        <v>7</v>
      </c>
      <c r="BF97">
        <v>44.5</v>
      </c>
      <c r="BG97">
        <v>22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5</v>
      </c>
      <c r="BU97">
        <v>60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0</v>
      </c>
      <c r="DD97">
        <v>0</v>
      </c>
      <c r="DE97">
        <v>0</v>
      </c>
      <c r="DF97">
        <v>0</v>
      </c>
      <c r="DH97">
        <v>0</v>
      </c>
      <c r="DI97">
        <v>0</v>
      </c>
    </row>
    <row r="98" spans="1:113" ht="15" customHeight="1" x14ac:dyDescent="0.25">
      <c r="A98" t="s">
        <v>1568</v>
      </c>
      <c r="B98" t="s">
        <v>1569</v>
      </c>
      <c r="C98" t="s">
        <v>1570</v>
      </c>
      <c r="D98" t="s">
        <v>1189</v>
      </c>
      <c r="E98" t="s">
        <v>1190</v>
      </c>
      <c r="F98" t="s">
        <v>1571</v>
      </c>
      <c r="G98">
        <v>2025</v>
      </c>
      <c r="H98" t="s">
        <v>1160</v>
      </c>
      <c r="I98" t="s">
        <v>143</v>
      </c>
      <c r="J98">
        <v>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Y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S98">
        <v>0</v>
      </c>
      <c r="AU98">
        <v>0</v>
      </c>
      <c r="AV98">
        <v>0</v>
      </c>
      <c r="AW98">
        <v>0</v>
      </c>
      <c r="AX98">
        <v>0</v>
      </c>
      <c r="AY98">
        <v>8</v>
      </c>
      <c r="AZ98">
        <v>0</v>
      </c>
      <c r="BA98">
        <v>16</v>
      </c>
      <c r="BB98">
        <v>2</v>
      </c>
      <c r="BC98">
        <v>6</v>
      </c>
      <c r="BD98">
        <v>0</v>
      </c>
      <c r="BE98">
        <v>0.5</v>
      </c>
      <c r="BF98">
        <v>1.5</v>
      </c>
      <c r="BG98">
        <v>6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0</v>
      </c>
      <c r="DD98">
        <v>0</v>
      </c>
      <c r="DE98">
        <v>0</v>
      </c>
      <c r="DF98">
        <v>0</v>
      </c>
      <c r="DH98">
        <v>0</v>
      </c>
      <c r="DI98">
        <v>0</v>
      </c>
    </row>
    <row r="99" spans="1:113" ht="15" customHeight="1" x14ac:dyDescent="0.25">
      <c r="A99" t="s">
        <v>1572</v>
      </c>
      <c r="B99" t="s">
        <v>1573</v>
      </c>
      <c r="C99" t="s">
        <v>1574</v>
      </c>
      <c r="D99" t="s">
        <v>1243</v>
      </c>
      <c r="E99" t="s">
        <v>1190</v>
      </c>
      <c r="F99" t="s">
        <v>1575</v>
      </c>
      <c r="G99">
        <v>2025</v>
      </c>
      <c r="H99" t="s">
        <v>1160</v>
      </c>
      <c r="I99" t="s">
        <v>139</v>
      </c>
      <c r="J99">
        <v>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Y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S99">
        <v>0</v>
      </c>
      <c r="AU99">
        <v>0</v>
      </c>
      <c r="AV99">
        <v>0</v>
      </c>
      <c r="AW99">
        <v>0</v>
      </c>
      <c r="AX99">
        <v>0</v>
      </c>
      <c r="AY99">
        <v>6</v>
      </c>
      <c r="AZ99">
        <v>0</v>
      </c>
      <c r="BA99">
        <v>17</v>
      </c>
      <c r="BB99">
        <v>3</v>
      </c>
      <c r="BC99">
        <v>22</v>
      </c>
      <c r="BD99">
        <v>0</v>
      </c>
      <c r="BE99">
        <v>3</v>
      </c>
      <c r="BF99">
        <v>22</v>
      </c>
      <c r="BG99">
        <v>4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5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H99">
        <v>0</v>
      </c>
      <c r="DI99">
        <v>0</v>
      </c>
    </row>
    <row r="100" spans="1:113" ht="15" customHeight="1" x14ac:dyDescent="0.25">
      <c r="A100" t="s">
        <v>1576</v>
      </c>
      <c r="B100" t="s">
        <v>1577</v>
      </c>
      <c r="C100" t="s">
        <v>1578</v>
      </c>
      <c r="D100" t="s">
        <v>1189</v>
      </c>
      <c r="E100" t="s">
        <v>1190</v>
      </c>
      <c r="F100" t="s">
        <v>1579</v>
      </c>
      <c r="G100">
        <v>2025</v>
      </c>
      <c r="H100" t="s">
        <v>1160</v>
      </c>
      <c r="I100" t="s">
        <v>112</v>
      </c>
      <c r="J100">
        <v>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Y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>
        <v>0</v>
      </c>
      <c r="AU100">
        <v>0</v>
      </c>
      <c r="AV100">
        <v>0</v>
      </c>
      <c r="AW100">
        <v>0</v>
      </c>
      <c r="AX100">
        <v>0</v>
      </c>
      <c r="AY100">
        <v>10</v>
      </c>
      <c r="AZ100">
        <v>0</v>
      </c>
      <c r="BA100">
        <v>5</v>
      </c>
      <c r="BB100">
        <v>4</v>
      </c>
      <c r="BC100">
        <v>23</v>
      </c>
      <c r="BD100">
        <v>0</v>
      </c>
      <c r="BE100">
        <v>3</v>
      </c>
      <c r="BF100">
        <v>21</v>
      </c>
      <c r="BG100">
        <v>10</v>
      </c>
      <c r="BH100">
        <v>0</v>
      </c>
      <c r="BI100">
        <v>0</v>
      </c>
      <c r="BJ100">
        <v>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0</v>
      </c>
      <c r="DD100">
        <v>0</v>
      </c>
      <c r="DE100">
        <v>0</v>
      </c>
      <c r="DF100">
        <v>0</v>
      </c>
      <c r="DH100">
        <v>0</v>
      </c>
      <c r="DI100">
        <v>0</v>
      </c>
    </row>
    <row r="101" spans="1:113" ht="15" customHeight="1" x14ac:dyDescent="0.25">
      <c r="A101" t="s">
        <v>1580</v>
      </c>
      <c r="B101" t="s">
        <v>1581</v>
      </c>
      <c r="C101" t="s">
        <v>1582</v>
      </c>
      <c r="D101" t="s">
        <v>1209</v>
      </c>
      <c r="E101" t="s">
        <v>1169</v>
      </c>
      <c r="F101" t="s">
        <v>1583</v>
      </c>
      <c r="G101">
        <v>2025</v>
      </c>
      <c r="H101" t="s">
        <v>1160</v>
      </c>
      <c r="I101" t="s">
        <v>93</v>
      </c>
      <c r="J101">
        <v>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Y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C101">
        <v>0</v>
      </c>
      <c r="DD101">
        <v>0</v>
      </c>
      <c r="DE101">
        <v>0</v>
      </c>
      <c r="DF101">
        <v>0</v>
      </c>
      <c r="DH101">
        <v>0</v>
      </c>
      <c r="DI101">
        <v>0</v>
      </c>
    </row>
    <row r="102" spans="1:113" ht="15" customHeight="1" x14ac:dyDescent="0.25">
      <c r="A102" t="s">
        <v>1584</v>
      </c>
      <c r="B102" t="s">
        <v>1585</v>
      </c>
      <c r="C102" t="s">
        <v>1586</v>
      </c>
      <c r="D102" t="s">
        <v>1219</v>
      </c>
      <c r="E102" t="s">
        <v>1220</v>
      </c>
      <c r="F102" t="s">
        <v>1587</v>
      </c>
      <c r="G102">
        <v>2025</v>
      </c>
      <c r="H102" t="s">
        <v>1160</v>
      </c>
      <c r="I102" t="s">
        <v>121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Y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S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5</v>
      </c>
      <c r="BU102">
        <v>35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C102">
        <v>0</v>
      </c>
      <c r="DD102">
        <v>0</v>
      </c>
      <c r="DE102">
        <v>0</v>
      </c>
      <c r="DF102">
        <v>0</v>
      </c>
      <c r="DH102">
        <v>0</v>
      </c>
      <c r="DI102">
        <v>0</v>
      </c>
    </row>
    <row r="103" spans="1:113" ht="15" customHeight="1" x14ac:dyDescent="0.25">
      <c r="A103" t="s">
        <v>1588</v>
      </c>
      <c r="B103" t="s">
        <v>1589</v>
      </c>
      <c r="C103" t="s">
        <v>1590</v>
      </c>
      <c r="D103" t="s">
        <v>1280</v>
      </c>
      <c r="E103" t="s">
        <v>1234</v>
      </c>
      <c r="F103" t="s">
        <v>1591</v>
      </c>
      <c r="G103">
        <v>2025</v>
      </c>
      <c r="H103" t="s">
        <v>1160</v>
      </c>
      <c r="I103" t="s">
        <v>131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Y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>
        <v>0</v>
      </c>
      <c r="AU103">
        <v>0</v>
      </c>
      <c r="AV103">
        <v>0</v>
      </c>
      <c r="AW103">
        <v>0</v>
      </c>
      <c r="AX103">
        <v>0</v>
      </c>
      <c r="AY103">
        <v>27</v>
      </c>
      <c r="AZ103">
        <v>3</v>
      </c>
      <c r="BA103">
        <v>17</v>
      </c>
      <c r="BB103">
        <v>4</v>
      </c>
      <c r="BC103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15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C103">
        <v>0</v>
      </c>
      <c r="DD103">
        <v>0</v>
      </c>
      <c r="DE103">
        <v>0</v>
      </c>
      <c r="DF103">
        <v>0</v>
      </c>
      <c r="DH103">
        <v>0</v>
      </c>
      <c r="DI103">
        <v>0</v>
      </c>
    </row>
    <row r="104" spans="1:113" ht="15" customHeight="1" x14ac:dyDescent="0.25">
      <c r="A104" t="s">
        <v>1592</v>
      </c>
      <c r="B104" t="s">
        <v>1593</v>
      </c>
      <c r="C104" t="s">
        <v>1594</v>
      </c>
      <c r="D104" t="s">
        <v>431</v>
      </c>
      <c r="E104" t="s">
        <v>431</v>
      </c>
      <c r="F104" t="s">
        <v>1595</v>
      </c>
      <c r="G104">
        <v>2025</v>
      </c>
      <c r="H104" t="s">
        <v>1160</v>
      </c>
      <c r="I104" t="s">
        <v>124</v>
      </c>
      <c r="J104">
        <v>13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Y104">
        <v>0</v>
      </c>
      <c r="AA104">
        <v>14</v>
      </c>
      <c r="AB104">
        <v>60</v>
      </c>
      <c r="AC104">
        <v>1</v>
      </c>
      <c r="AD104">
        <v>0</v>
      </c>
      <c r="AE104">
        <v>0</v>
      </c>
      <c r="AF104">
        <v>4</v>
      </c>
      <c r="AG104">
        <v>0.94798228488070901</v>
      </c>
      <c r="AH104">
        <v>0</v>
      </c>
      <c r="AI104">
        <v>16</v>
      </c>
      <c r="AJ104">
        <v>17</v>
      </c>
      <c r="AK104">
        <v>99</v>
      </c>
      <c r="AL104">
        <v>0</v>
      </c>
      <c r="AM104">
        <v>0</v>
      </c>
      <c r="AN104">
        <v>0</v>
      </c>
      <c r="AO104">
        <v>-3</v>
      </c>
      <c r="AP104">
        <v>105</v>
      </c>
      <c r="AQ104">
        <v>4</v>
      </c>
      <c r="AR104">
        <v>0.81374862283701099</v>
      </c>
      <c r="AS104">
        <v>0</v>
      </c>
      <c r="AT104">
        <v>-33</v>
      </c>
      <c r="AU104">
        <v>3.20754716981132E-2</v>
      </c>
      <c r="AV104">
        <v>-6.8493150684931497E-4</v>
      </c>
      <c r="AW104">
        <v>4.76337554923753E-2</v>
      </c>
      <c r="AX104">
        <v>0</v>
      </c>
      <c r="AY104">
        <v>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19</v>
      </c>
      <c r="BY104">
        <v>563</v>
      </c>
      <c r="BZ104">
        <v>0</v>
      </c>
      <c r="CA104">
        <v>0</v>
      </c>
      <c r="CB104">
        <v>0</v>
      </c>
      <c r="CC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C104">
        <v>0</v>
      </c>
      <c r="DD104">
        <v>0</v>
      </c>
      <c r="DE104">
        <v>0</v>
      </c>
      <c r="DF104">
        <v>0</v>
      </c>
      <c r="DH104">
        <v>21.9</v>
      </c>
      <c r="DI104">
        <v>37.9</v>
      </c>
    </row>
    <row r="105" spans="1:113" ht="15" customHeight="1" x14ac:dyDescent="0.25">
      <c r="A105" t="s">
        <v>1596</v>
      </c>
      <c r="B105" t="s">
        <v>1597</v>
      </c>
      <c r="C105" t="s">
        <v>1598</v>
      </c>
      <c r="D105" t="s">
        <v>1233</v>
      </c>
      <c r="E105" t="s">
        <v>1234</v>
      </c>
      <c r="F105" t="s">
        <v>1599</v>
      </c>
      <c r="G105">
        <v>2025</v>
      </c>
      <c r="H105" t="s">
        <v>1160</v>
      </c>
      <c r="I105" t="s">
        <v>131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Y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S105">
        <v>0</v>
      </c>
      <c r="AU105">
        <v>0</v>
      </c>
      <c r="AV105">
        <v>0</v>
      </c>
      <c r="AW105">
        <v>0</v>
      </c>
      <c r="AX105">
        <v>0</v>
      </c>
      <c r="AY105">
        <v>9</v>
      </c>
      <c r="AZ105">
        <v>0</v>
      </c>
      <c r="BA105">
        <v>7</v>
      </c>
      <c r="BB105">
        <v>2</v>
      </c>
      <c r="BC105">
        <v>8</v>
      </c>
      <c r="BD105">
        <v>0</v>
      </c>
      <c r="BE105">
        <v>2</v>
      </c>
      <c r="BF105">
        <v>8</v>
      </c>
      <c r="BG105">
        <v>3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5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C105">
        <v>0</v>
      </c>
      <c r="DD105">
        <v>0</v>
      </c>
      <c r="DE105">
        <v>0</v>
      </c>
      <c r="DF105">
        <v>0</v>
      </c>
      <c r="DH105">
        <v>0</v>
      </c>
      <c r="DI105">
        <v>0</v>
      </c>
    </row>
    <row r="106" spans="1:113" ht="15" customHeight="1" x14ac:dyDescent="0.25">
      <c r="A106" t="s">
        <v>1600</v>
      </c>
      <c r="B106" t="s">
        <v>1601</v>
      </c>
      <c r="C106" t="s">
        <v>1602</v>
      </c>
      <c r="D106" t="s">
        <v>1243</v>
      </c>
      <c r="E106" t="s">
        <v>1190</v>
      </c>
      <c r="F106" t="s">
        <v>1603</v>
      </c>
      <c r="G106">
        <v>2025</v>
      </c>
      <c r="H106" t="s">
        <v>1160</v>
      </c>
      <c r="I106" t="s">
        <v>106</v>
      </c>
      <c r="J106">
        <v>15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Y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>
        <v>0</v>
      </c>
      <c r="AU106">
        <v>0</v>
      </c>
      <c r="AV106">
        <v>0</v>
      </c>
      <c r="AW106">
        <v>0</v>
      </c>
      <c r="AX106">
        <v>0</v>
      </c>
      <c r="AY106">
        <v>13</v>
      </c>
      <c r="AZ106">
        <v>0</v>
      </c>
      <c r="BA106">
        <v>15</v>
      </c>
      <c r="BB106">
        <v>7</v>
      </c>
      <c r="BC106">
        <v>37</v>
      </c>
      <c r="BD106">
        <v>1</v>
      </c>
      <c r="BE106">
        <v>5.5</v>
      </c>
      <c r="BF106">
        <v>37</v>
      </c>
      <c r="BG106">
        <v>8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C106">
        <v>0</v>
      </c>
      <c r="DD106">
        <v>0</v>
      </c>
      <c r="DE106">
        <v>0</v>
      </c>
      <c r="DF106">
        <v>0</v>
      </c>
      <c r="DH106">
        <v>0</v>
      </c>
      <c r="DI106">
        <v>0</v>
      </c>
    </row>
    <row r="107" spans="1:113" ht="15" customHeight="1" x14ac:dyDescent="0.25">
      <c r="A107" t="s">
        <v>1604</v>
      </c>
      <c r="B107" t="s">
        <v>1605</v>
      </c>
      <c r="C107" t="s">
        <v>1606</v>
      </c>
      <c r="D107" t="s">
        <v>1297</v>
      </c>
      <c r="E107" t="s">
        <v>1220</v>
      </c>
      <c r="F107" t="s">
        <v>1607</v>
      </c>
      <c r="G107">
        <v>2025</v>
      </c>
      <c r="H107" t="s">
        <v>1160</v>
      </c>
      <c r="I107" t="s">
        <v>103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Y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3</v>
      </c>
      <c r="BU107">
        <v>20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C107">
        <v>0</v>
      </c>
      <c r="DD107">
        <v>0</v>
      </c>
      <c r="DE107">
        <v>0</v>
      </c>
      <c r="DF107">
        <v>0</v>
      </c>
      <c r="DH107">
        <v>0</v>
      </c>
      <c r="DI107">
        <v>0</v>
      </c>
    </row>
    <row r="108" spans="1:113" ht="15" customHeight="1" x14ac:dyDescent="0.25">
      <c r="A108" t="s">
        <v>1608</v>
      </c>
      <c r="B108" t="s">
        <v>1609</v>
      </c>
      <c r="C108" t="s">
        <v>1610</v>
      </c>
      <c r="D108" t="s">
        <v>10</v>
      </c>
      <c r="E108" t="s">
        <v>10</v>
      </c>
      <c r="F108" t="s">
        <v>1611</v>
      </c>
      <c r="G108">
        <v>2025</v>
      </c>
      <c r="H108" t="s">
        <v>1160</v>
      </c>
      <c r="I108" t="s">
        <v>89</v>
      </c>
      <c r="J108">
        <v>17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Y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H108">
        <v>0</v>
      </c>
      <c r="AI108">
        <v>32</v>
      </c>
      <c r="AJ108">
        <v>55</v>
      </c>
      <c r="AK108">
        <v>291</v>
      </c>
      <c r="AL108">
        <v>1</v>
      </c>
      <c r="AM108">
        <v>0</v>
      </c>
      <c r="AN108">
        <v>0</v>
      </c>
      <c r="AO108">
        <v>426</v>
      </c>
      <c r="AP108">
        <v>79</v>
      </c>
      <c r="AQ108">
        <v>14</v>
      </c>
      <c r="AR108">
        <v>-8.5457860313146803</v>
      </c>
      <c r="AS108">
        <v>0</v>
      </c>
      <c r="AT108">
        <v>0.68309859154929597</v>
      </c>
      <c r="AU108">
        <v>0.10377358490565999</v>
      </c>
      <c r="AV108">
        <v>0.106128550074738</v>
      </c>
      <c r="AW108">
        <v>0.22995036241080699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1</v>
      </c>
      <c r="BS108">
        <v>1</v>
      </c>
      <c r="BT108">
        <v>1</v>
      </c>
      <c r="BU108">
        <v>10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C108">
        <v>0</v>
      </c>
      <c r="DD108">
        <v>0</v>
      </c>
      <c r="DE108">
        <v>0</v>
      </c>
      <c r="DF108">
        <v>0</v>
      </c>
      <c r="DH108">
        <v>35.1</v>
      </c>
      <c r="DI108">
        <v>67.099999999999994</v>
      </c>
    </row>
    <row r="109" spans="1:113" ht="15" customHeight="1" x14ac:dyDescent="0.25">
      <c r="A109" t="s">
        <v>1612</v>
      </c>
      <c r="B109" t="s">
        <v>1613</v>
      </c>
      <c r="C109" t="s">
        <v>1614</v>
      </c>
      <c r="D109" t="s">
        <v>1219</v>
      </c>
      <c r="E109" t="s">
        <v>1220</v>
      </c>
      <c r="F109" t="s">
        <v>1615</v>
      </c>
      <c r="G109">
        <v>2025</v>
      </c>
      <c r="H109" t="s">
        <v>1160</v>
      </c>
      <c r="I109" t="s">
        <v>1200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Y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2</v>
      </c>
      <c r="BU109">
        <v>15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C109">
        <v>0</v>
      </c>
      <c r="DD109">
        <v>0</v>
      </c>
      <c r="DE109">
        <v>0</v>
      </c>
      <c r="DF109">
        <v>0</v>
      </c>
      <c r="DH109">
        <v>0</v>
      </c>
      <c r="DI109">
        <v>0</v>
      </c>
    </row>
    <row r="110" spans="1:113" ht="15" customHeight="1" x14ac:dyDescent="0.25">
      <c r="A110" t="s">
        <v>1616</v>
      </c>
      <c r="B110" t="s">
        <v>1617</v>
      </c>
      <c r="C110" t="s">
        <v>1618</v>
      </c>
      <c r="D110" t="s">
        <v>1214</v>
      </c>
      <c r="E110" t="s">
        <v>1169</v>
      </c>
      <c r="F110" t="s">
        <v>1619</v>
      </c>
      <c r="G110">
        <v>2025</v>
      </c>
      <c r="H110" t="s">
        <v>1160</v>
      </c>
      <c r="I110" t="s">
        <v>133</v>
      </c>
      <c r="J110">
        <v>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Y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>
        <v>0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</v>
      </c>
      <c r="BA110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C110">
        <v>0</v>
      </c>
      <c r="DD110">
        <v>0</v>
      </c>
      <c r="DE110">
        <v>0</v>
      </c>
      <c r="DF110">
        <v>0</v>
      </c>
      <c r="DH110">
        <v>0</v>
      </c>
      <c r="DI110">
        <v>0</v>
      </c>
    </row>
    <row r="111" spans="1:113" ht="15" customHeight="1" x14ac:dyDescent="0.25">
      <c r="A111" t="s">
        <v>1620</v>
      </c>
      <c r="B111" t="s">
        <v>1621</v>
      </c>
      <c r="C111" t="s">
        <v>1622</v>
      </c>
      <c r="D111" t="s">
        <v>1297</v>
      </c>
      <c r="E111" t="s">
        <v>1220</v>
      </c>
      <c r="F111" t="s">
        <v>1623</v>
      </c>
      <c r="G111">
        <v>2025</v>
      </c>
      <c r="H111" t="s">
        <v>1160</v>
      </c>
      <c r="I111" t="s">
        <v>121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Y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5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C111">
        <v>0</v>
      </c>
      <c r="DD111">
        <v>0</v>
      </c>
      <c r="DE111">
        <v>0</v>
      </c>
      <c r="DF111">
        <v>0</v>
      </c>
      <c r="DH111">
        <v>0</v>
      </c>
      <c r="DI111">
        <v>0</v>
      </c>
    </row>
    <row r="112" spans="1:113" ht="15" customHeight="1" x14ac:dyDescent="0.25">
      <c r="A112" t="s">
        <v>1624</v>
      </c>
      <c r="B112" t="s">
        <v>1625</v>
      </c>
      <c r="C112" t="s">
        <v>1626</v>
      </c>
      <c r="D112" t="s">
        <v>1219</v>
      </c>
      <c r="E112" t="s">
        <v>1220</v>
      </c>
      <c r="F112" t="s">
        <v>1627</v>
      </c>
      <c r="G112">
        <v>2025</v>
      </c>
      <c r="H112" t="s">
        <v>1160</v>
      </c>
      <c r="I112" t="s">
        <v>1200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Y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S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5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C112">
        <v>0</v>
      </c>
      <c r="DD112">
        <v>0</v>
      </c>
      <c r="DE112">
        <v>0</v>
      </c>
      <c r="DF112">
        <v>0</v>
      </c>
      <c r="DH112">
        <v>0</v>
      </c>
      <c r="DI112">
        <v>0</v>
      </c>
    </row>
    <row r="113" spans="1:113" ht="15" customHeight="1" x14ac:dyDescent="0.25">
      <c r="A113" t="s">
        <v>1628</v>
      </c>
      <c r="B113" t="s">
        <v>1629</v>
      </c>
      <c r="C113" t="s">
        <v>1630</v>
      </c>
      <c r="D113" t="s">
        <v>1243</v>
      </c>
      <c r="E113" t="s">
        <v>1190</v>
      </c>
      <c r="F113" t="s">
        <v>1631</v>
      </c>
      <c r="G113">
        <v>2025</v>
      </c>
      <c r="H113" t="s">
        <v>1160</v>
      </c>
      <c r="I113" t="s">
        <v>121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Y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>
        <v>0</v>
      </c>
      <c r="AU113">
        <v>0</v>
      </c>
      <c r="AV113">
        <v>0</v>
      </c>
      <c r="AW113">
        <v>0</v>
      </c>
      <c r="AX113">
        <v>0</v>
      </c>
      <c r="AY113">
        <v>6</v>
      </c>
      <c r="AZ113">
        <v>0</v>
      </c>
      <c r="BA113">
        <v>7</v>
      </c>
      <c r="BB113">
        <v>2</v>
      </c>
      <c r="BC113">
        <v>17</v>
      </c>
      <c r="BD113">
        <v>0</v>
      </c>
      <c r="BE113">
        <v>1.5</v>
      </c>
      <c r="BF113">
        <v>19.5</v>
      </c>
      <c r="BG113">
        <v>4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</v>
      </c>
      <c r="BU113">
        <v>35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C113">
        <v>0</v>
      </c>
      <c r="DD113">
        <v>0</v>
      </c>
      <c r="DE113">
        <v>0</v>
      </c>
      <c r="DF113">
        <v>0</v>
      </c>
      <c r="DH113">
        <v>0</v>
      </c>
      <c r="DI113">
        <v>0</v>
      </c>
    </row>
    <row r="114" spans="1:113" ht="15" customHeight="1" x14ac:dyDescent="0.25">
      <c r="A114" t="s">
        <v>1632</v>
      </c>
      <c r="B114" t="s">
        <v>1633</v>
      </c>
      <c r="C114" t="s">
        <v>1634</v>
      </c>
      <c r="D114" t="s">
        <v>1158</v>
      </c>
      <c r="E114" t="s">
        <v>1158</v>
      </c>
      <c r="F114" t="s">
        <v>1635</v>
      </c>
      <c r="G114">
        <v>2025</v>
      </c>
      <c r="H114" t="s">
        <v>1160</v>
      </c>
      <c r="I114" t="s">
        <v>143</v>
      </c>
      <c r="J114">
        <v>10</v>
      </c>
      <c r="K114">
        <v>139</v>
      </c>
      <c r="L114">
        <v>227</v>
      </c>
      <c r="M114">
        <v>1695</v>
      </c>
      <c r="N114">
        <v>10</v>
      </c>
      <c r="O114">
        <v>7</v>
      </c>
      <c r="P114">
        <v>16</v>
      </c>
      <c r="Q114">
        <v>-107</v>
      </c>
      <c r="R114">
        <v>3</v>
      </c>
      <c r="S114">
        <v>1</v>
      </c>
      <c r="T114">
        <v>2295</v>
      </c>
      <c r="U114">
        <v>639</v>
      </c>
      <c r="V114">
        <v>80</v>
      </c>
      <c r="W114">
        <v>-3.89857204396698</v>
      </c>
      <c r="X114">
        <v>3.1971061655453301</v>
      </c>
      <c r="Y114">
        <v>1</v>
      </c>
      <c r="Z114">
        <v>0.73856209150326801</v>
      </c>
      <c r="AA114">
        <v>50</v>
      </c>
      <c r="AB114">
        <v>297</v>
      </c>
      <c r="AC114">
        <v>1</v>
      </c>
      <c r="AD114">
        <v>3</v>
      </c>
      <c r="AE114">
        <v>2</v>
      </c>
      <c r="AF114">
        <v>12</v>
      </c>
      <c r="AG114">
        <v>6.6958423317859301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3</v>
      </c>
      <c r="BU114">
        <v>30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C114">
        <v>0</v>
      </c>
      <c r="DD114">
        <v>0</v>
      </c>
      <c r="DE114">
        <v>0</v>
      </c>
      <c r="DF114">
        <v>0</v>
      </c>
      <c r="DH114">
        <v>125.5</v>
      </c>
      <c r="DI114">
        <v>125.5</v>
      </c>
    </row>
    <row r="115" spans="1:113" ht="15" customHeight="1" x14ac:dyDescent="0.25">
      <c r="A115" t="s">
        <v>1636</v>
      </c>
      <c r="B115" t="s">
        <v>1637</v>
      </c>
      <c r="C115" t="s">
        <v>1638</v>
      </c>
      <c r="D115" t="s">
        <v>1243</v>
      </c>
      <c r="E115" t="s">
        <v>1190</v>
      </c>
      <c r="F115" t="s">
        <v>1639</v>
      </c>
      <c r="G115">
        <v>2025</v>
      </c>
      <c r="H115" t="s">
        <v>1160</v>
      </c>
      <c r="I115" t="s">
        <v>124</v>
      </c>
      <c r="J115">
        <v>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Y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S115">
        <v>0</v>
      </c>
      <c r="AU115">
        <v>0</v>
      </c>
      <c r="AV115">
        <v>0</v>
      </c>
      <c r="AW115">
        <v>0</v>
      </c>
      <c r="AX115">
        <v>0</v>
      </c>
      <c r="AY115">
        <v>30</v>
      </c>
      <c r="AZ115">
        <v>0</v>
      </c>
      <c r="BA115">
        <v>17</v>
      </c>
      <c r="BB115">
        <v>9</v>
      </c>
      <c r="BC115">
        <v>47</v>
      </c>
      <c r="BD115">
        <v>0</v>
      </c>
      <c r="BE115">
        <v>4</v>
      </c>
      <c r="BF115">
        <v>36</v>
      </c>
      <c r="BG115">
        <v>13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C115">
        <v>0</v>
      </c>
      <c r="DD115">
        <v>0</v>
      </c>
      <c r="DE115">
        <v>0</v>
      </c>
      <c r="DF115">
        <v>0</v>
      </c>
      <c r="DH115">
        <v>0</v>
      </c>
      <c r="DI115">
        <v>0</v>
      </c>
    </row>
    <row r="116" spans="1:113" ht="15" customHeight="1" x14ac:dyDescent="0.25">
      <c r="A116" t="s">
        <v>1640</v>
      </c>
      <c r="B116" t="s">
        <v>1641</v>
      </c>
      <c r="C116" t="s">
        <v>1642</v>
      </c>
      <c r="D116" t="s">
        <v>1350</v>
      </c>
      <c r="E116" t="s">
        <v>1307</v>
      </c>
      <c r="F116" t="s">
        <v>1643</v>
      </c>
      <c r="G116">
        <v>2025</v>
      </c>
      <c r="H116" t="s">
        <v>1160</v>
      </c>
      <c r="I116" t="s">
        <v>141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Y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S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C116">
        <v>0</v>
      </c>
      <c r="DD116">
        <v>0</v>
      </c>
      <c r="DE116">
        <v>0</v>
      </c>
      <c r="DF116">
        <v>0</v>
      </c>
      <c r="DH116">
        <v>0</v>
      </c>
      <c r="DI116">
        <v>0</v>
      </c>
    </row>
    <row r="117" spans="1:113" ht="15" customHeight="1" x14ac:dyDescent="0.25">
      <c r="A117" t="s">
        <v>1644</v>
      </c>
      <c r="B117" t="s">
        <v>1645</v>
      </c>
      <c r="C117" t="s">
        <v>1646</v>
      </c>
      <c r="D117" t="s">
        <v>1219</v>
      </c>
      <c r="E117" t="s">
        <v>1220</v>
      </c>
      <c r="F117" t="s">
        <v>1647</v>
      </c>
      <c r="G117">
        <v>2025</v>
      </c>
      <c r="H117" t="s">
        <v>1160</v>
      </c>
      <c r="I117" t="s">
        <v>143</v>
      </c>
      <c r="J117">
        <v>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Y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S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5</v>
      </c>
      <c r="BU117">
        <v>34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C117">
        <v>0</v>
      </c>
      <c r="DD117">
        <v>0</v>
      </c>
      <c r="DE117">
        <v>0</v>
      </c>
      <c r="DF117">
        <v>0</v>
      </c>
      <c r="DH117">
        <v>0</v>
      </c>
      <c r="DI117">
        <v>0</v>
      </c>
    </row>
    <row r="118" spans="1:113" ht="15" customHeight="1" x14ac:dyDescent="0.25">
      <c r="A118" t="s">
        <v>1648</v>
      </c>
      <c r="B118" t="s">
        <v>1649</v>
      </c>
      <c r="C118" t="s">
        <v>1650</v>
      </c>
      <c r="D118" t="s">
        <v>1219</v>
      </c>
      <c r="E118" t="s">
        <v>1220</v>
      </c>
      <c r="F118" t="s">
        <v>1651</v>
      </c>
      <c r="G118">
        <v>2025</v>
      </c>
      <c r="H118" t="s">
        <v>1160</v>
      </c>
      <c r="I118" t="s">
        <v>111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Y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S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4</v>
      </c>
      <c r="BU118">
        <v>20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C118">
        <v>0</v>
      </c>
      <c r="DD118">
        <v>0</v>
      </c>
      <c r="DE118">
        <v>0</v>
      </c>
      <c r="DF118">
        <v>0</v>
      </c>
      <c r="DH118">
        <v>0</v>
      </c>
      <c r="DI118">
        <v>0</v>
      </c>
    </row>
    <row r="119" spans="1:113" ht="15" customHeight="1" x14ac:dyDescent="0.25">
      <c r="A119" t="s">
        <v>1652</v>
      </c>
      <c r="B119" t="s">
        <v>1653</v>
      </c>
      <c r="C119" t="s">
        <v>1654</v>
      </c>
      <c r="D119" t="s">
        <v>1655</v>
      </c>
      <c r="E119" t="s">
        <v>1220</v>
      </c>
      <c r="F119" t="s">
        <v>1656</v>
      </c>
      <c r="G119">
        <v>2025</v>
      </c>
      <c r="H119" t="s">
        <v>1160</v>
      </c>
      <c r="I119" t="s">
        <v>137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Y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S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5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C119">
        <v>0</v>
      </c>
      <c r="DD119">
        <v>0</v>
      </c>
      <c r="DE119">
        <v>0</v>
      </c>
      <c r="DF119">
        <v>0</v>
      </c>
      <c r="DH119">
        <v>0</v>
      </c>
      <c r="DI119">
        <v>0</v>
      </c>
    </row>
    <row r="120" spans="1:113" ht="15" customHeight="1" x14ac:dyDescent="0.25">
      <c r="A120" t="s">
        <v>1657</v>
      </c>
      <c r="B120" t="s">
        <v>1658</v>
      </c>
      <c r="C120" t="s">
        <v>993</v>
      </c>
      <c r="D120" t="s">
        <v>10</v>
      </c>
      <c r="E120" t="s">
        <v>10</v>
      </c>
      <c r="F120" t="s">
        <v>1659</v>
      </c>
      <c r="G120">
        <v>2025</v>
      </c>
      <c r="H120" t="s">
        <v>1160</v>
      </c>
      <c r="I120" t="s">
        <v>126</v>
      </c>
      <c r="J120">
        <v>13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Y120">
        <v>0</v>
      </c>
      <c r="AA120">
        <v>4</v>
      </c>
      <c r="AB120">
        <v>19</v>
      </c>
      <c r="AC120">
        <v>0</v>
      </c>
      <c r="AD120">
        <v>0</v>
      </c>
      <c r="AE120">
        <v>0</v>
      </c>
      <c r="AF120">
        <v>1</v>
      </c>
      <c r="AG120">
        <v>0.182916748395655</v>
      </c>
      <c r="AH120">
        <v>0</v>
      </c>
      <c r="AI120">
        <v>39</v>
      </c>
      <c r="AJ120">
        <v>53</v>
      </c>
      <c r="AK120">
        <v>371</v>
      </c>
      <c r="AL120">
        <v>1</v>
      </c>
      <c r="AM120">
        <v>1</v>
      </c>
      <c r="AN120">
        <v>1</v>
      </c>
      <c r="AO120">
        <v>453</v>
      </c>
      <c r="AP120">
        <v>149</v>
      </c>
      <c r="AQ120">
        <v>18</v>
      </c>
      <c r="AR120">
        <v>-2.8266655006483501</v>
      </c>
      <c r="AS120">
        <v>0</v>
      </c>
      <c r="AT120">
        <v>0.81898454746136895</v>
      </c>
      <c r="AU120">
        <v>9.7966728280961202E-2</v>
      </c>
      <c r="AV120">
        <v>0.100577264653641</v>
      </c>
      <c r="AW120">
        <v>0.21735417767899101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</v>
      </c>
      <c r="BU120">
        <v>15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C120">
        <v>0</v>
      </c>
      <c r="DD120">
        <v>0</v>
      </c>
      <c r="DE120">
        <v>0</v>
      </c>
      <c r="DF120">
        <v>0</v>
      </c>
      <c r="DH120">
        <v>43</v>
      </c>
      <c r="DI120">
        <v>82</v>
      </c>
    </row>
    <row r="121" spans="1:113" ht="15" customHeight="1" x14ac:dyDescent="0.25">
      <c r="A121" t="s">
        <v>1660</v>
      </c>
      <c r="B121" t="s">
        <v>1661</v>
      </c>
      <c r="C121" t="s">
        <v>1662</v>
      </c>
      <c r="D121" t="s">
        <v>1243</v>
      </c>
      <c r="E121" t="s">
        <v>1190</v>
      </c>
      <c r="F121" t="s">
        <v>1663</v>
      </c>
      <c r="G121">
        <v>2025</v>
      </c>
      <c r="H121" t="s">
        <v>1160</v>
      </c>
      <c r="I121" t="s">
        <v>140</v>
      </c>
      <c r="J121">
        <v>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Y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S121">
        <v>0</v>
      </c>
      <c r="AU121">
        <v>0</v>
      </c>
      <c r="AV121">
        <v>0</v>
      </c>
      <c r="AW121">
        <v>0</v>
      </c>
      <c r="AX121">
        <v>0</v>
      </c>
      <c r="AY121">
        <v>11</v>
      </c>
      <c r="AZ121">
        <v>0</v>
      </c>
      <c r="BA121">
        <v>20</v>
      </c>
      <c r="BB121">
        <v>3</v>
      </c>
      <c r="BC121">
        <v>14</v>
      </c>
      <c r="BD121">
        <v>0</v>
      </c>
      <c r="BE121">
        <v>2.5</v>
      </c>
      <c r="BF121">
        <v>16</v>
      </c>
      <c r="BG121">
        <v>8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C121">
        <v>0</v>
      </c>
      <c r="DD121">
        <v>0</v>
      </c>
      <c r="DE121">
        <v>0</v>
      </c>
      <c r="DF121">
        <v>0</v>
      </c>
      <c r="DH121">
        <v>0</v>
      </c>
      <c r="DI121">
        <v>0</v>
      </c>
    </row>
    <row r="122" spans="1:113" ht="15" customHeight="1" x14ac:dyDescent="0.25">
      <c r="A122" t="s">
        <v>1664</v>
      </c>
      <c r="B122" t="s">
        <v>1409</v>
      </c>
      <c r="C122" t="s">
        <v>1665</v>
      </c>
      <c r="D122" t="s">
        <v>1234</v>
      </c>
      <c r="E122" t="s">
        <v>1234</v>
      </c>
      <c r="F122" t="s">
        <v>1666</v>
      </c>
      <c r="G122">
        <v>2025</v>
      </c>
      <c r="H122" t="s">
        <v>1160</v>
      </c>
      <c r="I122" t="s">
        <v>126</v>
      </c>
      <c r="J122">
        <v>13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Y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S122">
        <v>0</v>
      </c>
      <c r="AU122">
        <v>0</v>
      </c>
      <c r="AV122">
        <v>0</v>
      </c>
      <c r="AW122">
        <v>0</v>
      </c>
      <c r="AX122">
        <v>0</v>
      </c>
      <c r="AY122">
        <v>15</v>
      </c>
      <c r="AZ122">
        <v>1</v>
      </c>
      <c r="BA122">
        <v>13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C122">
        <v>0</v>
      </c>
      <c r="DD122">
        <v>0</v>
      </c>
      <c r="DE122">
        <v>0</v>
      </c>
      <c r="DF122">
        <v>0</v>
      </c>
      <c r="DH122">
        <v>0</v>
      </c>
      <c r="DI122">
        <v>0</v>
      </c>
    </row>
    <row r="123" spans="1:113" ht="15" customHeight="1" x14ac:dyDescent="0.25">
      <c r="A123" t="s">
        <v>1667</v>
      </c>
      <c r="B123" t="s">
        <v>1668</v>
      </c>
      <c r="C123" t="s">
        <v>1669</v>
      </c>
      <c r="D123" t="s">
        <v>1297</v>
      </c>
      <c r="E123" t="s">
        <v>1220</v>
      </c>
      <c r="F123" t="s">
        <v>1670</v>
      </c>
      <c r="G123">
        <v>2025</v>
      </c>
      <c r="H123" t="s">
        <v>1160</v>
      </c>
      <c r="I123" t="s">
        <v>104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Y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2</v>
      </c>
      <c r="BU123">
        <v>7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C123">
        <v>0</v>
      </c>
      <c r="DD123">
        <v>0</v>
      </c>
      <c r="DE123">
        <v>0</v>
      </c>
      <c r="DF123">
        <v>0</v>
      </c>
      <c r="DH123">
        <v>0</v>
      </c>
      <c r="DI123">
        <v>0</v>
      </c>
    </row>
    <row r="124" spans="1:113" ht="15" customHeight="1" x14ac:dyDescent="0.25">
      <c r="A124" t="s">
        <v>1671</v>
      </c>
      <c r="B124" t="s">
        <v>1672</v>
      </c>
      <c r="C124" t="s">
        <v>459</v>
      </c>
      <c r="D124" t="s">
        <v>439</v>
      </c>
      <c r="E124" t="s">
        <v>439</v>
      </c>
      <c r="F124" t="s">
        <v>1673</v>
      </c>
      <c r="G124">
        <v>2025</v>
      </c>
      <c r="H124" t="s">
        <v>1160</v>
      </c>
      <c r="I124" t="s">
        <v>114</v>
      </c>
      <c r="J124">
        <v>13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Y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>
        <v>0</v>
      </c>
      <c r="AI124">
        <v>21</v>
      </c>
      <c r="AJ124">
        <v>26</v>
      </c>
      <c r="AK124">
        <v>263</v>
      </c>
      <c r="AL124">
        <v>2</v>
      </c>
      <c r="AM124">
        <v>0</v>
      </c>
      <c r="AN124">
        <v>0</v>
      </c>
      <c r="AO124">
        <v>234</v>
      </c>
      <c r="AP124">
        <v>86</v>
      </c>
      <c r="AQ124">
        <v>13</v>
      </c>
      <c r="AR124">
        <v>16.797792419209099</v>
      </c>
      <c r="AS124">
        <v>0</v>
      </c>
      <c r="AT124">
        <v>1.1239316239316199</v>
      </c>
      <c r="AU124">
        <v>5.3941908713692997E-2</v>
      </c>
      <c r="AV124">
        <v>5.0737207285342603E-2</v>
      </c>
      <c r="AW124">
        <v>0.116428908170279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</v>
      </c>
      <c r="BU124">
        <v>25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C124">
        <v>0</v>
      </c>
      <c r="DD124">
        <v>0</v>
      </c>
      <c r="DE124">
        <v>0</v>
      </c>
      <c r="DF124">
        <v>0</v>
      </c>
      <c r="DH124">
        <v>38.299999999999997</v>
      </c>
      <c r="DI124">
        <v>59.3</v>
      </c>
    </row>
    <row r="125" spans="1:113" ht="15" customHeight="1" x14ac:dyDescent="0.25">
      <c r="A125" t="s">
        <v>1674</v>
      </c>
      <c r="B125" t="s">
        <v>1675</v>
      </c>
      <c r="C125" t="s">
        <v>1676</v>
      </c>
      <c r="D125" t="s">
        <v>1655</v>
      </c>
      <c r="E125" t="s">
        <v>1220</v>
      </c>
      <c r="F125" t="s">
        <v>1677</v>
      </c>
      <c r="G125">
        <v>2025</v>
      </c>
      <c r="H125" t="s">
        <v>1160</v>
      </c>
      <c r="I125" t="s">
        <v>111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Y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2</v>
      </c>
      <c r="BU125">
        <v>15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C125">
        <v>0</v>
      </c>
      <c r="DD125">
        <v>0</v>
      </c>
      <c r="DE125">
        <v>0</v>
      </c>
      <c r="DF125">
        <v>0</v>
      </c>
      <c r="DH125">
        <v>0</v>
      </c>
      <c r="DI125">
        <v>0</v>
      </c>
    </row>
    <row r="126" spans="1:113" ht="15" customHeight="1" x14ac:dyDescent="0.25">
      <c r="A126" t="s">
        <v>1678</v>
      </c>
      <c r="B126" t="s">
        <v>1679</v>
      </c>
      <c r="C126" t="s">
        <v>1036</v>
      </c>
      <c r="D126" t="s">
        <v>10</v>
      </c>
      <c r="E126" t="s">
        <v>10</v>
      </c>
      <c r="F126" t="s">
        <v>1680</v>
      </c>
      <c r="G126">
        <v>2025</v>
      </c>
      <c r="H126" t="s">
        <v>1160</v>
      </c>
      <c r="I126" t="s">
        <v>143</v>
      </c>
      <c r="J126">
        <v>10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Y126">
        <v>0</v>
      </c>
      <c r="AA126">
        <v>1</v>
      </c>
      <c r="AB126">
        <v>9</v>
      </c>
      <c r="AC126">
        <v>0</v>
      </c>
      <c r="AD126">
        <v>0</v>
      </c>
      <c r="AE126">
        <v>0</v>
      </c>
      <c r="AF126">
        <v>0</v>
      </c>
      <c r="AG126">
        <v>0.72505613113753498</v>
      </c>
      <c r="AH126">
        <v>0</v>
      </c>
      <c r="AI126">
        <v>11</v>
      </c>
      <c r="AJ126">
        <v>23</v>
      </c>
      <c r="AK126">
        <v>207</v>
      </c>
      <c r="AL126">
        <v>1</v>
      </c>
      <c r="AM126">
        <v>0</v>
      </c>
      <c r="AN126">
        <v>0</v>
      </c>
      <c r="AO126">
        <v>332</v>
      </c>
      <c r="AP126">
        <v>53</v>
      </c>
      <c r="AQ126">
        <v>10</v>
      </c>
      <c r="AR126">
        <v>12.2828299902677</v>
      </c>
      <c r="AS126">
        <v>0</v>
      </c>
      <c r="AT126">
        <v>0.62349397590361499</v>
      </c>
      <c r="AU126">
        <v>5.32407407407407E-2</v>
      </c>
      <c r="AV126">
        <v>8.3041520760380197E-2</v>
      </c>
      <c r="AW126">
        <v>0.13799017564337701</v>
      </c>
      <c r="AX126">
        <v>0</v>
      </c>
      <c r="AY126">
        <v>4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6</v>
      </c>
      <c r="BY126">
        <v>157</v>
      </c>
      <c r="BZ126">
        <v>0</v>
      </c>
      <c r="CA126">
        <v>0</v>
      </c>
      <c r="CB126">
        <v>0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C126">
        <v>0</v>
      </c>
      <c r="DD126">
        <v>0</v>
      </c>
      <c r="DE126">
        <v>0</v>
      </c>
      <c r="DF126">
        <v>0</v>
      </c>
      <c r="DH126">
        <v>27.6</v>
      </c>
      <c r="DI126">
        <v>38.6</v>
      </c>
    </row>
    <row r="127" spans="1:113" ht="15" customHeight="1" x14ac:dyDescent="0.25">
      <c r="A127" t="s">
        <v>1681</v>
      </c>
      <c r="B127" t="s">
        <v>1682</v>
      </c>
      <c r="C127" t="s">
        <v>1683</v>
      </c>
      <c r="D127" t="s">
        <v>1684</v>
      </c>
      <c r="E127" t="s">
        <v>1307</v>
      </c>
      <c r="F127" t="s">
        <v>1685</v>
      </c>
      <c r="G127">
        <v>2025</v>
      </c>
      <c r="H127" t="s">
        <v>1160</v>
      </c>
      <c r="I127" t="s">
        <v>103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Y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>
        <v>0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</v>
      </c>
      <c r="BA127">
        <v>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C127">
        <v>0</v>
      </c>
      <c r="DD127">
        <v>0</v>
      </c>
      <c r="DE127">
        <v>0</v>
      </c>
      <c r="DF127">
        <v>0</v>
      </c>
      <c r="DH127">
        <v>0</v>
      </c>
      <c r="DI127">
        <v>0</v>
      </c>
    </row>
    <row r="128" spans="1:113" ht="15" customHeight="1" x14ac:dyDescent="0.25">
      <c r="A128" t="s">
        <v>1686</v>
      </c>
      <c r="B128" t="s">
        <v>1687</v>
      </c>
      <c r="C128" t="s">
        <v>1688</v>
      </c>
      <c r="D128" t="s">
        <v>1233</v>
      </c>
      <c r="E128" t="s">
        <v>1234</v>
      </c>
      <c r="F128" t="s">
        <v>1689</v>
      </c>
      <c r="G128">
        <v>2025</v>
      </c>
      <c r="H128" t="s">
        <v>1160</v>
      </c>
      <c r="I128" t="s">
        <v>133</v>
      </c>
      <c r="J128">
        <v>11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Y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>
        <v>0</v>
      </c>
      <c r="AU128">
        <v>0</v>
      </c>
      <c r="AV128">
        <v>0</v>
      </c>
      <c r="AW128">
        <v>0</v>
      </c>
      <c r="AX128">
        <v>0</v>
      </c>
      <c r="AY128">
        <v>8</v>
      </c>
      <c r="AZ128">
        <v>1</v>
      </c>
      <c r="BA128">
        <v>10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3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</v>
      </c>
      <c r="BU128">
        <v>10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C128">
        <v>0</v>
      </c>
      <c r="DD128">
        <v>0</v>
      </c>
      <c r="DE128">
        <v>0</v>
      </c>
      <c r="DF128">
        <v>0</v>
      </c>
      <c r="DH128">
        <v>0</v>
      </c>
      <c r="DI128">
        <v>0</v>
      </c>
    </row>
    <row r="129" spans="1:113" ht="15" customHeight="1" x14ac:dyDescent="0.25">
      <c r="A129" t="s">
        <v>1690</v>
      </c>
      <c r="B129" t="s">
        <v>1691</v>
      </c>
      <c r="C129" t="s">
        <v>1692</v>
      </c>
      <c r="D129" t="s">
        <v>1189</v>
      </c>
      <c r="E129" t="s">
        <v>1190</v>
      </c>
      <c r="F129" t="s">
        <v>1693</v>
      </c>
      <c r="G129">
        <v>2025</v>
      </c>
      <c r="H129" t="s">
        <v>1160</v>
      </c>
      <c r="I129" t="s">
        <v>111</v>
      </c>
      <c r="J129">
        <v>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Y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S129">
        <v>0</v>
      </c>
      <c r="AU129">
        <v>0</v>
      </c>
      <c r="AV129">
        <v>0</v>
      </c>
      <c r="AW129">
        <v>0</v>
      </c>
      <c r="AX129">
        <v>0</v>
      </c>
      <c r="AY129">
        <v>11</v>
      </c>
      <c r="AZ129">
        <v>0</v>
      </c>
      <c r="BA129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</v>
      </c>
      <c r="BU129">
        <v>10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C129">
        <v>0</v>
      </c>
      <c r="DD129">
        <v>0</v>
      </c>
      <c r="DE129">
        <v>0</v>
      </c>
      <c r="DF129">
        <v>0</v>
      </c>
      <c r="DH129">
        <v>0</v>
      </c>
      <c r="DI129">
        <v>0</v>
      </c>
    </row>
    <row r="130" spans="1:113" ht="15" customHeight="1" x14ac:dyDescent="0.25">
      <c r="A130" t="s">
        <v>1694</v>
      </c>
      <c r="B130" t="s">
        <v>1695</v>
      </c>
      <c r="C130" t="s">
        <v>1696</v>
      </c>
      <c r="D130" t="s">
        <v>1158</v>
      </c>
      <c r="E130" t="s">
        <v>1158</v>
      </c>
      <c r="F130" t="s">
        <v>1697</v>
      </c>
      <c r="G130">
        <v>2025</v>
      </c>
      <c r="H130" t="s">
        <v>1160</v>
      </c>
      <c r="I130" t="s">
        <v>142</v>
      </c>
      <c r="J130">
        <v>1</v>
      </c>
      <c r="K130">
        <v>17</v>
      </c>
      <c r="L130">
        <v>30</v>
      </c>
      <c r="M130">
        <v>72</v>
      </c>
      <c r="N130">
        <v>0</v>
      </c>
      <c r="O130">
        <v>1</v>
      </c>
      <c r="P130">
        <v>1</v>
      </c>
      <c r="Q130">
        <v>-7</v>
      </c>
      <c r="R130">
        <v>0</v>
      </c>
      <c r="S130">
        <v>0</v>
      </c>
      <c r="T130">
        <v>109</v>
      </c>
      <c r="U130">
        <v>80</v>
      </c>
      <c r="V130">
        <v>3</v>
      </c>
      <c r="W130">
        <v>-24.0283908552294</v>
      </c>
      <c r="X130">
        <v>-13.082239627838099</v>
      </c>
      <c r="Y130">
        <v>0</v>
      </c>
      <c r="Z130">
        <v>0.66055045871559603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S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C130">
        <v>0</v>
      </c>
      <c r="DD130">
        <v>0</v>
      </c>
      <c r="DE130">
        <v>0</v>
      </c>
      <c r="DF130">
        <v>0</v>
      </c>
      <c r="DH130">
        <v>0.88</v>
      </c>
      <c r="DI130">
        <v>0.88</v>
      </c>
    </row>
    <row r="131" spans="1:113" ht="15" customHeight="1" x14ac:dyDescent="0.25">
      <c r="A131" t="s">
        <v>1698</v>
      </c>
      <c r="B131" t="s">
        <v>1699</v>
      </c>
      <c r="C131" t="s">
        <v>1700</v>
      </c>
      <c r="D131" t="s">
        <v>1233</v>
      </c>
      <c r="E131" t="s">
        <v>1234</v>
      </c>
      <c r="F131" t="s">
        <v>1701</v>
      </c>
      <c r="G131">
        <v>2025</v>
      </c>
      <c r="H131" t="s">
        <v>1160</v>
      </c>
      <c r="I131" t="s">
        <v>89</v>
      </c>
      <c r="J131">
        <v>17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Y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S131">
        <v>0</v>
      </c>
      <c r="AU131">
        <v>0</v>
      </c>
      <c r="AV131">
        <v>0</v>
      </c>
      <c r="AW131">
        <v>0</v>
      </c>
      <c r="AX131">
        <v>0</v>
      </c>
      <c r="AY131">
        <v>40</v>
      </c>
      <c r="AZ131">
        <v>2</v>
      </c>
      <c r="BA131">
        <v>48</v>
      </c>
      <c r="BB131">
        <v>6</v>
      </c>
      <c r="BC131">
        <v>13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1</v>
      </c>
      <c r="BU131">
        <v>5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C131">
        <v>0</v>
      </c>
      <c r="DD131">
        <v>0</v>
      </c>
      <c r="DE131">
        <v>0</v>
      </c>
      <c r="DF131">
        <v>0</v>
      </c>
      <c r="DH131">
        <v>0</v>
      </c>
      <c r="DI131">
        <v>0</v>
      </c>
    </row>
    <row r="132" spans="1:113" ht="15" customHeight="1" x14ac:dyDescent="0.25">
      <c r="A132" t="s">
        <v>1702</v>
      </c>
      <c r="B132" t="s">
        <v>1703</v>
      </c>
      <c r="C132" t="s">
        <v>1704</v>
      </c>
      <c r="D132" t="s">
        <v>1655</v>
      </c>
      <c r="E132" t="s">
        <v>1220</v>
      </c>
      <c r="F132" t="s">
        <v>1705</v>
      </c>
      <c r="G132">
        <v>2025</v>
      </c>
      <c r="H132" t="s">
        <v>1160</v>
      </c>
      <c r="I132" t="s">
        <v>107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Y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4</v>
      </c>
      <c r="BU132">
        <v>25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C132">
        <v>0</v>
      </c>
      <c r="DD132">
        <v>0</v>
      </c>
      <c r="DE132">
        <v>0</v>
      </c>
      <c r="DF132">
        <v>0</v>
      </c>
      <c r="DH132">
        <v>0</v>
      </c>
      <c r="DI132">
        <v>0</v>
      </c>
    </row>
    <row r="133" spans="1:113" ht="15" customHeight="1" x14ac:dyDescent="0.25">
      <c r="A133" t="s">
        <v>1706</v>
      </c>
      <c r="B133" t="s">
        <v>1707</v>
      </c>
      <c r="C133" t="s">
        <v>532</v>
      </c>
      <c r="D133" t="s">
        <v>10</v>
      </c>
      <c r="E133" t="s">
        <v>10</v>
      </c>
      <c r="F133" t="s">
        <v>1708</v>
      </c>
      <c r="G133">
        <v>2025</v>
      </c>
      <c r="H133" t="s">
        <v>1160</v>
      </c>
      <c r="I133" t="s">
        <v>111</v>
      </c>
      <c r="J133">
        <v>15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Y133">
        <v>0</v>
      </c>
      <c r="AA133">
        <v>2</v>
      </c>
      <c r="AB133">
        <v>19</v>
      </c>
      <c r="AC133">
        <v>0</v>
      </c>
      <c r="AD133">
        <v>0</v>
      </c>
      <c r="AE133">
        <v>0</v>
      </c>
      <c r="AF133">
        <v>1</v>
      </c>
      <c r="AG133">
        <v>1.55514653946739</v>
      </c>
      <c r="AH133">
        <v>0</v>
      </c>
      <c r="AI133">
        <v>24</v>
      </c>
      <c r="AJ133">
        <v>30</v>
      </c>
      <c r="AK133">
        <v>289</v>
      </c>
      <c r="AL133">
        <v>1</v>
      </c>
      <c r="AM133">
        <v>0</v>
      </c>
      <c r="AN133">
        <v>0</v>
      </c>
      <c r="AO133">
        <v>169</v>
      </c>
      <c r="AP133">
        <v>157</v>
      </c>
      <c r="AQ133">
        <v>14</v>
      </c>
      <c r="AR133">
        <v>15.205083017843201</v>
      </c>
      <c r="AS133">
        <v>0</v>
      </c>
      <c r="AT133">
        <v>1.7100591715976301</v>
      </c>
      <c r="AU133">
        <v>5.4545454545454501E-2</v>
      </c>
      <c r="AV133">
        <v>4.5284030010718103E-2</v>
      </c>
      <c r="AW133">
        <v>0.113517002825685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6</v>
      </c>
      <c r="BV133">
        <v>32</v>
      </c>
      <c r="BW133">
        <v>241</v>
      </c>
      <c r="BX133">
        <v>6</v>
      </c>
      <c r="BY133">
        <v>161</v>
      </c>
      <c r="BZ133">
        <v>0</v>
      </c>
      <c r="CA133">
        <v>0</v>
      </c>
      <c r="CB133">
        <v>0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C133">
        <v>0</v>
      </c>
      <c r="DD133">
        <v>0</v>
      </c>
      <c r="DE133">
        <v>0</v>
      </c>
      <c r="DF133">
        <v>0</v>
      </c>
      <c r="DH133">
        <v>42.8</v>
      </c>
      <c r="DI133">
        <v>66.8</v>
      </c>
    </row>
    <row r="134" spans="1:113" ht="15" customHeight="1" x14ac:dyDescent="0.25">
      <c r="A134" t="s">
        <v>1709</v>
      </c>
      <c r="B134" t="s">
        <v>1710</v>
      </c>
      <c r="C134" t="s">
        <v>1711</v>
      </c>
      <c r="D134" t="s">
        <v>1214</v>
      </c>
      <c r="E134" t="s">
        <v>1169</v>
      </c>
      <c r="F134" t="s">
        <v>1712</v>
      </c>
      <c r="G134">
        <v>2025</v>
      </c>
      <c r="H134" t="s">
        <v>1160</v>
      </c>
      <c r="I134" t="s">
        <v>99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Y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</v>
      </c>
      <c r="BU134">
        <v>15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C134">
        <v>0</v>
      </c>
      <c r="DD134">
        <v>0</v>
      </c>
      <c r="DE134">
        <v>0</v>
      </c>
      <c r="DF134">
        <v>0</v>
      </c>
      <c r="DH134">
        <v>0</v>
      </c>
      <c r="DI134">
        <v>0</v>
      </c>
    </row>
    <row r="135" spans="1:113" ht="15" customHeight="1" x14ac:dyDescent="0.25">
      <c r="A135" t="s">
        <v>1713</v>
      </c>
      <c r="B135" t="s">
        <v>1714</v>
      </c>
      <c r="C135" t="s">
        <v>1715</v>
      </c>
      <c r="D135" t="s">
        <v>1350</v>
      </c>
      <c r="E135" t="s">
        <v>1307</v>
      </c>
      <c r="F135" t="s">
        <v>1716</v>
      </c>
      <c r="G135">
        <v>2025</v>
      </c>
      <c r="H135" t="s">
        <v>1160</v>
      </c>
      <c r="I135" t="s">
        <v>124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Y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S135">
        <v>0</v>
      </c>
      <c r="AU135">
        <v>0</v>
      </c>
      <c r="AV135">
        <v>0</v>
      </c>
      <c r="AW135">
        <v>0</v>
      </c>
      <c r="AX135">
        <v>0</v>
      </c>
      <c r="AY135">
        <v>4</v>
      </c>
      <c r="AZ135">
        <v>0</v>
      </c>
      <c r="BA135">
        <v>1</v>
      </c>
      <c r="BB135">
        <v>1</v>
      </c>
      <c r="BC135">
        <v>10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8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C135">
        <v>0</v>
      </c>
      <c r="DD135">
        <v>0</v>
      </c>
      <c r="DE135">
        <v>0</v>
      </c>
      <c r="DF135">
        <v>0</v>
      </c>
      <c r="DH135">
        <v>0</v>
      </c>
      <c r="DI135">
        <v>0</v>
      </c>
    </row>
    <row r="136" spans="1:113" ht="15" customHeight="1" x14ac:dyDescent="0.25">
      <c r="A136" t="s">
        <v>1717</v>
      </c>
      <c r="B136" t="s">
        <v>1718</v>
      </c>
      <c r="C136" t="s">
        <v>1719</v>
      </c>
      <c r="D136" t="s">
        <v>1168</v>
      </c>
      <c r="E136" t="s">
        <v>1169</v>
      </c>
      <c r="F136" t="s">
        <v>1720</v>
      </c>
      <c r="G136">
        <v>2025</v>
      </c>
      <c r="H136" t="s">
        <v>1160</v>
      </c>
      <c r="I136" t="s">
        <v>115</v>
      </c>
      <c r="J136">
        <v>17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Y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S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2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28</v>
      </c>
      <c r="CA136">
        <v>32</v>
      </c>
      <c r="CB136">
        <v>3</v>
      </c>
      <c r="CC136">
        <v>1</v>
      </c>
      <c r="CD136">
        <v>57</v>
      </c>
      <c r="CE136">
        <v>0.875</v>
      </c>
      <c r="CF136">
        <v>0</v>
      </c>
      <c r="CG136">
        <v>10</v>
      </c>
      <c r="CH136">
        <v>11</v>
      </c>
      <c r="CI136">
        <v>3</v>
      </c>
      <c r="CJ136">
        <v>4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1</v>
      </c>
      <c r="CQ136">
        <v>0</v>
      </c>
      <c r="CR136" t="s">
        <v>1721</v>
      </c>
      <c r="CS136" t="s">
        <v>1722</v>
      </c>
      <c r="CT136">
        <v>51</v>
      </c>
      <c r="CU136">
        <v>977</v>
      </c>
      <c r="CV136">
        <v>145</v>
      </c>
      <c r="CW136">
        <v>51</v>
      </c>
      <c r="CX136">
        <v>39</v>
      </c>
      <c r="CY136">
        <v>39</v>
      </c>
      <c r="CZ136">
        <v>0</v>
      </c>
      <c r="DA136">
        <v>0</v>
      </c>
      <c r="DB136">
        <v>1</v>
      </c>
      <c r="DC136">
        <v>3</v>
      </c>
      <c r="DD136">
        <v>3</v>
      </c>
      <c r="DE136">
        <v>0</v>
      </c>
      <c r="DF136">
        <v>0</v>
      </c>
      <c r="DG136" t="s">
        <v>1723</v>
      </c>
      <c r="DH136">
        <v>0</v>
      </c>
      <c r="DI136">
        <v>0</v>
      </c>
    </row>
    <row r="137" spans="1:113" ht="15" customHeight="1" x14ac:dyDescent="0.25">
      <c r="A137" t="s">
        <v>1724</v>
      </c>
      <c r="B137" t="s">
        <v>1725</v>
      </c>
      <c r="C137" t="s">
        <v>1726</v>
      </c>
      <c r="D137" t="s">
        <v>1350</v>
      </c>
      <c r="E137" t="s">
        <v>1307</v>
      </c>
      <c r="F137" t="s">
        <v>1727</v>
      </c>
      <c r="G137">
        <v>2025</v>
      </c>
      <c r="H137" t="s">
        <v>1160</v>
      </c>
      <c r="I137" t="s">
        <v>143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Y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S137">
        <v>0</v>
      </c>
      <c r="AU137">
        <v>0</v>
      </c>
      <c r="AV137">
        <v>0</v>
      </c>
      <c r="AW137">
        <v>0</v>
      </c>
      <c r="AX137">
        <v>0</v>
      </c>
      <c r="AY137">
        <v>30</v>
      </c>
      <c r="AZ137">
        <v>0</v>
      </c>
      <c r="BA137">
        <v>11</v>
      </c>
      <c r="BB137">
        <v>1</v>
      </c>
      <c r="BC137">
        <v>12</v>
      </c>
      <c r="BD137">
        <v>0</v>
      </c>
      <c r="BE137">
        <v>1</v>
      </c>
      <c r="BF137">
        <v>12</v>
      </c>
      <c r="BG137">
        <v>1</v>
      </c>
      <c r="BH137">
        <v>0</v>
      </c>
      <c r="BI137">
        <v>0</v>
      </c>
      <c r="BJ137">
        <v>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</v>
      </c>
      <c r="BU137">
        <v>45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C137">
        <v>0</v>
      </c>
      <c r="DD137">
        <v>0</v>
      </c>
      <c r="DE137">
        <v>0</v>
      </c>
      <c r="DF137">
        <v>0</v>
      </c>
      <c r="DH137">
        <v>0</v>
      </c>
      <c r="DI137">
        <v>0</v>
      </c>
    </row>
    <row r="138" spans="1:113" ht="15" customHeight="1" x14ac:dyDescent="0.25">
      <c r="A138" t="s">
        <v>1728</v>
      </c>
      <c r="B138" t="s">
        <v>1729</v>
      </c>
      <c r="C138" t="s">
        <v>1730</v>
      </c>
      <c r="D138" t="s">
        <v>1189</v>
      </c>
      <c r="E138" t="s">
        <v>1190</v>
      </c>
      <c r="F138" t="s">
        <v>1731</v>
      </c>
      <c r="G138">
        <v>2025</v>
      </c>
      <c r="H138" t="s">
        <v>1160</v>
      </c>
      <c r="I138" t="s">
        <v>139</v>
      </c>
      <c r="J138">
        <v>15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Y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S138">
        <v>0</v>
      </c>
      <c r="AU138">
        <v>0</v>
      </c>
      <c r="AV138">
        <v>0</v>
      </c>
      <c r="AW138">
        <v>0</v>
      </c>
      <c r="AX138">
        <v>0</v>
      </c>
      <c r="AY138">
        <v>18</v>
      </c>
      <c r="AZ138">
        <v>1</v>
      </c>
      <c r="BA138">
        <v>16</v>
      </c>
      <c r="BB138">
        <v>3</v>
      </c>
      <c r="BC138">
        <v>6</v>
      </c>
      <c r="BD138">
        <v>0</v>
      </c>
      <c r="BE138">
        <v>0</v>
      </c>
      <c r="BF138">
        <v>0</v>
      </c>
      <c r="BG138">
        <v>6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2</v>
      </c>
      <c r="BU138">
        <v>20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C138">
        <v>0</v>
      </c>
      <c r="DD138">
        <v>0</v>
      </c>
      <c r="DE138">
        <v>0</v>
      </c>
      <c r="DF138">
        <v>0</v>
      </c>
      <c r="DH138">
        <v>0</v>
      </c>
      <c r="DI138">
        <v>0</v>
      </c>
    </row>
    <row r="139" spans="1:113" ht="15" customHeight="1" x14ac:dyDescent="0.25">
      <c r="A139" t="s">
        <v>1732</v>
      </c>
      <c r="B139" t="s">
        <v>1733</v>
      </c>
      <c r="C139" t="s">
        <v>1734</v>
      </c>
      <c r="D139" t="s">
        <v>10</v>
      </c>
      <c r="E139" t="s">
        <v>10</v>
      </c>
      <c r="F139" t="s">
        <v>1735</v>
      </c>
      <c r="G139">
        <v>2025</v>
      </c>
      <c r="H139" t="s">
        <v>1160</v>
      </c>
      <c r="I139" t="s">
        <v>143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Y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H139">
        <v>0</v>
      </c>
      <c r="AI139">
        <v>5</v>
      </c>
      <c r="AJ139">
        <v>9</v>
      </c>
      <c r="AK139">
        <v>53</v>
      </c>
      <c r="AL139">
        <v>0</v>
      </c>
      <c r="AM139">
        <v>0</v>
      </c>
      <c r="AN139">
        <v>0</v>
      </c>
      <c r="AO139">
        <v>131</v>
      </c>
      <c r="AP139">
        <v>5</v>
      </c>
      <c r="AQ139">
        <v>2</v>
      </c>
      <c r="AR139">
        <v>-0.27111587714170998</v>
      </c>
      <c r="AS139">
        <v>0</v>
      </c>
      <c r="AT139">
        <v>0.40458015267175601</v>
      </c>
      <c r="AU139">
        <v>2.0833333333333301E-2</v>
      </c>
      <c r="AV139">
        <v>3.2766383191595798E-2</v>
      </c>
      <c r="AW139">
        <v>5.4186468234117102E-2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C139">
        <v>0</v>
      </c>
      <c r="DD139">
        <v>0</v>
      </c>
      <c r="DE139">
        <v>0</v>
      </c>
      <c r="DF139">
        <v>0</v>
      </c>
      <c r="DH139">
        <v>5.3</v>
      </c>
      <c r="DI139">
        <v>10.3</v>
      </c>
    </row>
    <row r="140" spans="1:113" ht="15" customHeight="1" x14ac:dyDescent="0.25">
      <c r="A140" t="s">
        <v>1736</v>
      </c>
      <c r="B140" t="s">
        <v>1737</v>
      </c>
      <c r="C140" t="s">
        <v>1738</v>
      </c>
      <c r="D140" t="s">
        <v>1655</v>
      </c>
      <c r="E140" t="s">
        <v>1220</v>
      </c>
      <c r="F140" t="s">
        <v>1739</v>
      </c>
      <c r="G140">
        <v>2025</v>
      </c>
      <c r="H140" t="s">
        <v>1160</v>
      </c>
      <c r="I140" t="s">
        <v>141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Y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S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</v>
      </c>
      <c r="BU140">
        <v>26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C140">
        <v>0</v>
      </c>
      <c r="DD140">
        <v>0</v>
      </c>
      <c r="DE140">
        <v>0</v>
      </c>
      <c r="DF140">
        <v>0</v>
      </c>
      <c r="DH140">
        <v>0</v>
      </c>
      <c r="DI140">
        <v>0</v>
      </c>
    </row>
    <row r="141" spans="1:113" ht="15" customHeight="1" x14ac:dyDescent="0.25">
      <c r="A141" t="s">
        <v>1740</v>
      </c>
      <c r="B141" t="s">
        <v>1741</v>
      </c>
      <c r="C141" t="s">
        <v>1742</v>
      </c>
      <c r="D141" t="s">
        <v>1168</v>
      </c>
      <c r="E141" t="s">
        <v>1169</v>
      </c>
      <c r="F141" t="s">
        <v>1743</v>
      </c>
      <c r="G141">
        <v>2025</v>
      </c>
      <c r="H141" t="s">
        <v>1160</v>
      </c>
      <c r="I141" t="s">
        <v>121</v>
      </c>
      <c r="J141">
        <v>15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Y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S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44</v>
      </c>
      <c r="CA141">
        <v>48</v>
      </c>
      <c r="CB141">
        <v>3</v>
      </c>
      <c r="CC141">
        <v>1</v>
      </c>
      <c r="CD141">
        <v>57</v>
      </c>
      <c r="CE141">
        <v>0.91666666666666696</v>
      </c>
      <c r="CF141">
        <v>0</v>
      </c>
      <c r="CG141">
        <v>8</v>
      </c>
      <c r="CH141">
        <v>11</v>
      </c>
      <c r="CI141">
        <v>16</v>
      </c>
      <c r="CJ141">
        <v>9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3</v>
      </c>
      <c r="CQ141">
        <v>0</v>
      </c>
      <c r="CR141" t="s">
        <v>1744</v>
      </c>
      <c r="CS141" t="s">
        <v>1745</v>
      </c>
      <c r="CT141">
        <v>52</v>
      </c>
      <c r="CU141">
        <v>1753</v>
      </c>
      <c r="CV141">
        <v>157</v>
      </c>
      <c r="CW141">
        <v>52</v>
      </c>
      <c r="CX141">
        <v>28</v>
      </c>
      <c r="CY141">
        <v>28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H141">
        <v>0</v>
      </c>
      <c r="DI141">
        <v>0</v>
      </c>
    </row>
    <row r="142" spans="1:113" ht="15" customHeight="1" x14ac:dyDescent="0.25">
      <c r="A142" t="s">
        <v>1746</v>
      </c>
      <c r="B142" t="s">
        <v>1747</v>
      </c>
      <c r="C142" t="s">
        <v>1748</v>
      </c>
      <c r="D142" t="s">
        <v>1214</v>
      </c>
      <c r="E142" t="s">
        <v>1169</v>
      </c>
      <c r="F142" t="s">
        <v>1749</v>
      </c>
      <c r="G142">
        <v>2025</v>
      </c>
      <c r="H142" t="s">
        <v>1160</v>
      </c>
      <c r="I142" t="s">
        <v>124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Y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S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C142">
        <v>0</v>
      </c>
      <c r="DD142">
        <v>0</v>
      </c>
      <c r="DE142">
        <v>0</v>
      </c>
      <c r="DF142">
        <v>0</v>
      </c>
      <c r="DH142">
        <v>0</v>
      </c>
      <c r="DI142">
        <v>0</v>
      </c>
    </row>
    <row r="143" spans="1:113" ht="15" customHeight="1" x14ac:dyDescent="0.25">
      <c r="A143" t="s">
        <v>1750</v>
      </c>
      <c r="B143" t="s">
        <v>1751</v>
      </c>
      <c r="C143" t="s">
        <v>1752</v>
      </c>
      <c r="D143" t="s">
        <v>1243</v>
      </c>
      <c r="E143" t="s">
        <v>1190</v>
      </c>
      <c r="F143" t="s">
        <v>1753</v>
      </c>
      <c r="G143">
        <v>2025</v>
      </c>
      <c r="H143" t="s">
        <v>1160</v>
      </c>
      <c r="I143" t="s">
        <v>121</v>
      </c>
      <c r="J143">
        <v>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Y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S143">
        <v>0</v>
      </c>
      <c r="AU143">
        <v>0</v>
      </c>
      <c r="AV143">
        <v>0</v>
      </c>
      <c r="AW143">
        <v>0</v>
      </c>
      <c r="AX143">
        <v>0</v>
      </c>
      <c r="AY143">
        <v>14</v>
      </c>
      <c r="AZ143">
        <v>1</v>
      </c>
      <c r="BA143">
        <v>20</v>
      </c>
      <c r="BB143">
        <v>5</v>
      </c>
      <c r="BC143">
        <v>21</v>
      </c>
      <c r="BD143">
        <v>0</v>
      </c>
      <c r="BE143">
        <v>3</v>
      </c>
      <c r="BF143">
        <v>16</v>
      </c>
      <c r="BG143">
        <v>9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C143">
        <v>0</v>
      </c>
      <c r="DD143">
        <v>0</v>
      </c>
      <c r="DE143">
        <v>0</v>
      </c>
      <c r="DF143">
        <v>0</v>
      </c>
      <c r="DH143">
        <v>0</v>
      </c>
      <c r="DI143">
        <v>0</v>
      </c>
    </row>
    <row r="144" spans="1:113" ht="15" customHeight="1" x14ac:dyDescent="0.25">
      <c r="A144" t="s">
        <v>1754</v>
      </c>
      <c r="B144" t="s">
        <v>1755</v>
      </c>
      <c r="C144" t="s">
        <v>1756</v>
      </c>
      <c r="D144" t="s">
        <v>1189</v>
      </c>
      <c r="E144" t="s">
        <v>1190</v>
      </c>
      <c r="F144" t="s">
        <v>1757</v>
      </c>
      <c r="G144">
        <v>2025</v>
      </c>
      <c r="H144" t="s">
        <v>1160</v>
      </c>
      <c r="I144" t="s">
        <v>123</v>
      </c>
      <c r="J144">
        <v>17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Y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S144">
        <v>0</v>
      </c>
      <c r="AU144">
        <v>0</v>
      </c>
      <c r="AV144">
        <v>0</v>
      </c>
      <c r="AW144">
        <v>0</v>
      </c>
      <c r="AX144">
        <v>0</v>
      </c>
      <c r="AY144">
        <v>13</v>
      </c>
      <c r="AZ144">
        <v>2</v>
      </c>
      <c r="BA144">
        <v>14</v>
      </c>
      <c r="BB144">
        <v>12</v>
      </c>
      <c r="BC144">
        <v>47</v>
      </c>
      <c r="BD144">
        <v>0</v>
      </c>
      <c r="BE144">
        <v>7</v>
      </c>
      <c r="BF144">
        <v>39</v>
      </c>
      <c r="BG144">
        <v>25</v>
      </c>
      <c r="BH144">
        <v>0</v>
      </c>
      <c r="BI144">
        <v>0</v>
      </c>
      <c r="BJ144">
        <v>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7</v>
      </c>
      <c r="BU144">
        <v>35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C144">
        <v>0</v>
      </c>
      <c r="DD144">
        <v>0</v>
      </c>
      <c r="DE144">
        <v>0</v>
      </c>
      <c r="DF144">
        <v>0</v>
      </c>
      <c r="DH144">
        <v>0</v>
      </c>
      <c r="DI144">
        <v>0</v>
      </c>
    </row>
    <row r="145" spans="1:113" ht="15" customHeight="1" x14ac:dyDescent="0.25">
      <c r="A145" t="s">
        <v>1758</v>
      </c>
      <c r="B145" t="s">
        <v>1759</v>
      </c>
      <c r="C145" t="s">
        <v>1760</v>
      </c>
      <c r="D145" t="s">
        <v>1511</v>
      </c>
      <c r="E145" t="s">
        <v>1190</v>
      </c>
      <c r="F145" t="s">
        <v>1761</v>
      </c>
      <c r="G145">
        <v>2025</v>
      </c>
      <c r="H145" t="s">
        <v>1160</v>
      </c>
      <c r="I145" t="s">
        <v>106</v>
      </c>
      <c r="J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Y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S145">
        <v>0</v>
      </c>
      <c r="AU145">
        <v>0</v>
      </c>
      <c r="AV145">
        <v>0</v>
      </c>
      <c r="AW145">
        <v>0</v>
      </c>
      <c r="AX145">
        <v>0</v>
      </c>
      <c r="AY145">
        <v>4</v>
      </c>
      <c r="AZ145">
        <v>0</v>
      </c>
      <c r="BA145">
        <v>8</v>
      </c>
      <c r="BB145">
        <v>0</v>
      </c>
      <c r="BC145">
        <v>0</v>
      </c>
      <c r="BD145">
        <v>1</v>
      </c>
      <c r="BE145">
        <v>1</v>
      </c>
      <c r="BF145">
        <v>0</v>
      </c>
      <c r="BG145">
        <v>1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C145">
        <v>0</v>
      </c>
      <c r="DD145">
        <v>0</v>
      </c>
      <c r="DE145">
        <v>0</v>
      </c>
      <c r="DF145">
        <v>0</v>
      </c>
      <c r="DH145">
        <v>0</v>
      </c>
      <c r="DI145">
        <v>0</v>
      </c>
    </row>
    <row r="146" spans="1:113" ht="15" customHeight="1" x14ac:dyDescent="0.25">
      <c r="A146" t="s">
        <v>1762</v>
      </c>
      <c r="B146" t="s">
        <v>1763</v>
      </c>
      <c r="C146" t="s">
        <v>475</v>
      </c>
      <c r="D146" t="s">
        <v>431</v>
      </c>
      <c r="E146" t="s">
        <v>431</v>
      </c>
      <c r="F146" t="s">
        <v>1764</v>
      </c>
      <c r="G146">
        <v>2025</v>
      </c>
      <c r="H146" t="s">
        <v>1160</v>
      </c>
      <c r="I146" t="s">
        <v>97</v>
      </c>
      <c r="J146">
        <v>17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</v>
      </c>
      <c r="U146">
        <v>0</v>
      </c>
      <c r="V146">
        <v>0</v>
      </c>
      <c r="W146">
        <v>-0.45911859063198801</v>
      </c>
      <c r="X146">
        <v>-33.6930364370346</v>
      </c>
      <c r="Y146">
        <v>0</v>
      </c>
      <c r="Z146">
        <v>0</v>
      </c>
      <c r="AA146">
        <v>307</v>
      </c>
      <c r="AB146">
        <v>1595</v>
      </c>
      <c r="AC146">
        <v>16</v>
      </c>
      <c r="AD146">
        <v>4</v>
      </c>
      <c r="AE146">
        <v>3</v>
      </c>
      <c r="AF146">
        <v>81</v>
      </c>
      <c r="AG146">
        <v>9.1661742702327693</v>
      </c>
      <c r="AH146">
        <v>0</v>
      </c>
      <c r="AI146">
        <v>15</v>
      </c>
      <c r="AJ146">
        <v>21</v>
      </c>
      <c r="AK146">
        <v>150</v>
      </c>
      <c r="AL146">
        <v>0</v>
      </c>
      <c r="AM146">
        <v>0</v>
      </c>
      <c r="AN146">
        <v>0</v>
      </c>
      <c r="AO146">
        <v>12</v>
      </c>
      <c r="AP146">
        <v>135</v>
      </c>
      <c r="AQ146">
        <v>4</v>
      </c>
      <c r="AR146">
        <v>-2.8757528085261601</v>
      </c>
      <c r="AS146">
        <v>0</v>
      </c>
      <c r="AT146">
        <v>12.5</v>
      </c>
      <c r="AU146">
        <v>5.1597051597051601E-2</v>
      </c>
      <c r="AV146">
        <v>3.50672121566336E-3</v>
      </c>
      <c r="AW146">
        <v>7.9850282246541698E-2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11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C146">
        <v>0</v>
      </c>
      <c r="DD146">
        <v>0</v>
      </c>
      <c r="DE146">
        <v>0</v>
      </c>
      <c r="DF146">
        <v>0</v>
      </c>
      <c r="DH146">
        <v>264.5</v>
      </c>
      <c r="DI146">
        <v>279.5</v>
      </c>
    </row>
    <row r="147" spans="1:113" ht="15" customHeight="1" x14ac:dyDescent="0.25">
      <c r="A147" t="s">
        <v>1765</v>
      </c>
      <c r="B147" t="s">
        <v>1766</v>
      </c>
      <c r="C147" t="s">
        <v>972</v>
      </c>
      <c r="D147" t="s">
        <v>10</v>
      </c>
      <c r="E147" t="s">
        <v>10</v>
      </c>
      <c r="F147" t="s">
        <v>1767</v>
      </c>
      <c r="G147">
        <v>2025</v>
      </c>
      <c r="H147" t="s">
        <v>1160</v>
      </c>
      <c r="I147" t="s">
        <v>141</v>
      </c>
      <c r="J147">
        <v>14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Y147">
        <v>0</v>
      </c>
      <c r="AA147">
        <v>1</v>
      </c>
      <c r="AB147">
        <v>6</v>
      </c>
      <c r="AC147">
        <v>0</v>
      </c>
      <c r="AD147">
        <v>0</v>
      </c>
      <c r="AE147">
        <v>0</v>
      </c>
      <c r="AF147">
        <v>0</v>
      </c>
      <c r="AG147">
        <v>0.31640204973518898</v>
      </c>
      <c r="AH147">
        <v>0</v>
      </c>
      <c r="AI147">
        <v>22</v>
      </c>
      <c r="AJ147">
        <v>35</v>
      </c>
      <c r="AK147">
        <v>276</v>
      </c>
      <c r="AL147">
        <v>1</v>
      </c>
      <c r="AM147">
        <v>0</v>
      </c>
      <c r="AN147">
        <v>0</v>
      </c>
      <c r="AO147">
        <v>472</v>
      </c>
      <c r="AP147">
        <v>36</v>
      </c>
      <c r="AQ147">
        <v>15</v>
      </c>
      <c r="AR147">
        <v>7.57153426303163</v>
      </c>
      <c r="AS147">
        <v>1</v>
      </c>
      <c r="AT147">
        <v>0.58474576271186396</v>
      </c>
      <c r="AU147">
        <v>6.3636363636363602E-2</v>
      </c>
      <c r="AV147">
        <v>0.10986964618249501</v>
      </c>
      <c r="AW147">
        <v>0.17236329778229201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C147">
        <v>0</v>
      </c>
      <c r="DD147">
        <v>0</v>
      </c>
      <c r="DE147">
        <v>0</v>
      </c>
      <c r="DF147">
        <v>0</v>
      </c>
      <c r="DH147">
        <v>36.200000000000003</v>
      </c>
      <c r="DI147">
        <v>58.2</v>
      </c>
    </row>
    <row r="148" spans="1:113" ht="15" customHeight="1" x14ac:dyDescent="0.25">
      <c r="A148" t="s">
        <v>1768</v>
      </c>
      <c r="B148" t="s">
        <v>1769</v>
      </c>
      <c r="C148" t="s">
        <v>1770</v>
      </c>
      <c r="D148" t="s">
        <v>1350</v>
      </c>
      <c r="E148" t="s">
        <v>1307</v>
      </c>
      <c r="F148" t="s">
        <v>1771</v>
      </c>
      <c r="G148">
        <v>2025</v>
      </c>
      <c r="H148" t="s">
        <v>1160</v>
      </c>
      <c r="I148" t="s">
        <v>111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Y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S148">
        <v>0</v>
      </c>
      <c r="AU148">
        <v>0</v>
      </c>
      <c r="AV148">
        <v>0</v>
      </c>
      <c r="AW148">
        <v>0</v>
      </c>
      <c r="AX148">
        <v>0</v>
      </c>
      <c r="AY148">
        <v>3</v>
      </c>
      <c r="AZ148">
        <v>0</v>
      </c>
      <c r="BA148">
        <v>7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C148">
        <v>0</v>
      </c>
      <c r="DD148">
        <v>0</v>
      </c>
      <c r="DE148">
        <v>0</v>
      </c>
      <c r="DF148">
        <v>0</v>
      </c>
      <c r="DH148">
        <v>0</v>
      </c>
      <c r="DI148">
        <v>0</v>
      </c>
    </row>
    <row r="149" spans="1:113" ht="15" customHeight="1" x14ac:dyDescent="0.25">
      <c r="A149" t="s">
        <v>1772</v>
      </c>
      <c r="B149" t="s">
        <v>1773</v>
      </c>
      <c r="C149" t="s">
        <v>1774</v>
      </c>
      <c r="D149" t="s">
        <v>1189</v>
      </c>
      <c r="E149" t="s">
        <v>1190</v>
      </c>
      <c r="F149" t="s">
        <v>1775</v>
      </c>
      <c r="G149">
        <v>2025</v>
      </c>
      <c r="H149" t="s">
        <v>1160</v>
      </c>
      <c r="I149" t="s">
        <v>96</v>
      </c>
      <c r="J149">
        <v>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Y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S149">
        <v>0</v>
      </c>
      <c r="AU149">
        <v>0</v>
      </c>
      <c r="AV149">
        <v>0</v>
      </c>
      <c r="AW149">
        <v>0</v>
      </c>
      <c r="AX149">
        <v>0</v>
      </c>
      <c r="AY149">
        <v>21</v>
      </c>
      <c r="AZ149">
        <v>0</v>
      </c>
      <c r="BA149">
        <v>44</v>
      </c>
      <c r="BB149">
        <v>3</v>
      </c>
      <c r="BC149">
        <v>25</v>
      </c>
      <c r="BD149">
        <v>0</v>
      </c>
      <c r="BE149">
        <v>2.5</v>
      </c>
      <c r="BF149">
        <v>28</v>
      </c>
      <c r="BG149">
        <v>8</v>
      </c>
      <c r="BH149">
        <v>0</v>
      </c>
      <c r="BI149">
        <v>0</v>
      </c>
      <c r="BJ149">
        <v>3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0</v>
      </c>
      <c r="BT149">
        <v>3</v>
      </c>
      <c r="BU149">
        <v>35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C149">
        <v>0</v>
      </c>
      <c r="DD149">
        <v>0</v>
      </c>
      <c r="DE149">
        <v>0</v>
      </c>
      <c r="DF149">
        <v>0</v>
      </c>
      <c r="DH149">
        <v>0</v>
      </c>
      <c r="DI149">
        <v>0</v>
      </c>
    </row>
    <row r="150" spans="1:113" ht="15" customHeight="1" x14ac:dyDescent="0.25">
      <c r="A150" t="s">
        <v>1776</v>
      </c>
      <c r="B150" t="s">
        <v>1777</v>
      </c>
      <c r="C150" t="s">
        <v>1778</v>
      </c>
      <c r="D150" t="s">
        <v>1334</v>
      </c>
      <c r="E150" t="s">
        <v>431</v>
      </c>
      <c r="F150" t="s">
        <v>1779</v>
      </c>
      <c r="G150">
        <v>2025</v>
      </c>
      <c r="H150" t="s">
        <v>1160</v>
      </c>
      <c r="I150" t="s">
        <v>137</v>
      </c>
      <c r="J150">
        <v>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Y150">
        <v>0</v>
      </c>
      <c r="AA150">
        <v>3</v>
      </c>
      <c r="AB150">
        <v>5</v>
      </c>
      <c r="AC150">
        <v>2</v>
      </c>
      <c r="AD150">
        <v>0</v>
      </c>
      <c r="AE150">
        <v>0</v>
      </c>
      <c r="AF150">
        <v>2</v>
      </c>
      <c r="AG150">
        <v>1.79571006973856</v>
      </c>
      <c r="AH150">
        <v>0</v>
      </c>
      <c r="AI150">
        <v>2</v>
      </c>
      <c r="AJ150">
        <v>2</v>
      </c>
      <c r="AK150">
        <v>11</v>
      </c>
      <c r="AL150">
        <v>0</v>
      </c>
      <c r="AM150">
        <v>0</v>
      </c>
      <c r="AN150">
        <v>0</v>
      </c>
      <c r="AO150">
        <v>2</v>
      </c>
      <c r="AP150">
        <v>9</v>
      </c>
      <c r="AQ150">
        <v>1</v>
      </c>
      <c r="AR150">
        <v>0.74868532747495897</v>
      </c>
      <c r="AS150">
        <v>0</v>
      </c>
      <c r="AT150">
        <v>5.5</v>
      </c>
      <c r="AU150">
        <v>4.2735042735042696E-3</v>
      </c>
      <c r="AV150">
        <v>5.3233963268565403E-4</v>
      </c>
      <c r="AW150">
        <v>6.7828941531363702E-3</v>
      </c>
      <c r="AX150">
        <v>0</v>
      </c>
      <c r="AY150">
        <v>4</v>
      </c>
      <c r="AZ150">
        <v>0</v>
      </c>
      <c r="BA150">
        <v>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C150">
        <v>0</v>
      </c>
      <c r="DD150">
        <v>0</v>
      </c>
      <c r="DE150">
        <v>0</v>
      </c>
      <c r="DF150">
        <v>0</v>
      </c>
      <c r="DH150">
        <v>13.6</v>
      </c>
      <c r="DI150">
        <v>15.6</v>
      </c>
    </row>
    <row r="151" spans="1:113" ht="15" customHeight="1" x14ac:dyDescent="0.25">
      <c r="A151" t="s">
        <v>1780</v>
      </c>
      <c r="B151" t="s">
        <v>1781</v>
      </c>
      <c r="C151" t="s">
        <v>1782</v>
      </c>
      <c r="D151" t="s">
        <v>1350</v>
      </c>
      <c r="E151" t="s">
        <v>1307</v>
      </c>
      <c r="F151" t="s">
        <v>1783</v>
      </c>
      <c r="G151">
        <v>2025</v>
      </c>
      <c r="H151" t="s">
        <v>1160</v>
      </c>
      <c r="I151" t="s">
        <v>143</v>
      </c>
      <c r="J151">
        <v>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Y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S151">
        <v>0</v>
      </c>
      <c r="AU151">
        <v>0</v>
      </c>
      <c r="AV151">
        <v>0</v>
      </c>
      <c r="AW151">
        <v>0</v>
      </c>
      <c r="AX151">
        <v>0</v>
      </c>
      <c r="AY151">
        <v>12</v>
      </c>
      <c r="AZ151">
        <v>0</v>
      </c>
      <c r="BA151">
        <v>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1</v>
      </c>
      <c r="BU151">
        <v>5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C151">
        <v>0</v>
      </c>
      <c r="DD151">
        <v>0</v>
      </c>
      <c r="DE151">
        <v>0</v>
      </c>
      <c r="DF151">
        <v>0</v>
      </c>
      <c r="DH151">
        <v>0</v>
      </c>
      <c r="DI151">
        <v>0</v>
      </c>
    </row>
    <row r="152" spans="1:113" ht="15" customHeight="1" x14ac:dyDescent="0.25">
      <c r="A152" t="s">
        <v>1784</v>
      </c>
      <c r="B152" t="s">
        <v>1785</v>
      </c>
      <c r="C152" t="s">
        <v>1786</v>
      </c>
      <c r="D152" t="s">
        <v>1209</v>
      </c>
      <c r="E152" t="s">
        <v>1169</v>
      </c>
      <c r="F152" t="s">
        <v>1787</v>
      </c>
      <c r="G152">
        <v>2025</v>
      </c>
      <c r="H152" t="s">
        <v>1160</v>
      </c>
      <c r="I152" t="s">
        <v>126</v>
      </c>
      <c r="J152">
        <v>17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Y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C152">
        <v>0</v>
      </c>
      <c r="DD152">
        <v>0</v>
      </c>
      <c r="DE152">
        <v>0</v>
      </c>
      <c r="DF152">
        <v>0</v>
      </c>
      <c r="DH152">
        <v>0</v>
      </c>
      <c r="DI152">
        <v>0</v>
      </c>
    </row>
    <row r="153" spans="1:113" ht="15" customHeight="1" x14ac:dyDescent="0.25">
      <c r="A153" t="s">
        <v>1788</v>
      </c>
      <c r="B153" t="s">
        <v>1789</v>
      </c>
      <c r="C153" t="s">
        <v>1790</v>
      </c>
      <c r="D153" t="s">
        <v>1158</v>
      </c>
      <c r="E153" t="s">
        <v>1158</v>
      </c>
      <c r="F153" t="s">
        <v>1791</v>
      </c>
      <c r="G153">
        <v>2025</v>
      </c>
      <c r="H153" t="s">
        <v>1160</v>
      </c>
      <c r="I153" t="s">
        <v>137</v>
      </c>
      <c r="J153">
        <v>5</v>
      </c>
      <c r="K153">
        <v>110</v>
      </c>
      <c r="L153">
        <v>169</v>
      </c>
      <c r="M153">
        <v>1216</v>
      </c>
      <c r="N153">
        <v>6</v>
      </c>
      <c r="O153">
        <v>5</v>
      </c>
      <c r="P153">
        <v>19</v>
      </c>
      <c r="Q153">
        <v>-125</v>
      </c>
      <c r="R153">
        <v>2</v>
      </c>
      <c r="S153">
        <v>0</v>
      </c>
      <c r="T153">
        <v>1288</v>
      </c>
      <c r="U153">
        <v>573</v>
      </c>
      <c r="V153">
        <v>58</v>
      </c>
      <c r="W153">
        <v>6.3006029651527804</v>
      </c>
      <c r="X153">
        <v>1.1112414902041401</v>
      </c>
      <c r="Y153">
        <v>1</v>
      </c>
      <c r="Z153">
        <v>0.94409937888198803</v>
      </c>
      <c r="AA153">
        <v>11</v>
      </c>
      <c r="AB153">
        <v>57</v>
      </c>
      <c r="AC153">
        <v>0</v>
      </c>
      <c r="AD153">
        <v>1</v>
      </c>
      <c r="AE153">
        <v>0</v>
      </c>
      <c r="AF153">
        <v>5</v>
      </c>
      <c r="AG153">
        <v>-3.24826871609678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3</v>
      </c>
      <c r="BQ153">
        <v>0</v>
      </c>
      <c r="BR153">
        <v>0</v>
      </c>
      <c r="BS153">
        <v>0</v>
      </c>
      <c r="BT153">
        <v>2</v>
      </c>
      <c r="BU153">
        <v>26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C153">
        <v>0</v>
      </c>
      <c r="DD153">
        <v>0</v>
      </c>
      <c r="DE153">
        <v>0</v>
      </c>
      <c r="DF153">
        <v>0</v>
      </c>
      <c r="DH153">
        <v>70.34</v>
      </c>
      <c r="DI153">
        <v>70.34</v>
      </c>
    </row>
    <row r="154" spans="1:113" ht="15" customHeight="1" x14ac:dyDescent="0.25">
      <c r="A154" t="s">
        <v>1792</v>
      </c>
      <c r="B154" t="s">
        <v>1793</v>
      </c>
      <c r="C154" t="s">
        <v>685</v>
      </c>
      <c r="D154" t="s">
        <v>10</v>
      </c>
      <c r="E154" t="s">
        <v>10</v>
      </c>
      <c r="F154" t="s">
        <v>1794</v>
      </c>
      <c r="G154">
        <v>2025</v>
      </c>
      <c r="H154" t="s">
        <v>1160</v>
      </c>
      <c r="I154" t="s">
        <v>124</v>
      </c>
      <c r="J154">
        <v>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Y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>
        <v>0</v>
      </c>
      <c r="AU154">
        <v>0</v>
      </c>
      <c r="AV154">
        <v>0</v>
      </c>
      <c r="AW154">
        <v>0</v>
      </c>
      <c r="AX154">
        <v>0</v>
      </c>
      <c r="AY154">
        <v>6</v>
      </c>
      <c r="AZ154">
        <v>0</v>
      </c>
      <c r="BA154">
        <v>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C154">
        <v>0</v>
      </c>
      <c r="DD154">
        <v>0</v>
      </c>
      <c r="DE154">
        <v>0</v>
      </c>
      <c r="DF154">
        <v>0</v>
      </c>
      <c r="DH154">
        <v>0</v>
      </c>
      <c r="DI154">
        <v>0</v>
      </c>
    </row>
    <row r="155" spans="1:113" ht="15" customHeight="1" x14ac:dyDescent="0.25">
      <c r="A155" t="s">
        <v>1795</v>
      </c>
      <c r="B155" t="s">
        <v>1796</v>
      </c>
      <c r="C155" t="s">
        <v>1797</v>
      </c>
      <c r="D155" t="s">
        <v>1219</v>
      </c>
      <c r="E155" t="s">
        <v>1220</v>
      </c>
      <c r="F155" t="s">
        <v>1798</v>
      </c>
      <c r="G155">
        <v>2025</v>
      </c>
      <c r="H155" t="s">
        <v>1160</v>
      </c>
      <c r="I155" t="s">
        <v>97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Y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5</v>
      </c>
      <c r="BU155">
        <v>35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C155">
        <v>0</v>
      </c>
      <c r="DD155">
        <v>0</v>
      </c>
      <c r="DE155">
        <v>0</v>
      </c>
      <c r="DF155">
        <v>0</v>
      </c>
      <c r="DH155">
        <v>0</v>
      </c>
      <c r="DI155">
        <v>0</v>
      </c>
    </row>
    <row r="156" spans="1:113" ht="15" customHeight="1" x14ac:dyDescent="0.25">
      <c r="A156" t="s">
        <v>1799</v>
      </c>
      <c r="B156" t="s">
        <v>1800</v>
      </c>
      <c r="C156" t="s">
        <v>1801</v>
      </c>
      <c r="D156" t="s">
        <v>1243</v>
      </c>
      <c r="E156" t="s">
        <v>1190</v>
      </c>
      <c r="F156" t="s">
        <v>1802</v>
      </c>
      <c r="G156">
        <v>2025</v>
      </c>
      <c r="H156" t="s">
        <v>1160</v>
      </c>
      <c r="I156" t="s">
        <v>143</v>
      </c>
      <c r="J156">
        <v>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Y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>
        <v>0</v>
      </c>
      <c r="AU156">
        <v>0</v>
      </c>
      <c r="AV156">
        <v>0</v>
      </c>
      <c r="AW156">
        <v>0</v>
      </c>
      <c r="AX156">
        <v>0</v>
      </c>
      <c r="AY156">
        <v>6</v>
      </c>
      <c r="AZ156">
        <v>0</v>
      </c>
      <c r="BA156">
        <v>7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5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C156">
        <v>0</v>
      </c>
      <c r="DD156">
        <v>0</v>
      </c>
      <c r="DE156">
        <v>0</v>
      </c>
      <c r="DF156">
        <v>0</v>
      </c>
      <c r="DH156">
        <v>0</v>
      </c>
      <c r="DI156">
        <v>0</v>
      </c>
    </row>
    <row r="157" spans="1:113" ht="15" customHeight="1" x14ac:dyDescent="0.25">
      <c r="A157" t="s">
        <v>1803</v>
      </c>
      <c r="B157" t="s">
        <v>1804</v>
      </c>
      <c r="C157" t="s">
        <v>1805</v>
      </c>
      <c r="D157" t="s">
        <v>1375</v>
      </c>
      <c r="E157" t="s">
        <v>1307</v>
      </c>
      <c r="F157" t="s">
        <v>1806</v>
      </c>
      <c r="G157">
        <v>2025</v>
      </c>
      <c r="H157" t="s">
        <v>1160</v>
      </c>
      <c r="I157" t="s">
        <v>106</v>
      </c>
      <c r="J157">
        <v>12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Y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S157">
        <v>0</v>
      </c>
      <c r="AU157">
        <v>0</v>
      </c>
      <c r="AV157">
        <v>0</v>
      </c>
      <c r="AW157">
        <v>0</v>
      </c>
      <c r="AX157">
        <v>0</v>
      </c>
      <c r="AY157">
        <v>30</v>
      </c>
      <c r="AZ157">
        <v>2</v>
      </c>
      <c r="BA157">
        <v>22</v>
      </c>
      <c r="BB157">
        <v>2</v>
      </c>
      <c r="BC157">
        <v>14</v>
      </c>
      <c r="BD157">
        <v>1</v>
      </c>
      <c r="BE157">
        <v>1</v>
      </c>
      <c r="BF157">
        <v>11</v>
      </c>
      <c r="BG157">
        <v>2</v>
      </c>
      <c r="BH157">
        <v>1</v>
      </c>
      <c r="BI157">
        <v>12</v>
      </c>
      <c r="BJ157">
        <v>6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2</v>
      </c>
      <c r="BU157">
        <v>41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C157">
        <v>0</v>
      </c>
      <c r="DD157">
        <v>0</v>
      </c>
      <c r="DE157">
        <v>0</v>
      </c>
      <c r="DF157">
        <v>0</v>
      </c>
      <c r="DH157">
        <v>0</v>
      </c>
      <c r="DI157">
        <v>0</v>
      </c>
    </row>
    <row r="158" spans="1:113" ht="15" customHeight="1" x14ac:dyDescent="0.25">
      <c r="A158" t="s">
        <v>1807</v>
      </c>
      <c r="B158" t="s">
        <v>1808</v>
      </c>
      <c r="C158" t="s">
        <v>1809</v>
      </c>
      <c r="D158" t="s">
        <v>10</v>
      </c>
      <c r="E158" t="s">
        <v>10</v>
      </c>
      <c r="F158" t="s">
        <v>1810</v>
      </c>
      <c r="G158">
        <v>2025</v>
      </c>
      <c r="H158" t="s">
        <v>1160</v>
      </c>
      <c r="I158" t="s">
        <v>133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Y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H158">
        <v>0</v>
      </c>
      <c r="AI158">
        <v>21</v>
      </c>
      <c r="AJ158">
        <v>29</v>
      </c>
      <c r="AK158">
        <v>265</v>
      </c>
      <c r="AL158">
        <v>1</v>
      </c>
      <c r="AM158">
        <v>0</v>
      </c>
      <c r="AN158">
        <v>0</v>
      </c>
      <c r="AO158">
        <v>399</v>
      </c>
      <c r="AP158">
        <v>57</v>
      </c>
      <c r="AQ158">
        <v>17</v>
      </c>
      <c r="AR158">
        <v>19.834595010732301</v>
      </c>
      <c r="AS158">
        <v>0</v>
      </c>
      <c r="AT158">
        <v>0.66416040100250595</v>
      </c>
      <c r="AU158">
        <v>6.2770562770562796E-2</v>
      </c>
      <c r="AV158">
        <v>0.118679357525283</v>
      </c>
      <c r="AW158">
        <v>0.17723139442354199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C158">
        <v>0</v>
      </c>
      <c r="DD158">
        <v>0</v>
      </c>
      <c r="DE158">
        <v>0</v>
      </c>
      <c r="DF158">
        <v>0</v>
      </c>
      <c r="DH158">
        <v>32.5</v>
      </c>
      <c r="DI158">
        <v>53.5</v>
      </c>
    </row>
    <row r="159" spans="1:113" ht="15" customHeight="1" x14ac:dyDescent="0.25">
      <c r="A159" t="s">
        <v>1811</v>
      </c>
      <c r="B159" t="s">
        <v>1812</v>
      </c>
      <c r="C159" t="s">
        <v>1813</v>
      </c>
      <c r="D159" t="s">
        <v>1234</v>
      </c>
      <c r="E159" t="s">
        <v>1234</v>
      </c>
      <c r="F159" t="s">
        <v>1814</v>
      </c>
      <c r="G159">
        <v>2025</v>
      </c>
      <c r="H159" t="s">
        <v>1160</v>
      </c>
      <c r="I159" t="s">
        <v>142</v>
      </c>
      <c r="J159">
        <v>17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Y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S159">
        <v>0</v>
      </c>
      <c r="AU159">
        <v>0</v>
      </c>
      <c r="AV159">
        <v>0</v>
      </c>
      <c r="AW159">
        <v>0</v>
      </c>
      <c r="AX159">
        <v>0</v>
      </c>
      <c r="AY159">
        <v>14</v>
      </c>
      <c r="AZ159">
        <v>1</v>
      </c>
      <c r="BA159">
        <v>16</v>
      </c>
      <c r="BB159">
        <v>4</v>
      </c>
      <c r="BC159">
        <v>29</v>
      </c>
      <c r="BD159">
        <v>0</v>
      </c>
      <c r="BE159">
        <v>5</v>
      </c>
      <c r="BF159">
        <v>36</v>
      </c>
      <c r="BG159">
        <v>22</v>
      </c>
      <c r="BH159">
        <v>0</v>
      </c>
      <c r="BI159">
        <v>0</v>
      </c>
      <c r="BJ159">
        <v>4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7</v>
      </c>
      <c r="BU159">
        <v>48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H159">
        <v>0</v>
      </c>
      <c r="DI159">
        <v>0</v>
      </c>
    </row>
    <row r="160" spans="1:113" ht="15" customHeight="1" x14ac:dyDescent="0.25">
      <c r="A160" t="s">
        <v>1815</v>
      </c>
      <c r="B160" t="s">
        <v>1816</v>
      </c>
      <c r="C160" t="s">
        <v>1817</v>
      </c>
      <c r="D160" t="s">
        <v>1350</v>
      </c>
      <c r="E160" t="s">
        <v>1307</v>
      </c>
      <c r="F160" t="s">
        <v>1818</v>
      </c>
      <c r="G160">
        <v>2025</v>
      </c>
      <c r="H160" t="s">
        <v>1160</v>
      </c>
      <c r="I160" t="s">
        <v>124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Y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S160">
        <v>0</v>
      </c>
      <c r="AU160">
        <v>0</v>
      </c>
      <c r="AV160">
        <v>0</v>
      </c>
      <c r="AW160">
        <v>0</v>
      </c>
      <c r="AX160">
        <v>0</v>
      </c>
      <c r="AY160">
        <v>7</v>
      </c>
      <c r="AZ160">
        <v>0</v>
      </c>
      <c r="BA160">
        <v>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0</v>
      </c>
      <c r="BT160">
        <v>4</v>
      </c>
      <c r="BU160">
        <v>14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H160">
        <v>0</v>
      </c>
      <c r="DI160">
        <v>0</v>
      </c>
    </row>
    <row r="161" spans="1:113" ht="15" customHeight="1" x14ac:dyDescent="0.25">
      <c r="A161" t="s">
        <v>1819</v>
      </c>
      <c r="B161" t="s">
        <v>1820</v>
      </c>
      <c r="C161" t="s">
        <v>1821</v>
      </c>
      <c r="D161" t="s">
        <v>1243</v>
      </c>
      <c r="E161" t="s">
        <v>1190</v>
      </c>
      <c r="F161" t="s">
        <v>1822</v>
      </c>
      <c r="G161">
        <v>2025</v>
      </c>
      <c r="H161" t="s">
        <v>1160</v>
      </c>
      <c r="I161" t="s">
        <v>93</v>
      </c>
      <c r="J161">
        <v>16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Y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S161">
        <v>0</v>
      </c>
      <c r="AU161">
        <v>0</v>
      </c>
      <c r="AV161">
        <v>0</v>
      </c>
      <c r="AW161">
        <v>0</v>
      </c>
      <c r="AX161">
        <v>0</v>
      </c>
      <c r="AY161">
        <v>28</v>
      </c>
      <c r="AZ161">
        <v>1</v>
      </c>
      <c r="BA161">
        <v>33</v>
      </c>
      <c r="BB161">
        <v>7</v>
      </c>
      <c r="BC161">
        <v>18</v>
      </c>
      <c r="BD161">
        <v>0</v>
      </c>
      <c r="BE161">
        <v>1</v>
      </c>
      <c r="BF161">
        <v>8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H161">
        <v>0</v>
      </c>
      <c r="DI161">
        <v>0</v>
      </c>
    </row>
    <row r="162" spans="1:113" ht="15" customHeight="1" x14ac:dyDescent="0.25">
      <c r="A162" t="s">
        <v>1823</v>
      </c>
      <c r="B162" t="s">
        <v>1824</v>
      </c>
      <c r="C162" t="s">
        <v>1825</v>
      </c>
      <c r="D162" t="s">
        <v>1350</v>
      </c>
      <c r="E162" t="s">
        <v>1307</v>
      </c>
      <c r="F162" t="s">
        <v>1826</v>
      </c>
      <c r="G162">
        <v>2025</v>
      </c>
      <c r="H162" t="s">
        <v>1160</v>
      </c>
      <c r="I162" t="s">
        <v>103</v>
      </c>
      <c r="J162">
        <v>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Y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S162">
        <v>0</v>
      </c>
      <c r="AU162">
        <v>0</v>
      </c>
      <c r="AV162">
        <v>0</v>
      </c>
      <c r="AW162">
        <v>0</v>
      </c>
      <c r="AX162">
        <v>0</v>
      </c>
      <c r="AY162">
        <v>51</v>
      </c>
      <c r="AZ162">
        <v>2</v>
      </c>
      <c r="BA162">
        <v>35</v>
      </c>
      <c r="BB162">
        <v>4</v>
      </c>
      <c r="BC162">
        <v>26</v>
      </c>
      <c r="BD162">
        <v>0</v>
      </c>
      <c r="BE162">
        <v>3</v>
      </c>
      <c r="BF162">
        <v>23</v>
      </c>
      <c r="BG162">
        <v>4</v>
      </c>
      <c r="BH162">
        <v>1</v>
      </c>
      <c r="BI162">
        <v>2</v>
      </c>
      <c r="BJ162">
        <v>8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5</v>
      </c>
      <c r="BU162">
        <v>34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H162">
        <v>0</v>
      </c>
      <c r="DI162">
        <v>0</v>
      </c>
    </row>
    <row r="163" spans="1:113" ht="15" customHeight="1" x14ac:dyDescent="0.25">
      <c r="A163" t="s">
        <v>1827</v>
      </c>
      <c r="B163" t="s">
        <v>1828</v>
      </c>
      <c r="C163" t="s">
        <v>1829</v>
      </c>
      <c r="D163" t="s">
        <v>1219</v>
      </c>
      <c r="E163" t="s">
        <v>1220</v>
      </c>
      <c r="F163" t="s">
        <v>1830</v>
      </c>
      <c r="G163">
        <v>2025</v>
      </c>
      <c r="H163" t="s">
        <v>1160</v>
      </c>
      <c r="I163" t="s">
        <v>109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Y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S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3</v>
      </c>
      <c r="BU163">
        <v>30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C163">
        <v>0</v>
      </c>
      <c r="DD163">
        <v>0</v>
      </c>
      <c r="DE163">
        <v>0</v>
      </c>
      <c r="DF163">
        <v>0</v>
      </c>
      <c r="DH163">
        <v>0</v>
      </c>
      <c r="DI163">
        <v>0</v>
      </c>
    </row>
    <row r="164" spans="1:113" ht="15" customHeight="1" x14ac:dyDescent="0.25">
      <c r="A164" t="s">
        <v>1831</v>
      </c>
      <c r="B164" t="s">
        <v>1832</v>
      </c>
      <c r="C164" t="s">
        <v>1833</v>
      </c>
      <c r="D164" t="s">
        <v>1214</v>
      </c>
      <c r="E164" t="s">
        <v>1169</v>
      </c>
      <c r="F164" t="s">
        <v>1834</v>
      </c>
      <c r="G164">
        <v>2025</v>
      </c>
      <c r="H164" t="s">
        <v>1160</v>
      </c>
      <c r="I164" t="s">
        <v>138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Y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S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C164">
        <v>0</v>
      </c>
      <c r="DD164">
        <v>0</v>
      </c>
      <c r="DE164">
        <v>0</v>
      </c>
      <c r="DF164">
        <v>0</v>
      </c>
      <c r="DH164">
        <v>0</v>
      </c>
      <c r="DI164">
        <v>0</v>
      </c>
    </row>
    <row r="165" spans="1:113" ht="15" customHeight="1" x14ac:dyDescent="0.25">
      <c r="A165" t="s">
        <v>1835</v>
      </c>
      <c r="B165" t="s">
        <v>1836</v>
      </c>
      <c r="C165" t="s">
        <v>1837</v>
      </c>
      <c r="D165" t="s">
        <v>1189</v>
      </c>
      <c r="E165" t="s">
        <v>1190</v>
      </c>
      <c r="F165" t="s">
        <v>1838</v>
      </c>
      <c r="G165">
        <v>2025</v>
      </c>
      <c r="H165" t="s">
        <v>1160</v>
      </c>
      <c r="I165" t="s">
        <v>126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Y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S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C165">
        <v>0</v>
      </c>
      <c r="DD165">
        <v>0</v>
      </c>
      <c r="DE165">
        <v>0</v>
      </c>
      <c r="DF165">
        <v>0</v>
      </c>
      <c r="DH165">
        <v>0</v>
      </c>
      <c r="DI165">
        <v>0</v>
      </c>
    </row>
    <row r="166" spans="1:113" ht="15" customHeight="1" x14ac:dyDescent="0.25">
      <c r="A166" t="s">
        <v>1839</v>
      </c>
      <c r="B166" t="s">
        <v>1840</v>
      </c>
      <c r="C166" t="s">
        <v>1841</v>
      </c>
      <c r="D166" t="s">
        <v>1243</v>
      </c>
      <c r="E166" t="s">
        <v>1190</v>
      </c>
      <c r="F166" t="s">
        <v>1842</v>
      </c>
      <c r="G166">
        <v>2025</v>
      </c>
      <c r="H166" t="s">
        <v>1160</v>
      </c>
      <c r="I166" t="s">
        <v>104</v>
      </c>
      <c r="J166">
        <v>15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Y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>
        <v>0</v>
      </c>
      <c r="AU166">
        <v>0</v>
      </c>
      <c r="AV166">
        <v>0</v>
      </c>
      <c r="AW166">
        <v>0</v>
      </c>
      <c r="AX166">
        <v>0</v>
      </c>
      <c r="AY166">
        <v>16</v>
      </c>
      <c r="AZ166">
        <v>3</v>
      </c>
      <c r="BA166">
        <v>12</v>
      </c>
      <c r="BB166">
        <v>6</v>
      </c>
      <c r="BC166">
        <v>20</v>
      </c>
      <c r="BD166">
        <v>0</v>
      </c>
      <c r="BE166">
        <v>1</v>
      </c>
      <c r="BF166">
        <v>5</v>
      </c>
      <c r="BG166">
        <v>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5</v>
      </c>
      <c r="BU166">
        <v>26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C166">
        <v>0</v>
      </c>
      <c r="DD166">
        <v>0</v>
      </c>
      <c r="DE166">
        <v>0</v>
      </c>
      <c r="DF166">
        <v>0</v>
      </c>
      <c r="DH166">
        <v>0</v>
      </c>
      <c r="DI166">
        <v>0</v>
      </c>
    </row>
    <row r="167" spans="1:113" ht="15" customHeight="1" x14ac:dyDescent="0.25">
      <c r="A167" t="s">
        <v>1843</v>
      </c>
      <c r="B167" t="s">
        <v>1844</v>
      </c>
      <c r="C167" t="s">
        <v>1845</v>
      </c>
      <c r="D167" t="s">
        <v>1189</v>
      </c>
      <c r="E167" t="s">
        <v>1190</v>
      </c>
      <c r="F167" t="s">
        <v>1846</v>
      </c>
      <c r="G167">
        <v>2025</v>
      </c>
      <c r="H167" t="s">
        <v>1160</v>
      </c>
      <c r="I167" t="s">
        <v>93</v>
      </c>
      <c r="J167">
        <v>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Y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S167">
        <v>0</v>
      </c>
      <c r="AU167">
        <v>0</v>
      </c>
      <c r="AV167">
        <v>0</v>
      </c>
      <c r="AW167">
        <v>0</v>
      </c>
      <c r="AX167">
        <v>0</v>
      </c>
      <c r="AY167">
        <v>5</v>
      </c>
      <c r="AZ167">
        <v>1</v>
      </c>
      <c r="BA167">
        <v>13</v>
      </c>
      <c r="BB167">
        <v>5</v>
      </c>
      <c r="BC167">
        <v>24</v>
      </c>
      <c r="BD167">
        <v>0</v>
      </c>
      <c r="BE167">
        <v>3.5</v>
      </c>
      <c r="BF167">
        <v>20</v>
      </c>
      <c r="BG167">
        <v>11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</v>
      </c>
      <c r="BU167">
        <v>20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C167">
        <v>0</v>
      </c>
      <c r="DD167">
        <v>0</v>
      </c>
      <c r="DE167">
        <v>0</v>
      </c>
      <c r="DF167">
        <v>0</v>
      </c>
      <c r="DH167">
        <v>0</v>
      </c>
      <c r="DI167">
        <v>0</v>
      </c>
    </row>
    <row r="168" spans="1:113" ht="15" customHeight="1" x14ac:dyDescent="0.25">
      <c r="A168" t="s">
        <v>1847</v>
      </c>
      <c r="B168" t="s">
        <v>1848</v>
      </c>
      <c r="C168" t="s">
        <v>1849</v>
      </c>
      <c r="D168" t="s">
        <v>1189</v>
      </c>
      <c r="E168" t="s">
        <v>1190</v>
      </c>
      <c r="F168" t="s">
        <v>1850</v>
      </c>
      <c r="G168">
        <v>2025</v>
      </c>
      <c r="H168" t="s">
        <v>1160</v>
      </c>
      <c r="I168" t="s">
        <v>106</v>
      </c>
      <c r="J168">
        <v>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Y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S168">
        <v>0</v>
      </c>
      <c r="AU168">
        <v>0</v>
      </c>
      <c r="AV168">
        <v>0</v>
      </c>
      <c r="AW168">
        <v>0</v>
      </c>
      <c r="AX168">
        <v>0</v>
      </c>
      <c r="AY168">
        <v>4</v>
      </c>
      <c r="AZ168">
        <v>2</v>
      </c>
      <c r="BA168">
        <v>9</v>
      </c>
      <c r="BB168">
        <v>2</v>
      </c>
      <c r="BC168">
        <v>4</v>
      </c>
      <c r="BD168">
        <v>0</v>
      </c>
      <c r="BE168">
        <v>0.5</v>
      </c>
      <c r="BF168">
        <v>2.5</v>
      </c>
      <c r="BG168">
        <v>4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C168">
        <v>0</v>
      </c>
      <c r="DD168">
        <v>0</v>
      </c>
      <c r="DE168">
        <v>0</v>
      </c>
      <c r="DF168">
        <v>0</v>
      </c>
      <c r="DH168">
        <v>0</v>
      </c>
      <c r="DI168">
        <v>0</v>
      </c>
    </row>
    <row r="169" spans="1:113" ht="15" customHeight="1" x14ac:dyDescent="0.25">
      <c r="A169" t="s">
        <v>1851</v>
      </c>
      <c r="B169" t="s">
        <v>1852</v>
      </c>
      <c r="C169" t="s">
        <v>1853</v>
      </c>
      <c r="D169" t="s">
        <v>1158</v>
      </c>
      <c r="E169" t="s">
        <v>1158</v>
      </c>
      <c r="F169" t="s">
        <v>1854</v>
      </c>
      <c r="G169">
        <v>2025</v>
      </c>
      <c r="H169" t="s">
        <v>1160</v>
      </c>
      <c r="I169" t="s">
        <v>112</v>
      </c>
      <c r="J169">
        <v>17</v>
      </c>
      <c r="K169">
        <v>404</v>
      </c>
      <c r="L169">
        <v>600</v>
      </c>
      <c r="M169">
        <v>4552</v>
      </c>
      <c r="N169">
        <v>30</v>
      </c>
      <c r="O169">
        <v>10</v>
      </c>
      <c r="P169">
        <v>31</v>
      </c>
      <c r="Q169">
        <v>-208</v>
      </c>
      <c r="R169">
        <v>2</v>
      </c>
      <c r="S169">
        <v>1</v>
      </c>
      <c r="T169">
        <v>4809</v>
      </c>
      <c r="U169">
        <v>2023</v>
      </c>
      <c r="V169">
        <v>221</v>
      </c>
      <c r="W169">
        <v>113.296433204959</v>
      </c>
      <c r="X169">
        <v>2.1645571220002799</v>
      </c>
      <c r="Y169">
        <v>3</v>
      </c>
      <c r="Z169">
        <v>0.94655853607818696</v>
      </c>
      <c r="AA169">
        <v>53</v>
      </c>
      <c r="AB169">
        <v>177</v>
      </c>
      <c r="AC169">
        <v>2</v>
      </c>
      <c r="AD169">
        <v>4</v>
      </c>
      <c r="AE169">
        <v>1</v>
      </c>
      <c r="AF169">
        <v>19</v>
      </c>
      <c r="AG169">
        <v>-9.4311447017895205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S169">
        <v>0</v>
      </c>
      <c r="AU169">
        <v>0</v>
      </c>
      <c r="AV169">
        <v>0</v>
      </c>
      <c r="AW169">
        <v>0</v>
      </c>
      <c r="AX169">
        <v>0</v>
      </c>
      <c r="AY169">
        <v>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3</v>
      </c>
      <c r="BP169">
        <v>7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C169">
        <v>0</v>
      </c>
      <c r="DD169">
        <v>0</v>
      </c>
      <c r="DE169">
        <v>0</v>
      </c>
      <c r="DF169">
        <v>0</v>
      </c>
      <c r="DH169">
        <v>313.77999999999997</v>
      </c>
      <c r="DI169">
        <v>313.77999999999997</v>
      </c>
    </row>
    <row r="170" spans="1:113" ht="15" customHeight="1" x14ac:dyDescent="0.25">
      <c r="A170" t="s">
        <v>1855</v>
      </c>
      <c r="B170" t="s">
        <v>1856</v>
      </c>
      <c r="C170" t="s">
        <v>818</v>
      </c>
      <c r="D170" t="s">
        <v>439</v>
      </c>
      <c r="E170" t="s">
        <v>439</v>
      </c>
      <c r="F170" t="s">
        <v>1857</v>
      </c>
      <c r="G170">
        <v>2025</v>
      </c>
      <c r="H170" t="s">
        <v>1160</v>
      </c>
      <c r="I170" t="s">
        <v>114</v>
      </c>
      <c r="J170">
        <v>17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Y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H170">
        <v>0</v>
      </c>
      <c r="AI170">
        <v>60</v>
      </c>
      <c r="AJ170">
        <v>87</v>
      </c>
      <c r="AK170">
        <v>768</v>
      </c>
      <c r="AL170">
        <v>7</v>
      </c>
      <c r="AM170">
        <v>0</v>
      </c>
      <c r="AN170">
        <v>0</v>
      </c>
      <c r="AO170">
        <v>710</v>
      </c>
      <c r="AP170">
        <v>335</v>
      </c>
      <c r="AQ170">
        <v>42</v>
      </c>
      <c r="AR170">
        <v>37.688996646762298</v>
      </c>
      <c r="AS170">
        <v>0</v>
      </c>
      <c r="AT170">
        <v>1.0816901408450701</v>
      </c>
      <c r="AU170">
        <v>0.18049792531120301</v>
      </c>
      <c r="AV170">
        <v>0.15394622723330401</v>
      </c>
      <c r="AW170">
        <v>0.37850924703011801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3</v>
      </c>
      <c r="BU170">
        <v>20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C170">
        <v>0</v>
      </c>
      <c r="DD170">
        <v>0</v>
      </c>
      <c r="DE170">
        <v>0</v>
      </c>
      <c r="DF170">
        <v>0</v>
      </c>
      <c r="DH170">
        <v>118.8</v>
      </c>
      <c r="DI170">
        <v>178.8</v>
      </c>
    </row>
    <row r="171" spans="1:113" ht="15" customHeight="1" x14ac:dyDescent="0.25">
      <c r="A171" t="s">
        <v>1858</v>
      </c>
      <c r="B171" t="s">
        <v>1859</v>
      </c>
      <c r="C171" t="s">
        <v>1860</v>
      </c>
      <c r="D171" t="s">
        <v>1189</v>
      </c>
      <c r="E171" t="s">
        <v>1190</v>
      </c>
      <c r="F171" t="s">
        <v>1861</v>
      </c>
      <c r="G171">
        <v>2025</v>
      </c>
      <c r="H171" t="s">
        <v>1160</v>
      </c>
      <c r="I171" t="s">
        <v>138</v>
      </c>
      <c r="J171">
        <v>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Y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S171">
        <v>0</v>
      </c>
      <c r="AU171">
        <v>0</v>
      </c>
      <c r="AV171">
        <v>0</v>
      </c>
      <c r="AW171">
        <v>0</v>
      </c>
      <c r="AX171">
        <v>0</v>
      </c>
      <c r="AY171">
        <v>9</v>
      </c>
      <c r="AZ171">
        <v>3</v>
      </c>
      <c r="BA171">
        <v>14</v>
      </c>
      <c r="BB171">
        <v>4</v>
      </c>
      <c r="BC171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2</v>
      </c>
      <c r="BU171">
        <v>10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C171">
        <v>0</v>
      </c>
      <c r="DD171">
        <v>0</v>
      </c>
      <c r="DE171">
        <v>0</v>
      </c>
      <c r="DF171">
        <v>0</v>
      </c>
      <c r="DH171">
        <v>0</v>
      </c>
      <c r="DI171">
        <v>0</v>
      </c>
    </row>
    <row r="172" spans="1:113" ht="15" customHeight="1" x14ac:dyDescent="0.25">
      <c r="A172" t="s">
        <v>1862</v>
      </c>
      <c r="B172" t="s">
        <v>1863</v>
      </c>
      <c r="C172" t="s">
        <v>1864</v>
      </c>
      <c r="D172" t="s">
        <v>1158</v>
      </c>
      <c r="E172" t="s">
        <v>1158</v>
      </c>
      <c r="F172" t="s">
        <v>1865</v>
      </c>
      <c r="G172">
        <v>2025</v>
      </c>
      <c r="H172" t="s">
        <v>1160</v>
      </c>
      <c r="I172" t="s">
        <v>111</v>
      </c>
      <c r="J172">
        <v>17</v>
      </c>
      <c r="K172">
        <v>393</v>
      </c>
      <c r="L172">
        <v>578</v>
      </c>
      <c r="M172">
        <v>4564</v>
      </c>
      <c r="N172">
        <v>34</v>
      </c>
      <c r="O172">
        <v>8</v>
      </c>
      <c r="P172">
        <v>38</v>
      </c>
      <c r="Q172">
        <v>-259</v>
      </c>
      <c r="R172">
        <v>3</v>
      </c>
      <c r="S172">
        <v>3</v>
      </c>
      <c r="T172">
        <v>3715</v>
      </c>
      <c r="U172">
        <v>2422</v>
      </c>
      <c r="V172">
        <v>224</v>
      </c>
      <c r="W172">
        <v>106.460151239643</v>
      </c>
      <c r="X172">
        <v>1.77659557743387</v>
      </c>
      <c r="Y172">
        <v>0</v>
      </c>
      <c r="Z172">
        <v>1.22853297442799</v>
      </c>
      <c r="AA172">
        <v>19</v>
      </c>
      <c r="AB172">
        <v>45</v>
      </c>
      <c r="AC172">
        <v>0</v>
      </c>
      <c r="AD172">
        <v>3</v>
      </c>
      <c r="AE172">
        <v>2</v>
      </c>
      <c r="AF172">
        <v>8</v>
      </c>
      <c r="AG172">
        <v>-14.424143070451001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S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4</v>
      </c>
      <c r="BQ172">
        <v>0</v>
      </c>
      <c r="BR172">
        <v>0</v>
      </c>
      <c r="BS172">
        <v>0</v>
      </c>
      <c r="BT172">
        <v>3</v>
      </c>
      <c r="BU172">
        <v>24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C172">
        <v>0</v>
      </c>
      <c r="DD172">
        <v>0</v>
      </c>
      <c r="DE172">
        <v>0</v>
      </c>
      <c r="DF172">
        <v>0</v>
      </c>
      <c r="DH172">
        <v>297.06</v>
      </c>
      <c r="DI172">
        <v>297.06</v>
      </c>
    </row>
    <row r="173" spans="1:113" ht="15" customHeight="1" x14ac:dyDescent="0.25">
      <c r="A173" t="s">
        <v>1866</v>
      </c>
      <c r="B173" t="s">
        <v>1867</v>
      </c>
      <c r="C173" t="s">
        <v>1868</v>
      </c>
      <c r="D173" t="s">
        <v>1511</v>
      </c>
      <c r="E173" t="s">
        <v>1190</v>
      </c>
      <c r="F173" t="s">
        <v>1869</v>
      </c>
      <c r="G173">
        <v>2025</v>
      </c>
      <c r="H173" t="s">
        <v>1160</v>
      </c>
      <c r="I173" t="s">
        <v>137</v>
      </c>
      <c r="J173">
        <v>15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Y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S173">
        <v>0</v>
      </c>
      <c r="AU173">
        <v>0</v>
      </c>
      <c r="AV173">
        <v>0</v>
      </c>
      <c r="AW173">
        <v>0</v>
      </c>
      <c r="AX173">
        <v>0</v>
      </c>
      <c r="AY173">
        <v>18</v>
      </c>
      <c r="AZ173">
        <v>0</v>
      </c>
      <c r="BA173">
        <v>34</v>
      </c>
      <c r="BB173">
        <v>4</v>
      </c>
      <c r="BC173">
        <v>22</v>
      </c>
      <c r="BD173">
        <v>1</v>
      </c>
      <c r="BE173">
        <v>3.5</v>
      </c>
      <c r="BF173">
        <v>22.5</v>
      </c>
      <c r="BG173">
        <v>6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0</v>
      </c>
      <c r="BT173">
        <v>1</v>
      </c>
      <c r="BU173">
        <v>5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C173">
        <v>0</v>
      </c>
      <c r="DD173">
        <v>0</v>
      </c>
      <c r="DE173">
        <v>0</v>
      </c>
      <c r="DF173">
        <v>0</v>
      </c>
      <c r="DH173">
        <v>0</v>
      </c>
      <c r="DI173">
        <v>0</v>
      </c>
    </row>
    <row r="174" spans="1:113" ht="15" customHeight="1" x14ac:dyDescent="0.25">
      <c r="A174" t="s">
        <v>1870</v>
      </c>
      <c r="B174" t="s">
        <v>1871</v>
      </c>
      <c r="C174" t="s">
        <v>746</v>
      </c>
      <c r="D174" t="s">
        <v>439</v>
      </c>
      <c r="E174" t="s">
        <v>439</v>
      </c>
      <c r="F174" t="s">
        <v>1872</v>
      </c>
      <c r="G174">
        <v>2025</v>
      </c>
      <c r="H174" t="s">
        <v>1160</v>
      </c>
      <c r="I174" t="s">
        <v>1200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Y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H174">
        <v>0</v>
      </c>
      <c r="AI174">
        <v>25</v>
      </c>
      <c r="AJ174">
        <v>36</v>
      </c>
      <c r="AK174">
        <v>281</v>
      </c>
      <c r="AL174">
        <v>3</v>
      </c>
      <c r="AM174">
        <v>0</v>
      </c>
      <c r="AN174">
        <v>0</v>
      </c>
      <c r="AO174">
        <v>118</v>
      </c>
      <c r="AP174">
        <v>140</v>
      </c>
      <c r="AQ174">
        <v>17</v>
      </c>
      <c r="AR174">
        <v>9.3852449912996398</v>
      </c>
      <c r="AS174">
        <v>0</v>
      </c>
      <c r="AT174">
        <v>2.3813559322033901</v>
      </c>
      <c r="AU174">
        <v>6.19621342512909E-2</v>
      </c>
      <c r="AV174">
        <v>2.1739130434782601E-2</v>
      </c>
      <c r="AW174">
        <v>0.108160592681284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3</v>
      </c>
      <c r="BU174">
        <v>25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C174">
        <v>0</v>
      </c>
      <c r="DD174">
        <v>0</v>
      </c>
      <c r="DE174">
        <v>0</v>
      </c>
      <c r="DF174">
        <v>0</v>
      </c>
      <c r="DH174">
        <v>46.1</v>
      </c>
      <c r="DI174">
        <v>71.099999999999994</v>
      </c>
    </row>
    <row r="175" spans="1:113" ht="15" customHeight="1" x14ac:dyDescent="0.25">
      <c r="A175" t="s">
        <v>1873</v>
      </c>
      <c r="B175" t="s">
        <v>1874</v>
      </c>
      <c r="C175" t="s">
        <v>1875</v>
      </c>
      <c r="D175" t="s">
        <v>1158</v>
      </c>
      <c r="E175" t="s">
        <v>1158</v>
      </c>
      <c r="F175" t="s">
        <v>1876</v>
      </c>
      <c r="G175">
        <v>2025</v>
      </c>
      <c r="H175" t="s">
        <v>1160</v>
      </c>
      <c r="I175" t="s">
        <v>90</v>
      </c>
      <c r="J175">
        <v>14</v>
      </c>
      <c r="K175">
        <v>315</v>
      </c>
      <c r="L175">
        <v>485</v>
      </c>
      <c r="M175">
        <v>3366</v>
      </c>
      <c r="N175">
        <v>23</v>
      </c>
      <c r="O175">
        <v>8</v>
      </c>
      <c r="P175">
        <v>43</v>
      </c>
      <c r="Q175">
        <v>-288</v>
      </c>
      <c r="R175">
        <v>4</v>
      </c>
      <c r="S175">
        <v>4</v>
      </c>
      <c r="T175">
        <v>3697</v>
      </c>
      <c r="U175">
        <v>1557</v>
      </c>
      <c r="V175">
        <v>165</v>
      </c>
      <c r="W175">
        <v>-3.21543134285545</v>
      </c>
      <c r="X175">
        <v>1.6353199922803701</v>
      </c>
      <c r="Y175">
        <v>1</v>
      </c>
      <c r="Z175">
        <v>0.91046794698404099</v>
      </c>
      <c r="AA175">
        <v>38</v>
      </c>
      <c r="AB175">
        <v>168</v>
      </c>
      <c r="AC175">
        <v>1</v>
      </c>
      <c r="AD175">
        <v>1</v>
      </c>
      <c r="AE175">
        <v>0</v>
      </c>
      <c r="AF175">
        <v>17</v>
      </c>
      <c r="AG175">
        <v>7.4627958839339499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S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2</v>
      </c>
      <c r="BQ175">
        <v>0</v>
      </c>
      <c r="BR175">
        <v>0</v>
      </c>
      <c r="BS175">
        <v>0</v>
      </c>
      <c r="BT175">
        <v>2</v>
      </c>
      <c r="BU175">
        <v>25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C175">
        <v>0</v>
      </c>
      <c r="DD175">
        <v>0</v>
      </c>
      <c r="DE175">
        <v>0</v>
      </c>
      <c r="DF175">
        <v>0</v>
      </c>
      <c r="DH175">
        <v>227.44</v>
      </c>
      <c r="DI175">
        <v>227.44</v>
      </c>
    </row>
    <row r="176" spans="1:113" ht="15" customHeight="1" x14ac:dyDescent="0.25">
      <c r="A176" t="s">
        <v>1877</v>
      </c>
      <c r="B176" t="s">
        <v>1878</v>
      </c>
      <c r="C176" t="s">
        <v>1879</v>
      </c>
      <c r="D176" t="s">
        <v>1511</v>
      </c>
      <c r="E176" t="s">
        <v>1190</v>
      </c>
      <c r="F176" t="s">
        <v>1880</v>
      </c>
      <c r="G176">
        <v>2025</v>
      </c>
      <c r="H176" t="s">
        <v>1160</v>
      </c>
      <c r="I176" t="s">
        <v>112</v>
      </c>
      <c r="J176">
        <v>16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Y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S176">
        <v>0</v>
      </c>
      <c r="AU176">
        <v>0</v>
      </c>
      <c r="AV176">
        <v>0</v>
      </c>
      <c r="AW176">
        <v>0</v>
      </c>
      <c r="AX176">
        <v>0</v>
      </c>
      <c r="AY176">
        <v>17</v>
      </c>
      <c r="AZ176">
        <v>0</v>
      </c>
      <c r="BA176">
        <v>19</v>
      </c>
      <c r="BB176">
        <v>6</v>
      </c>
      <c r="BC176">
        <v>26</v>
      </c>
      <c r="BD176">
        <v>0</v>
      </c>
      <c r="BE176">
        <v>3</v>
      </c>
      <c r="BF176">
        <v>24</v>
      </c>
      <c r="BG176">
        <v>9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C176">
        <v>0</v>
      </c>
      <c r="DD176">
        <v>0</v>
      </c>
      <c r="DE176">
        <v>0</v>
      </c>
      <c r="DF176">
        <v>0</v>
      </c>
      <c r="DH176">
        <v>0</v>
      </c>
      <c r="DI176">
        <v>0</v>
      </c>
    </row>
    <row r="177" spans="1:113" ht="15" customHeight="1" x14ac:dyDescent="0.25">
      <c r="A177" t="s">
        <v>1881</v>
      </c>
      <c r="B177" t="s">
        <v>1882</v>
      </c>
      <c r="C177" t="s">
        <v>1883</v>
      </c>
      <c r="D177" t="s">
        <v>1243</v>
      </c>
      <c r="E177" t="s">
        <v>1190</v>
      </c>
      <c r="F177" t="s">
        <v>1884</v>
      </c>
      <c r="G177">
        <v>2025</v>
      </c>
      <c r="H177" t="s">
        <v>1160</v>
      </c>
      <c r="I177" t="s">
        <v>109</v>
      </c>
      <c r="J177">
        <v>11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Y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S177">
        <v>0</v>
      </c>
      <c r="AU177">
        <v>0</v>
      </c>
      <c r="AV177">
        <v>0</v>
      </c>
      <c r="AW177">
        <v>0</v>
      </c>
      <c r="AX177">
        <v>0</v>
      </c>
      <c r="AY177">
        <v>14</v>
      </c>
      <c r="AZ177">
        <v>1</v>
      </c>
      <c r="BA177">
        <v>10</v>
      </c>
      <c r="BB177">
        <v>7</v>
      </c>
      <c r="BC177">
        <v>31</v>
      </c>
      <c r="BD177">
        <v>0</v>
      </c>
      <c r="BE177">
        <v>6.5</v>
      </c>
      <c r="BF177">
        <v>36</v>
      </c>
      <c r="BG177">
        <v>13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1</v>
      </c>
      <c r="BS177">
        <v>0</v>
      </c>
      <c r="BT177">
        <v>2</v>
      </c>
      <c r="BU177">
        <v>7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C177">
        <v>0</v>
      </c>
      <c r="DD177">
        <v>0</v>
      </c>
      <c r="DE177">
        <v>0</v>
      </c>
      <c r="DF177">
        <v>0</v>
      </c>
      <c r="DH177">
        <v>0</v>
      </c>
      <c r="DI177">
        <v>0</v>
      </c>
    </row>
    <row r="178" spans="1:113" ht="15" customHeight="1" x14ac:dyDescent="0.25">
      <c r="A178" t="s">
        <v>1885</v>
      </c>
      <c r="B178" t="s">
        <v>1886</v>
      </c>
      <c r="C178" t="s">
        <v>1887</v>
      </c>
      <c r="D178" t="s">
        <v>1306</v>
      </c>
      <c r="E178" t="s">
        <v>1307</v>
      </c>
      <c r="F178" t="s">
        <v>1888</v>
      </c>
      <c r="G178">
        <v>2025</v>
      </c>
      <c r="H178" t="s">
        <v>1160</v>
      </c>
      <c r="I178" t="s">
        <v>104</v>
      </c>
      <c r="J178">
        <v>17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Y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S178">
        <v>0</v>
      </c>
      <c r="AU178">
        <v>0</v>
      </c>
      <c r="AV178">
        <v>0</v>
      </c>
      <c r="AW178">
        <v>0</v>
      </c>
      <c r="AX178">
        <v>0</v>
      </c>
      <c r="AY178">
        <v>58</v>
      </c>
      <c r="AZ178">
        <v>3</v>
      </c>
      <c r="BA178">
        <v>32</v>
      </c>
      <c r="BB178">
        <v>4</v>
      </c>
      <c r="BC178">
        <v>7</v>
      </c>
      <c r="BD178">
        <v>0</v>
      </c>
      <c r="BE178">
        <v>0</v>
      </c>
      <c r="BF178">
        <v>0</v>
      </c>
      <c r="BG178">
        <v>0</v>
      </c>
      <c r="BH178">
        <v>7</v>
      </c>
      <c r="BI178">
        <v>91</v>
      </c>
      <c r="BJ178">
        <v>8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C178">
        <v>0</v>
      </c>
      <c r="DD178">
        <v>0</v>
      </c>
      <c r="DE178">
        <v>0</v>
      </c>
      <c r="DF178">
        <v>0</v>
      </c>
      <c r="DH178">
        <v>0</v>
      </c>
      <c r="DI178">
        <v>0</v>
      </c>
    </row>
    <row r="179" spans="1:113" ht="15" customHeight="1" x14ac:dyDescent="0.25">
      <c r="A179" t="s">
        <v>1889</v>
      </c>
      <c r="B179" t="s">
        <v>1890</v>
      </c>
      <c r="C179" t="s">
        <v>1891</v>
      </c>
      <c r="D179" t="s">
        <v>1189</v>
      </c>
      <c r="E179" t="s">
        <v>1190</v>
      </c>
      <c r="F179" t="s">
        <v>1892</v>
      </c>
      <c r="G179">
        <v>2025</v>
      </c>
      <c r="H179" t="s">
        <v>1160</v>
      </c>
      <c r="I179" t="s">
        <v>99</v>
      </c>
      <c r="J179">
        <v>15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Y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S179">
        <v>0</v>
      </c>
      <c r="AU179">
        <v>0</v>
      </c>
      <c r="AV179">
        <v>0</v>
      </c>
      <c r="AW179">
        <v>0</v>
      </c>
      <c r="AX179">
        <v>0</v>
      </c>
      <c r="AY179">
        <v>17</v>
      </c>
      <c r="AZ179">
        <v>0</v>
      </c>
      <c r="BA179">
        <v>12</v>
      </c>
      <c r="BB179">
        <v>9</v>
      </c>
      <c r="BC179">
        <v>50</v>
      </c>
      <c r="BD179">
        <v>5</v>
      </c>
      <c r="BE179">
        <v>5</v>
      </c>
      <c r="BF179">
        <v>40</v>
      </c>
      <c r="BG179">
        <v>16</v>
      </c>
      <c r="BH179">
        <v>0</v>
      </c>
      <c r="BI179">
        <v>0</v>
      </c>
      <c r="BJ179">
        <v>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</v>
      </c>
      <c r="BU179">
        <v>25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C179">
        <v>0</v>
      </c>
      <c r="DD179">
        <v>0</v>
      </c>
      <c r="DE179">
        <v>0</v>
      </c>
      <c r="DF179">
        <v>0</v>
      </c>
      <c r="DH179">
        <v>0</v>
      </c>
      <c r="DI179">
        <v>0</v>
      </c>
    </row>
    <row r="180" spans="1:113" ht="15" customHeight="1" x14ac:dyDescent="0.25">
      <c r="A180" t="s">
        <v>1893</v>
      </c>
      <c r="B180" t="s">
        <v>1894</v>
      </c>
      <c r="C180" t="s">
        <v>669</v>
      </c>
      <c r="D180" t="s">
        <v>439</v>
      </c>
      <c r="E180" t="s">
        <v>439</v>
      </c>
      <c r="F180" t="s">
        <v>1895</v>
      </c>
      <c r="G180">
        <v>2025</v>
      </c>
      <c r="H180" t="s">
        <v>1160</v>
      </c>
      <c r="I180" t="s">
        <v>124</v>
      </c>
      <c r="J180">
        <v>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Y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H180">
        <v>0</v>
      </c>
      <c r="AI180">
        <v>13</v>
      </c>
      <c r="AJ180">
        <v>20</v>
      </c>
      <c r="AK180">
        <v>117</v>
      </c>
      <c r="AL180">
        <v>1</v>
      </c>
      <c r="AM180">
        <v>0</v>
      </c>
      <c r="AN180">
        <v>0</v>
      </c>
      <c r="AO180">
        <v>93</v>
      </c>
      <c r="AP180">
        <v>77</v>
      </c>
      <c r="AQ180">
        <v>4</v>
      </c>
      <c r="AR180">
        <v>-0.859269793261774</v>
      </c>
      <c r="AS180">
        <v>0</v>
      </c>
      <c r="AT180">
        <v>1.25806451612903</v>
      </c>
      <c r="AU180">
        <v>3.77358490566038E-2</v>
      </c>
      <c r="AV180">
        <v>2.1232876712328801E-2</v>
      </c>
      <c r="AW180">
        <v>7.1466787283535796E-2</v>
      </c>
      <c r="AX180">
        <v>0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10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C180">
        <v>0</v>
      </c>
      <c r="DD180">
        <v>0</v>
      </c>
      <c r="DE180">
        <v>0</v>
      </c>
      <c r="DF180">
        <v>0</v>
      </c>
      <c r="DH180">
        <v>17.7</v>
      </c>
      <c r="DI180">
        <v>30.7</v>
      </c>
    </row>
    <row r="181" spans="1:113" ht="15" customHeight="1" x14ac:dyDescent="0.25">
      <c r="A181" t="s">
        <v>1896</v>
      </c>
      <c r="B181" t="s">
        <v>1897</v>
      </c>
      <c r="C181" t="s">
        <v>911</v>
      </c>
      <c r="D181" t="s">
        <v>439</v>
      </c>
      <c r="E181" t="s">
        <v>439</v>
      </c>
      <c r="F181" t="s">
        <v>1898</v>
      </c>
      <c r="G181">
        <v>2025</v>
      </c>
      <c r="H181" t="s">
        <v>1160</v>
      </c>
      <c r="I181" t="s">
        <v>106</v>
      </c>
      <c r="J181">
        <v>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Y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H181">
        <v>0</v>
      </c>
      <c r="AI181">
        <v>9</v>
      </c>
      <c r="AJ181">
        <v>19</v>
      </c>
      <c r="AK181">
        <v>111</v>
      </c>
      <c r="AL181">
        <v>0</v>
      </c>
      <c r="AM181">
        <v>0</v>
      </c>
      <c r="AN181">
        <v>0</v>
      </c>
      <c r="AO181">
        <v>100</v>
      </c>
      <c r="AP181">
        <v>76</v>
      </c>
      <c r="AQ181">
        <v>6</v>
      </c>
      <c r="AR181">
        <v>3.9752175427274801</v>
      </c>
      <c r="AS181">
        <v>0</v>
      </c>
      <c r="AT181">
        <v>1.1100000000000001</v>
      </c>
      <c r="AU181">
        <v>3.47349177330896E-2</v>
      </c>
      <c r="AV181">
        <v>2.0491803278688499E-2</v>
      </c>
      <c r="AW181">
        <v>6.6446638894716303E-2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3</v>
      </c>
      <c r="BU181">
        <v>20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C181">
        <v>0</v>
      </c>
      <c r="DD181">
        <v>0</v>
      </c>
      <c r="DE181">
        <v>0</v>
      </c>
      <c r="DF181">
        <v>0</v>
      </c>
      <c r="DH181">
        <v>11.1</v>
      </c>
      <c r="DI181">
        <v>20.100000000000001</v>
      </c>
    </row>
    <row r="182" spans="1:113" ht="15" customHeight="1" x14ac:dyDescent="0.25">
      <c r="A182" t="s">
        <v>1899</v>
      </c>
      <c r="B182" t="s">
        <v>1900</v>
      </c>
      <c r="C182" t="s">
        <v>1901</v>
      </c>
      <c r="D182" t="s">
        <v>1214</v>
      </c>
      <c r="E182" t="s">
        <v>1169</v>
      </c>
      <c r="F182" t="s">
        <v>1902</v>
      </c>
      <c r="G182">
        <v>2025</v>
      </c>
      <c r="H182" t="s">
        <v>1160</v>
      </c>
      <c r="I182" t="s">
        <v>101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Y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S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C182">
        <v>0</v>
      </c>
      <c r="DD182">
        <v>0</v>
      </c>
      <c r="DE182">
        <v>0</v>
      </c>
      <c r="DF182">
        <v>0</v>
      </c>
      <c r="DH182">
        <v>0</v>
      </c>
      <c r="DI182">
        <v>0</v>
      </c>
    </row>
    <row r="183" spans="1:113" ht="15" customHeight="1" x14ac:dyDescent="0.25">
      <c r="A183" t="s">
        <v>1903</v>
      </c>
      <c r="B183" t="s">
        <v>1904</v>
      </c>
      <c r="C183" t="s">
        <v>1905</v>
      </c>
      <c r="D183" t="s">
        <v>1209</v>
      </c>
      <c r="E183" t="s">
        <v>1169</v>
      </c>
      <c r="F183" t="s">
        <v>1906</v>
      </c>
      <c r="G183">
        <v>2025</v>
      </c>
      <c r="H183" t="s">
        <v>1160</v>
      </c>
      <c r="I183" t="s">
        <v>124</v>
      </c>
      <c r="J183">
        <v>15</v>
      </c>
      <c r="K183">
        <v>1</v>
      </c>
      <c r="L183">
        <v>1</v>
      </c>
      <c r="M183">
        <v>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11</v>
      </c>
      <c r="U183">
        <v>5</v>
      </c>
      <c r="V183">
        <v>1</v>
      </c>
      <c r="W183">
        <v>3.5125947825144999</v>
      </c>
      <c r="X183">
        <v>38.5239481925964</v>
      </c>
      <c r="Y183">
        <v>0</v>
      </c>
      <c r="Z183">
        <v>1.4545454545454499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S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C183">
        <v>0</v>
      </c>
      <c r="DD183">
        <v>0</v>
      </c>
      <c r="DE183">
        <v>0</v>
      </c>
      <c r="DF183">
        <v>0</v>
      </c>
      <c r="DH183">
        <v>0.64</v>
      </c>
      <c r="DI183">
        <v>0.64</v>
      </c>
    </row>
    <row r="184" spans="1:113" ht="15" customHeight="1" x14ac:dyDescent="0.25">
      <c r="A184" t="s">
        <v>1907</v>
      </c>
      <c r="B184" t="s">
        <v>1908</v>
      </c>
      <c r="C184" t="s">
        <v>970</v>
      </c>
      <c r="D184" t="s">
        <v>431</v>
      </c>
      <c r="E184" t="s">
        <v>431</v>
      </c>
      <c r="F184" t="s">
        <v>1909</v>
      </c>
      <c r="G184">
        <v>2025</v>
      </c>
      <c r="H184" t="s">
        <v>1160</v>
      </c>
      <c r="I184" t="s">
        <v>141</v>
      </c>
      <c r="J184">
        <v>17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14</v>
      </c>
      <c r="U184">
        <v>0</v>
      </c>
      <c r="V184">
        <v>0</v>
      </c>
      <c r="W184">
        <v>-0.77089707140112296</v>
      </c>
      <c r="Y184">
        <v>0</v>
      </c>
      <c r="Z184">
        <v>0</v>
      </c>
      <c r="AA184">
        <v>311</v>
      </c>
      <c r="AB184">
        <v>1202</v>
      </c>
      <c r="AC184">
        <v>10</v>
      </c>
      <c r="AD184">
        <v>1</v>
      </c>
      <c r="AE184">
        <v>0</v>
      </c>
      <c r="AF184">
        <v>74</v>
      </c>
      <c r="AG184">
        <v>-21.050851137873</v>
      </c>
      <c r="AH184">
        <v>0</v>
      </c>
      <c r="AI184">
        <v>102</v>
      </c>
      <c r="AJ184">
        <v>129</v>
      </c>
      <c r="AK184">
        <v>924</v>
      </c>
      <c r="AL184">
        <v>7</v>
      </c>
      <c r="AM184">
        <v>1</v>
      </c>
      <c r="AN184">
        <v>0</v>
      </c>
      <c r="AO184">
        <v>335</v>
      </c>
      <c r="AP184">
        <v>720</v>
      </c>
      <c r="AQ184">
        <v>48</v>
      </c>
      <c r="AR184">
        <v>39.031451655985897</v>
      </c>
      <c r="AS184">
        <v>0</v>
      </c>
      <c r="AT184">
        <v>2.7582089552238802</v>
      </c>
      <c r="AU184">
        <v>0.234545454545455</v>
      </c>
      <c r="AV184">
        <v>7.7979515828677806E-2</v>
      </c>
      <c r="AW184">
        <v>0.40640384289825598</v>
      </c>
      <c r="AX184">
        <v>0</v>
      </c>
      <c r="AY184">
        <v>3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C184">
        <v>0</v>
      </c>
      <c r="DD184">
        <v>0</v>
      </c>
      <c r="DE184">
        <v>0</v>
      </c>
      <c r="DF184">
        <v>0</v>
      </c>
      <c r="DH184">
        <v>314.60000000000002</v>
      </c>
      <c r="DI184">
        <v>416.6</v>
      </c>
    </row>
    <row r="185" spans="1:113" ht="15" customHeight="1" x14ac:dyDescent="0.25">
      <c r="A185" t="s">
        <v>1910</v>
      </c>
      <c r="B185" t="s">
        <v>1911</v>
      </c>
      <c r="C185" t="s">
        <v>1912</v>
      </c>
      <c r="D185" t="s">
        <v>1350</v>
      </c>
      <c r="E185" t="s">
        <v>1307</v>
      </c>
      <c r="F185" t="s">
        <v>1913</v>
      </c>
      <c r="G185">
        <v>2025</v>
      </c>
      <c r="H185" t="s">
        <v>1160</v>
      </c>
      <c r="I185" t="s">
        <v>97</v>
      </c>
      <c r="J185">
        <v>15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Y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S185">
        <v>0</v>
      </c>
      <c r="AU185">
        <v>0</v>
      </c>
      <c r="AV185">
        <v>0</v>
      </c>
      <c r="AW185">
        <v>0</v>
      </c>
      <c r="AX185">
        <v>0</v>
      </c>
      <c r="AY185">
        <v>52</v>
      </c>
      <c r="AZ185">
        <v>1</v>
      </c>
      <c r="BA185">
        <v>15</v>
      </c>
      <c r="BB185">
        <v>3</v>
      </c>
      <c r="BC185">
        <v>9</v>
      </c>
      <c r="BD185">
        <v>2</v>
      </c>
      <c r="BE185">
        <v>1</v>
      </c>
      <c r="BF185">
        <v>7</v>
      </c>
      <c r="BG185">
        <v>3</v>
      </c>
      <c r="BH185">
        <v>4</v>
      </c>
      <c r="BI185">
        <v>54</v>
      </c>
      <c r="BJ185">
        <v>13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0</v>
      </c>
      <c r="BT185">
        <v>3</v>
      </c>
      <c r="BU185">
        <v>25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C185">
        <v>0</v>
      </c>
      <c r="DD185">
        <v>0</v>
      </c>
      <c r="DE185">
        <v>0</v>
      </c>
      <c r="DF185">
        <v>0</v>
      </c>
      <c r="DH185">
        <v>0</v>
      </c>
      <c r="DI185">
        <v>0</v>
      </c>
    </row>
    <row r="186" spans="1:113" ht="15" customHeight="1" x14ac:dyDescent="0.25">
      <c r="A186" t="s">
        <v>1914</v>
      </c>
      <c r="B186" t="s">
        <v>1915</v>
      </c>
      <c r="C186" t="s">
        <v>1916</v>
      </c>
      <c r="D186" t="s">
        <v>10</v>
      </c>
      <c r="E186" t="s">
        <v>10</v>
      </c>
      <c r="F186" t="s">
        <v>1917</v>
      </c>
      <c r="G186">
        <v>2025</v>
      </c>
      <c r="H186" t="s">
        <v>1160</v>
      </c>
      <c r="I186" t="s">
        <v>99</v>
      </c>
      <c r="J186">
        <v>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Y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H186">
        <v>0</v>
      </c>
      <c r="AI186">
        <v>7</v>
      </c>
      <c r="AJ186">
        <v>9</v>
      </c>
      <c r="AK186">
        <v>81</v>
      </c>
      <c r="AL186">
        <v>1</v>
      </c>
      <c r="AM186">
        <v>0</v>
      </c>
      <c r="AN186">
        <v>0</v>
      </c>
      <c r="AO186">
        <v>145</v>
      </c>
      <c r="AP186">
        <v>27</v>
      </c>
      <c r="AQ186">
        <v>5</v>
      </c>
      <c r="AR186">
        <v>8.8059849385172093</v>
      </c>
      <c r="AS186">
        <v>0</v>
      </c>
      <c r="AT186">
        <v>0.55862068965517198</v>
      </c>
      <c r="AU186">
        <v>1.87891440501044E-2</v>
      </c>
      <c r="AV186">
        <v>4.0121748754842299E-2</v>
      </c>
      <c r="AW186">
        <v>5.6268940203546197E-2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9</v>
      </c>
      <c r="BY186">
        <v>223</v>
      </c>
      <c r="BZ186">
        <v>0</v>
      </c>
      <c r="CA186">
        <v>0</v>
      </c>
      <c r="CB186">
        <v>0</v>
      </c>
      <c r="CC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C186">
        <v>0</v>
      </c>
      <c r="DD186">
        <v>0</v>
      </c>
      <c r="DE186">
        <v>0</v>
      </c>
      <c r="DF186">
        <v>0</v>
      </c>
      <c r="DH186">
        <v>14.1</v>
      </c>
      <c r="DI186">
        <v>21.1</v>
      </c>
    </row>
    <row r="187" spans="1:113" ht="15" customHeight="1" x14ac:dyDescent="0.25">
      <c r="A187" t="s">
        <v>1918</v>
      </c>
      <c r="B187" t="s">
        <v>1919</v>
      </c>
      <c r="C187" t="s">
        <v>1920</v>
      </c>
      <c r="D187" t="s">
        <v>1219</v>
      </c>
      <c r="E187" t="s">
        <v>1220</v>
      </c>
      <c r="F187" t="s">
        <v>1921</v>
      </c>
      <c r="G187">
        <v>2025</v>
      </c>
      <c r="H187" t="s">
        <v>1160</v>
      </c>
      <c r="I187" t="s">
        <v>96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Y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S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5</v>
      </c>
      <c r="BU187">
        <v>30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C187">
        <v>0</v>
      </c>
      <c r="DD187">
        <v>0</v>
      </c>
      <c r="DE187">
        <v>0</v>
      </c>
      <c r="DF187">
        <v>0</v>
      </c>
      <c r="DH187">
        <v>0</v>
      </c>
      <c r="DI187">
        <v>0</v>
      </c>
    </row>
    <row r="188" spans="1:113" ht="15" customHeight="1" x14ac:dyDescent="0.25">
      <c r="A188" t="s">
        <v>1922</v>
      </c>
      <c r="B188" t="s">
        <v>1923</v>
      </c>
      <c r="C188" t="s">
        <v>969</v>
      </c>
      <c r="D188" t="s">
        <v>439</v>
      </c>
      <c r="E188" t="s">
        <v>439</v>
      </c>
      <c r="F188" t="s">
        <v>1924</v>
      </c>
      <c r="G188">
        <v>2025</v>
      </c>
      <c r="H188" t="s">
        <v>1160</v>
      </c>
      <c r="I188" t="s">
        <v>141</v>
      </c>
      <c r="J188">
        <v>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Y188">
        <v>0</v>
      </c>
      <c r="AA188">
        <v>1</v>
      </c>
      <c r="AB188">
        <v>-3</v>
      </c>
      <c r="AC188">
        <v>0</v>
      </c>
      <c r="AD188">
        <v>0</v>
      </c>
      <c r="AE188">
        <v>0</v>
      </c>
      <c r="AF188">
        <v>0</v>
      </c>
      <c r="AG188">
        <v>-0.98971250851172998</v>
      </c>
      <c r="AH188">
        <v>0</v>
      </c>
      <c r="AI188">
        <v>57</v>
      </c>
      <c r="AJ188">
        <v>69</v>
      </c>
      <c r="AK188">
        <v>628</v>
      </c>
      <c r="AL188">
        <v>7</v>
      </c>
      <c r="AM188">
        <v>0</v>
      </c>
      <c r="AN188">
        <v>0</v>
      </c>
      <c r="AO188">
        <v>460</v>
      </c>
      <c r="AP188">
        <v>252</v>
      </c>
      <c r="AQ188">
        <v>38</v>
      </c>
      <c r="AR188">
        <v>46.320063126803802</v>
      </c>
      <c r="AS188">
        <v>0</v>
      </c>
      <c r="AT188">
        <v>1.3652173913043499</v>
      </c>
      <c r="AU188">
        <v>0.12545454545454501</v>
      </c>
      <c r="AV188">
        <v>0.10707635009311001</v>
      </c>
      <c r="AW188">
        <v>0.26313526324699499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C188">
        <v>0</v>
      </c>
      <c r="DD188">
        <v>0</v>
      </c>
      <c r="DE188">
        <v>0</v>
      </c>
      <c r="DF188">
        <v>0</v>
      </c>
      <c r="DH188">
        <v>104.5</v>
      </c>
      <c r="DI188">
        <v>161.5</v>
      </c>
    </row>
    <row r="189" spans="1:113" ht="15" customHeight="1" x14ac:dyDescent="0.25">
      <c r="A189" t="s">
        <v>1925</v>
      </c>
      <c r="B189" t="s">
        <v>1926</v>
      </c>
      <c r="C189" t="s">
        <v>1927</v>
      </c>
      <c r="D189" t="s">
        <v>1297</v>
      </c>
      <c r="E189" t="s">
        <v>1220</v>
      </c>
      <c r="F189" t="s">
        <v>1928</v>
      </c>
      <c r="G189">
        <v>2025</v>
      </c>
      <c r="H189" t="s">
        <v>1160</v>
      </c>
      <c r="I189" t="s">
        <v>139</v>
      </c>
      <c r="J189">
        <v>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Y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S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12</v>
      </c>
      <c r="BU189">
        <v>70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C189">
        <v>0</v>
      </c>
      <c r="DD189">
        <v>0</v>
      </c>
      <c r="DE189">
        <v>0</v>
      </c>
      <c r="DF189">
        <v>0</v>
      </c>
      <c r="DH189">
        <v>0</v>
      </c>
      <c r="DI189">
        <v>0</v>
      </c>
    </row>
    <row r="190" spans="1:113" ht="15" customHeight="1" x14ac:dyDescent="0.25">
      <c r="A190" t="s">
        <v>1929</v>
      </c>
      <c r="B190" t="s">
        <v>1930</v>
      </c>
      <c r="C190" t="s">
        <v>1931</v>
      </c>
      <c r="D190" t="s">
        <v>431</v>
      </c>
      <c r="E190" t="s">
        <v>431</v>
      </c>
      <c r="F190" t="s">
        <v>1932</v>
      </c>
      <c r="G190">
        <v>2025</v>
      </c>
      <c r="H190" t="s">
        <v>1160</v>
      </c>
      <c r="I190" t="s">
        <v>137</v>
      </c>
      <c r="J190">
        <v>12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Y190">
        <v>0</v>
      </c>
      <c r="AA190">
        <v>132</v>
      </c>
      <c r="AB190">
        <v>548</v>
      </c>
      <c r="AC190">
        <v>2</v>
      </c>
      <c r="AD190">
        <v>0</v>
      </c>
      <c r="AE190">
        <v>0</v>
      </c>
      <c r="AF190">
        <v>28</v>
      </c>
      <c r="AG190">
        <v>-2.3747202583085998</v>
      </c>
      <c r="AH190">
        <v>0</v>
      </c>
      <c r="AI190">
        <v>28</v>
      </c>
      <c r="AJ190">
        <v>41</v>
      </c>
      <c r="AK190">
        <v>199</v>
      </c>
      <c r="AL190">
        <v>1</v>
      </c>
      <c r="AM190">
        <v>1</v>
      </c>
      <c r="AN190">
        <v>1</v>
      </c>
      <c r="AO190">
        <v>-25</v>
      </c>
      <c r="AP190">
        <v>227</v>
      </c>
      <c r="AQ190">
        <v>9</v>
      </c>
      <c r="AR190">
        <v>-7.5507313445025002</v>
      </c>
      <c r="AS190">
        <v>0</v>
      </c>
      <c r="AT190">
        <v>-7.96</v>
      </c>
      <c r="AU190">
        <v>8.7606837606837601E-2</v>
      </c>
      <c r="AV190">
        <v>-6.65424540857067E-3</v>
      </c>
      <c r="AW190">
        <v>0.126752284624257</v>
      </c>
      <c r="AX190">
        <v>0</v>
      </c>
      <c r="AY190">
        <v>1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C190">
        <v>0</v>
      </c>
      <c r="DD190">
        <v>0</v>
      </c>
      <c r="DE190">
        <v>0</v>
      </c>
      <c r="DF190">
        <v>0</v>
      </c>
      <c r="DH190">
        <v>90.7</v>
      </c>
      <c r="DI190">
        <v>118.7</v>
      </c>
    </row>
    <row r="191" spans="1:113" ht="15" customHeight="1" x14ac:dyDescent="0.25">
      <c r="A191" t="s">
        <v>1933</v>
      </c>
      <c r="B191" t="s">
        <v>1934</v>
      </c>
      <c r="C191" t="s">
        <v>1935</v>
      </c>
      <c r="D191" t="s">
        <v>1307</v>
      </c>
      <c r="E191" t="s">
        <v>1307</v>
      </c>
      <c r="F191" t="s">
        <v>1936</v>
      </c>
      <c r="G191">
        <v>2025</v>
      </c>
      <c r="H191" t="s">
        <v>1160</v>
      </c>
      <c r="I191" t="s">
        <v>103</v>
      </c>
      <c r="J191">
        <v>13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Y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S191">
        <v>0</v>
      </c>
      <c r="AU191">
        <v>0</v>
      </c>
      <c r="AV191">
        <v>0</v>
      </c>
      <c r="AW191">
        <v>0</v>
      </c>
      <c r="AX191">
        <v>0</v>
      </c>
      <c r="AY191">
        <v>29</v>
      </c>
      <c r="AZ191">
        <v>2</v>
      </c>
      <c r="BA191">
        <v>20</v>
      </c>
      <c r="BB191">
        <v>2</v>
      </c>
      <c r="BC191">
        <v>8</v>
      </c>
      <c r="BD191">
        <v>1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3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C191">
        <v>0</v>
      </c>
      <c r="DD191">
        <v>0</v>
      </c>
      <c r="DE191">
        <v>0</v>
      </c>
      <c r="DF191">
        <v>0</v>
      </c>
      <c r="DH191">
        <v>0</v>
      </c>
      <c r="DI191">
        <v>0</v>
      </c>
    </row>
    <row r="192" spans="1:113" ht="15" customHeight="1" x14ac:dyDescent="0.25">
      <c r="A192" t="s">
        <v>1937</v>
      </c>
      <c r="B192" t="s">
        <v>1409</v>
      </c>
      <c r="C192" t="s">
        <v>1938</v>
      </c>
      <c r="D192" t="s">
        <v>1243</v>
      </c>
      <c r="E192" t="s">
        <v>1190</v>
      </c>
      <c r="F192" t="s">
        <v>1939</v>
      </c>
      <c r="G192">
        <v>2025</v>
      </c>
      <c r="H192" t="s">
        <v>1160</v>
      </c>
      <c r="I192" t="s">
        <v>115</v>
      </c>
      <c r="J192">
        <v>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Y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S192">
        <v>0</v>
      </c>
      <c r="AU192">
        <v>0</v>
      </c>
      <c r="AV192">
        <v>0</v>
      </c>
      <c r="AW192">
        <v>0</v>
      </c>
      <c r="AX192">
        <v>0</v>
      </c>
      <c r="AY192">
        <v>20</v>
      </c>
      <c r="AZ192">
        <v>1</v>
      </c>
      <c r="BA192">
        <v>18</v>
      </c>
      <c r="BB192">
        <v>4</v>
      </c>
      <c r="BC192">
        <v>13</v>
      </c>
      <c r="BD192">
        <v>0</v>
      </c>
      <c r="BE192">
        <v>3</v>
      </c>
      <c r="BF192">
        <v>8</v>
      </c>
      <c r="BG192">
        <v>6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C192">
        <v>0</v>
      </c>
      <c r="DD192">
        <v>0</v>
      </c>
      <c r="DE192">
        <v>0</v>
      </c>
      <c r="DF192">
        <v>0</v>
      </c>
      <c r="DH192">
        <v>0</v>
      </c>
      <c r="DI192">
        <v>0</v>
      </c>
    </row>
    <row r="193" spans="1:113" ht="15" customHeight="1" x14ac:dyDescent="0.25">
      <c r="A193" t="s">
        <v>1940</v>
      </c>
      <c r="B193" t="s">
        <v>1941</v>
      </c>
      <c r="C193" t="s">
        <v>1942</v>
      </c>
      <c r="D193" t="s">
        <v>1168</v>
      </c>
      <c r="E193" t="s">
        <v>1169</v>
      </c>
      <c r="F193" t="s">
        <v>1943</v>
      </c>
      <c r="G193">
        <v>2025</v>
      </c>
      <c r="H193" t="s">
        <v>1160</v>
      </c>
      <c r="I193" t="s">
        <v>123</v>
      </c>
      <c r="J193">
        <v>17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Y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S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2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33</v>
      </c>
      <c r="CA193">
        <v>38</v>
      </c>
      <c r="CB193">
        <v>5</v>
      </c>
      <c r="CC193">
        <v>0</v>
      </c>
      <c r="CD193">
        <v>59</v>
      </c>
      <c r="CE193">
        <v>0.86842105263157898</v>
      </c>
      <c r="CF193">
        <v>1</v>
      </c>
      <c r="CG193">
        <v>9</v>
      </c>
      <c r="CH193">
        <v>9</v>
      </c>
      <c r="CI193">
        <v>9</v>
      </c>
      <c r="CJ193">
        <v>5</v>
      </c>
      <c r="CK193">
        <v>0</v>
      </c>
      <c r="CL193">
        <v>0</v>
      </c>
      <c r="CM193">
        <v>0</v>
      </c>
      <c r="CN193">
        <v>0</v>
      </c>
      <c r="CO193">
        <v>2</v>
      </c>
      <c r="CP193">
        <v>3</v>
      </c>
      <c r="CQ193">
        <v>0</v>
      </c>
      <c r="CR193" t="s">
        <v>1944</v>
      </c>
      <c r="CS193" t="s">
        <v>1945</v>
      </c>
      <c r="CU193">
        <v>1243</v>
      </c>
      <c r="CV193">
        <v>248</v>
      </c>
      <c r="CW193">
        <v>0</v>
      </c>
      <c r="CX193">
        <v>31</v>
      </c>
      <c r="CY193">
        <v>35</v>
      </c>
      <c r="CZ193">
        <v>3</v>
      </c>
      <c r="DA193">
        <v>1</v>
      </c>
      <c r="DB193">
        <v>0.88571428571428601</v>
      </c>
      <c r="DC193">
        <v>1</v>
      </c>
      <c r="DD193">
        <v>1</v>
      </c>
      <c r="DE193">
        <v>0</v>
      </c>
      <c r="DF193">
        <v>0</v>
      </c>
      <c r="DG193">
        <v>27</v>
      </c>
      <c r="DH193">
        <v>0</v>
      </c>
      <c r="DI193">
        <v>0</v>
      </c>
    </row>
    <row r="194" spans="1:113" ht="15" customHeight="1" x14ac:dyDescent="0.25">
      <c r="A194" t="s">
        <v>1946</v>
      </c>
      <c r="B194" t="s">
        <v>1947</v>
      </c>
      <c r="C194" t="s">
        <v>434</v>
      </c>
      <c r="D194" t="s">
        <v>10</v>
      </c>
      <c r="E194" t="s">
        <v>10</v>
      </c>
      <c r="F194" t="s">
        <v>1948</v>
      </c>
      <c r="G194">
        <v>2025</v>
      </c>
      <c r="H194" t="s">
        <v>1160</v>
      </c>
      <c r="I194" t="s">
        <v>141</v>
      </c>
      <c r="J194">
        <v>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Y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H194">
        <v>0</v>
      </c>
      <c r="AI194">
        <v>37</v>
      </c>
      <c r="AJ194">
        <v>53</v>
      </c>
      <c r="AK194">
        <v>551</v>
      </c>
      <c r="AL194">
        <v>0</v>
      </c>
      <c r="AM194">
        <v>0</v>
      </c>
      <c r="AN194">
        <v>0</v>
      </c>
      <c r="AO194">
        <v>584</v>
      </c>
      <c r="AP194">
        <v>165</v>
      </c>
      <c r="AQ194">
        <v>27</v>
      </c>
      <c r="AR194">
        <v>20.546875389660901</v>
      </c>
      <c r="AS194">
        <v>0</v>
      </c>
      <c r="AT194">
        <v>0.943493150684932</v>
      </c>
      <c r="AU194">
        <v>9.6363636363636401E-2</v>
      </c>
      <c r="AV194">
        <v>0.13594040968342599</v>
      </c>
      <c r="AW194">
        <v>0.239703741323853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</v>
      </c>
      <c r="BU194">
        <v>15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C194">
        <v>0</v>
      </c>
      <c r="DD194">
        <v>0</v>
      </c>
      <c r="DE194">
        <v>0</v>
      </c>
      <c r="DF194">
        <v>0</v>
      </c>
      <c r="DH194">
        <v>55.1</v>
      </c>
      <c r="DI194">
        <v>92.1</v>
      </c>
    </row>
    <row r="195" spans="1:113" ht="15" customHeight="1" x14ac:dyDescent="0.25">
      <c r="A195" t="s">
        <v>1949</v>
      </c>
      <c r="B195" t="s">
        <v>1950</v>
      </c>
      <c r="C195" t="s">
        <v>1951</v>
      </c>
      <c r="D195" t="s">
        <v>1158</v>
      </c>
      <c r="E195" t="s">
        <v>1158</v>
      </c>
      <c r="F195" t="s">
        <v>1952</v>
      </c>
      <c r="G195">
        <v>2025</v>
      </c>
      <c r="H195" t="s">
        <v>1160</v>
      </c>
      <c r="I195" t="s">
        <v>106</v>
      </c>
      <c r="J195">
        <v>4</v>
      </c>
      <c r="K195">
        <v>3</v>
      </c>
      <c r="L195">
        <v>3</v>
      </c>
      <c r="M195">
        <v>19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4</v>
      </c>
      <c r="U195">
        <v>15</v>
      </c>
      <c r="V195">
        <v>2</v>
      </c>
      <c r="W195">
        <v>2.8997661510420998</v>
      </c>
      <c r="X195">
        <v>28.957560658454899</v>
      </c>
      <c r="Y195">
        <v>0</v>
      </c>
      <c r="Z195">
        <v>4.75</v>
      </c>
      <c r="AA195">
        <v>12</v>
      </c>
      <c r="AB195">
        <v>-8</v>
      </c>
      <c r="AC195">
        <v>0</v>
      </c>
      <c r="AD195">
        <v>0</v>
      </c>
      <c r="AE195">
        <v>0</v>
      </c>
      <c r="AF195">
        <v>0</v>
      </c>
      <c r="AG195">
        <v>-2.4598922564764498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S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C195">
        <v>0</v>
      </c>
      <c r="DD195">
        <v>0</v>
      </c>
      <c r="DE195">
        <v>0</v>
      </c>
      <c r="DF195">
        <v>0</v>
      </c>
      <c r="DH195">
        <v>-0.04</v>
      </c>
      <c r="DI195">
        <v>-0.04</v>
      </c>
    </row>
    <row r="196" spans="1:113" ht="15" customHeight="1" x14ac:dyDescent="0.25">
      <c r="A196" t="s">
        <v>1953</v>
      </c>
      <c r="B196" t="s">
        <v>1954</v>
      </c>
      <c r="C196" t="s">
        <v>1955</v>
      </c>
      <c r="D196" t="s">
        <v>1234</v>
      </c>
      <c r="E196" t="s">
        <v>1234</v>
      </c>
      <c r="F196" t="s">
        <v>1956</v>
      </c>
      <c r="G196">
        <v>2025</v>
      </c>
      <c r="H196" t="s">
        <v>1160</v>
      </c>
      <c r="I196" t="s">
        <v>137</v>
      </c>
      <c r="J196">
        <v>17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Y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S196">
        <v>0</v>
      </c>
      <c r="AU196">
        <v>0</v>
      </c>
      <c r="AV196">
        <v>0</v>
      </c>
      <c r="AW196">
        <v>0</v>
      </c>
      <c r="AX196">
        <v>0</v>
      </c>
      <c r="AY196">
        <v>56</v>
      </c>
      <c r="AZ196">
        <v>4</v>
      </c>
      <c r="BA196">
        <v>55</v>
      </c>
      <c r="BB196">
        <v>17</v>
      </c>
      <c r="BC196">
        <v>90</v>
      </c>
      <c r="BD196">
        <v>4</v>
      </c>
      <c r="BE196">
        <v>6.5</v>
      </c>
      <c r="BF196">
        <v>50</v>
      </c>
      <c r="BG196">
        <v>10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15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C196">
        <v>0</v>
      </c>
      <c r="DD196">
        <v>0</v>
      </c>
      <c r="DE196">
        <v>0</v>
      </c>
      <c r="DF196">
        <v>0</v>
      </c>
      <c r="DH196">
        <v>0</v>
      </c>
      <c r="DI196">
        <v>0</v>
      </c>
    </row>
    <row r="197" spans="1:113" ht="15" customHeight="1" x14ac:dyDescent="0.25">
      <c r="A197" t="s">
        <v>1957</v>
      </c>
      <c r="B197" t="s">
        <v>1958</v>
      </c>
      <c r="C197" t="s">
        <v>1959</v>
      </c>
      <c r="D197" t="s">
        <v>1243</v>
      </c>
      <c r="E197" t="s">
        <v>1190</v>
      </c>
      <c r="F197" t="s">
        <v>1960</v>
      </c>
      <c r="G197">
        <v>2025</v>
      </c>
      <c r="H197" t="s">
        <v>1160</v>
      </c>
      <c r="I197" t="s">
        <v>97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Y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S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4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C197">
        <v>0</v>
      </c>
      <c r="DD197">
        <v>0</v>
      </c>
      <c r="DE197">
        <v>0</v>
      </c>
      <c r="DF197">
        <v>0</v>
      </c>
      <c r="DH197">
        <v>0</v>
      </c>
      <c r="DI197">
        <v>0</v>
      </c>
    </row>
    <row r="198" spans="1:113" ht="15" customHeight="1" x14ac:dyDescent="0.25">
      <c r="A198" t="s">
        <v>1961</v>
      </c>
      <c r="B198" t="s">
        <v>1808</v>
      </c>
      <c r="C198" t="s">
        <v>1962</v>
      </c>
      <c r="D198" t="s">
        <v>439</v>
      </c>
      <c r="E198" t="s">
        <v>439</v>
      </c>
      <c r="F198" t="s">
        <v>1963</v>
      </c>
      <c r="G198">
        <v>2025</v>
      </c>
      <c r="H198" t="s">
        <v>1160</v>
      </c>
      <c r="I198" t="s">
        <v>138</v>
      </c>
      <c r="J198">
        <v>13</v>
      </c>
      <c r="K198">
        <v>2</v>
      </c>
      <c r="L198">
        <v>6</v>
      </c>
      <c r="M198">
        <v>57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45</v>
      </c>
      <c r="U198">
        <v>3</v>
      </c>
      <c r="V198">
        <v>2</v>
      </c>
      <c r="W198">
        <v>-0.99959863066601296</v>
      </c>
      <c r="X198">
        <v>-26.234709620475801</v>
      </c>
      <c r="Y198">
        <v>0</v>
      </c>
      <c r="Z198">
        <v>1.2666666666666699</v>
      </c>
      <c r="AA198">
        <v>52</v>
      </c>
      <c r="AB198">
        <v>114</v>
      </c>
      <c r="AC198">
        <v>1</v>
      </c>
      <c r="AD198">
        <v>2</v>
      </c>
      <c r="AE198">
        <v>1</v>
      </c>
      <c r="AF198">
        <v>17</v>
      </c>
      <c r="AG198">
        <v>-14.218752735961001</v>
      </c>
      <c r="AH198">
        <v>0</v>
      </c>
      <c r="AI198">
        <v>11</v>
      </c>
      <c r="AJ198">
        <v>16</v>
      </c>
      <c r="AK198">
        <v>91</v>
      </c>
      <c r="AL198">
        <v>0</v>
      </c>
      <c r="AM198">
        <v>0</v>
      </c>
      <c r="AN198">
        <v>0</v>
      </c>
      <c r="AO198">
        <v>54</v>
      </c>
      <c r="AP198">
        <v>86</v>
      </c>
      <c r="AQ198">
        <v>2</v>
      </c>
      <c r="AR198">
        <v>-0.416505563419592</v>
      </c>
      <c r="AS198">
        <v>0</v>
      </c>
      <c r="AT198">
        <v>1.68518518518519</v>
      </c>
      <c r="AU198">
        <v>2.8318584070796501E-2</v>
      </c>
      <c r="AV198">
        <v>1.12805514936286E-2</v>
      </c>
      <c r="AW198">
        <v>5.0374262151734697E-2</v>
      </c>
      <c r="AX198">
        <v>0</v>
      </c>
      <c r="AY198">
        <v>3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2</v>
      </c>
      <c r="BU198">
        <v>19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C198">
        <v>0</v>
      </c>
      <c r="DD198">
        <v>0</v>
      </c>
      <c r="DE198">
        <v>0</v>
      </c>
      <c r="DF198">
        <v>0</v>
      </c>
      <c r="DH198">
        <v>30.78</v>
      </c>
      <c r="DI198">
        <v>41.78</v>
      </c>
    </row>
    <row r="199" spans="1:113" ht="15" customHeight="1" x14ac:dyDescent="0.25">
      <c r="A199" t="s">
        <v>1964</v>
      </c>
      <c r="B199" t="s">
        <v>1965</v>
      </c>
      <c r="C199" t="s">
        <v>1966</v>
      </c>
      <c r="D199" t="s">
        <v>10</v>
      </c>
      <c r="E199" t="s">
        <v>10</v>
      </c>
      <c r="F199" t="s">
        <v>1967</v>
      </c>
      <c r="G199">
        <v>2025</v>
      </c>
      <c r="H199" t="s">
        <v>1160</v>
      </c>
      <c r="I199" t="s">
        <v>106</v>
      </c>
      <c r="J199">
        <v>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Y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H199">
        <v>0</v>
      </c>
      <c r="AI199">
        <v>15</v>
      </c>
      <c r="AJ199">
        <v>24</v>
      </c>
      <c r="AK199">
        <v>187</v>
      </c>
      <c r="AL199">
        <v>3</v>
      </c>
      <c r="AM199">
        <v>0</v>
      </c>
      <c r="AN199">
        <v>0</v>
      </c>
      <c r="AO199">
        <v>258</v>
      </c>
      <c r="AP199">
        <v>54</v>
      </c>
      <c r="AQ199">
        <v>10</v>
      </c>
      <c r="AR199">
        <v>5.6965034620258601</v>
      </c>
      <c r="AS199">
        <v>0</v>
      </c>
      <c r="AT199">
        <v>0.724806201550388</v>
      </c>
      <c r="AU199">
        <v>4.3875685557586801E-2</v>
      </c>
      <c r="AV199">
        <v>5.2868852459016402E-2</v>
      </c>
      <c r="AW199">
        <v>0.10282172505769201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3</v>
      </c>
      <c r="BU199">
        <v>25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C199">
        <v>0</v>
      </c>
      <c r="DD199">
        <v>0</v>
      </c>
      <c r="DE199">
        <v>0</v>
      </c>
      <c r="DF199">
        <v>0</v>
      </c>
      <c r="DH199">
        <v>36.700000000000003</v>
      </c>
      <c r="DI199">
        <v>51.7</v>
      </c>
    </row>
    <row r="200" spans="1:113" ht="15" customHeight="1" x14ac:dyDescent="0.25">
      <c r="A200" t="s">
        <v>1968</v>
      </c>
      <c r="B200" t="s">
        <v>1969</v>
      </c>
      <c r="C200" t="s">
        <v>1970</v>
      </c>
      <c r="D200" t="s">
        <v>1334</v>
      </c>
      <c r="E200" t="s">
        <v>431</v>
      </c>
      <c r="F200" t="s">
        <v>1971</v>
      </c>
      <c r="G200">
        <v>2025</v>
      </c>
      <c r="H200" t="s">
        <v>1160</v>
      </c>
      <c r="I200" t="s">
        <v>97</v>
      </c>
      <c r="J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Y200">
        <v>0</v>
      </c>
      <c r="AA200">
        <v>1</v>
      </c>
      <c r="AB200">
        <v>3</v>
      </c>
      <c r="AC200">
        <v>0</v>
      </c>
      <c r="AD200">
        <v>0</v>
      </c>
      <c r="AE200">
        <v>0</v>
      </c>
      <c r="AF200">
        <v>1</v>
      </c>
      <c r="AG200">
        <v>0.510267380392179</v>
      </c>
      <c r="AH200">
        <v>0</v>
      </c>
      <c r="AI200">
        <v>1</v>
      </c>
      <c r="AJ200">
        <v>2</v>
      </c>
      <c r="AK200">
        <v>8</v>
      </c>
      <c r="AL200">
        <v>0</v>
      </c>
      <c r="AM200">
        <v>0</v>
      </c>
      <c r="AN200">
        <v>0</v>
      </c>
      <c r="AO200">
        <v>6</v>
      </c>
      <c r="AP200">
        <v>2</v>
      </c>
      <c r="AQ200">
        <v>0</v>
      </c>
      <c r="AR200">
        <v>-0.494739742251113</v>
      </c>
      <c r="AS200">
        <v>0</v>
      </c>
      <c r="AT200">
        <v>1.3333333333333299</v>
      </c>
      <c r="AU200">
        <v>4.9140049140049104E-3</v>
      </c>
      <c r="AV200">
        <v>1.75336060783168E-3</v>
      </c>
      <c r="AW200">
        <v>8.5983597964895495E-3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5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C200">
        <v>0</v>
      </c>
      <c r="DD200">
        <v>0</v>
      </c>
      <c r="DE200">
        <v>0</v>
      </c>
      <c r="DF200">
        <v>0</v>
      </c>
      <c r="DH200">
        <v>1.1000000000000001</v>
      </c>
      <c r="DI200">
        <v>2.1</v>
      </c>
    </row>
    <row r="201" spans="1:113" ht="15" customHeight="1" x14ac:dyDescent="0.25">
      <c r="A201" t="s">
        <v>1972</v>
      </c>
      <c r="B201" t="s">
        <v>1973</v>
      </c>
      <c r="C201" t="s">
        <v>1974</v>
      </c>
      <c r="D201" t="s">
        <v>1243</v>
      </c>
      <c r="E201" t="s">
        <v>1190</v>
      </c>
      <c r="F201" t="s">
        <v>1975</v>
      </c>
      <c r="G201">
        <v>2025</v>
      </c>
      <c r="H201" t="s">
        <v>1160</v>
      </c>
      <c r="I201" t="s">
        <v>89</v>
      </c>
      <c r="J201">
        <v>15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Y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S201">
        <v>0</v>
      </c>
      <c r="AU201">
        <v>0</v>
      </c>
      <c r="AV201">
        <v>0</v>
      </c>
      <c r="AW201">
        <v>0</v>
      </c>
      <c r="AX201">
        <v>0</v>
      </c>
      <c r="AY201">
        <v>19</v>
      </c>
      <c r="AZ201">
        <v>1</v>
      </c>
      <c r="BA201">
        <v>30</v>
      </c>
      <c r="BB201">
        <v>3</v>
      </c>
      <c r="BC201">
        <v>11</v>
      </c>
      <c r="BD201">
        <v>0</v>
      </c>
      <c r="BE201">
        <v>1</v>
      </c>
      <c r="BF201">
        <v>9</v>
      </c>
      <c r="BG201">
        <v>5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3</v>
      </c>
      <c r="BU201">
        <v>26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C201">
        <v>0</v>
      </c>
      <c r="DD201">
        <v>0</v>
      </c>
      <c r="DE201">
        <v>0</v>
      </c>
      <c r="DF201">
        <v>0</v>
      </c>
      <c r="DH201">
        <v>0</v>
      </c>
      <c r="DI201">
        <v>0</v>
      </c>
    </row>
    <row r="202" spans="1:113" ht="15" customHeight="1" x14ac:dyDescent="0.25">
      <c r="A202" t="s">
        <v>1976</v>
      </c>
      <c r="B202" t="s">
        <v>1977</v>
      </c>
      <c r="C202" t="s">
        <v>1978</v>
      </c>
      <c r="D202" t="s">
        <v>1350</v>
      </c>
      <c r="E202" t="s">
        <v>1307</v>
      </c>
      <c r="F202" t="s">
        <v>1979</v>
      </c>
      <c r="G202">
        <v>2025</v>
      </c>
      <c r="H202" t="s">
        <v>1160</v>
      </c>
      <c r="I202" t="s">
        <v>124</v>
      </c>
      <c r="J202">
        <v>14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Y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S202">
        <v>0</v>
      </c>
      <c r="AU202">
        <v>0</v>
      </c>
      <c r="AV202">
        <v>0</v>
      </c>
      <c r="AW202">
        <v>0</v>
      </c>
      <c r="AX202">
        <v>0</v>
      </c>
      <c r="AY202">
        <v>34</v>
      </c>
      <c r="AZ202">
        <v>0</v>
      </c>
      <c r="BA202">
        <v>21</v>
      </c>
      <c r="BB202">
        <v>3</v>
      </c>
      <c r="BC202">
        <v>10</v>
      </c>
      <c r="BD202">
        <v>2</v>
      </c>
      <c r="BE202">
        <v>1.5</v>
      </c>
      <c r="BF202">
        <v>3</v>
      </c>
      <c r="BG202">
        <v>3</v>
      </c>
      <c r="BH202">
        <v>1</v>
      </c>
      <c r="BI202">
        <v>32</v>
      </c>
      <c r="BJ202">
        <v>6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4</v>
      </c>
      <c r="BU202">
        <v>30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C202">
        <v>0</v>
      </c>
      <c r="DD202">
        <v>0</v>
      </c>
      <c r="DE202">
        <v>0</v>
      </c>
      <c r="DF202">
        <v>0</v>
      </c>
      <c r="DH202">
        <v>0</v>
      </c>
      <c r="DI202">
        <v>0</v>
      </c>
    </row>
    <row r="203" spans="1:113" ht="15" customHeight="1" x14ac:dyDescent="0.25">
      <c r="A203" t="s">
        <v>1980</v>
      </c>
      <c r="B203" t="s">
        <v>1981</v>
      </c>
      <c r="C203" t="s">
        <v>1982</v>
      </c>
      <c r="D203" t="s">
        <v>1209</v>
      </c>
      <c r="E203" t="s">
        <v>1169</v>
      </c>
      <c r="F203" t="s">
        <v>1983</v>
      </c>
      <c r="G203">
        <v>2025</v>
      </c>
      <c r="H203" t="s">
        <v>1160</v>
      </c>
      <c r="I203" t="s">
        <v>90</v>
      </c>
      <c r="J203">
        <v>7</v>
      </c>
      <c r="K203">
        <v>1</v>
      </c>
      <c r="L203">
        <v>1</v>
      </c>
      <c r="M203">
        <v>28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19</v>
      </c>
      <c r="U203">
        <v>9</v>
      </c>
      <c r="V203">
        <v>1</v>
      </c>
      <c r="W203">
        <v>4.4010514167603096</v>
      </c>
      <c r="X203">
        <v>37.173211574554401</v>
      </c>
      <c r="Y203">
        <v>0</v>
      </c>
      <c r="Z203">
        <v>1.4736842105263199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S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C203">
        <v>0</v>
      </c>
      <c r="DD203">
        <v>0</v>
      </c>
      <c r="DE203">
        <v>0</v>
      </c>
      <c r="DF203">
        <v>0</v>
      </c>
      <c r="DH203">
        <v>1.1200000000000001</v>
      </c>
      <c r="DI203">
        <v>1.1200000000000001</v>
      </c>
    </row>
    <row r="204" spans="1:113" ht="15" customHeight="1" x14ac:dyDescent="0.25">
      <c r="A204" t="s">
        <v>1984</v>
      </c>
      <c r="B204" t="s">
        <v>1985</v>
      </c>
      <c r="C204" t="s">
        <v>1986</v>
      </c>
      <c r="D204" t="s">
        <v>439</v>
      </c>
      <c r="E204" t="s">
        <v>439</v>
      </c>
      <c r="F204" t="s">
        <v>1987</v>
      </c>
      <c r="G204">
        <v>2025</v>
      </c>
      <c r="H204" t="s">
        <v>1160</v>
      </c>
      <c r="I204" t="s">
        <v>90</v>
      </c>
      <c r="J204">
        <v>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Y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H204">
        <v>0</v>
      </c>
      <c r="AI204">
        <v>2</v>
      </c>
      <c r="AJ204">
        <v>2</v>
      </c>
      <c r="AK204">
        <v>1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-0.88537692223326303</v>
      </c>
      <c r="AS204">
        <v>0</v>
      </c>
      <c r="AT204">
        <v>1</v>
      </c>
      <c r="AU204">
        <v>3.2414910858995102E-3</v>
      </c>
      <c r="AV204">
        <v>2.1459227467811201E-4</v>
      </c>
      <c r="AW204">
        <v>5.0124512211239501E-3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</v>
      </c>
      <c r="BU204">
        <v>24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C204">
        <v>0</v>
      </c>
      <c r="DD204">
        <v>0</v>
      </c>
      <c r="DE204">
        <v>0</v>
      </c>
      <c r="DF204">
        <v>0</v>
      </c>
      <c r="DH204">
        <v>0.1</v>
      </c>
      <c r="DI204">
        <v>2.1</v>
      </c>
    </row>
    <row r="205" spans="1:113" ht="15" customHeight="1" x14ac:dyDescent="0.25">
      <c r="A205" t="s">
        <v>1988</v>
      </c>
      <c r="B205" t="s">
        <v>1989</v>
      </c>
      <c r="C205" t="s">
        <v>1990</v>
      </c>
      <c r="D205" t="s">
        <v>439</v>
      </c>
      <c r="E205" t="s">
        <v>439</v>
      </c>
      <c r="F205" t="s">
        <v>1991</v>
      </c>
      <c r="G205">
        <v>2025</v>
      </c>
      <c r="H205" t="s">
        <v>1160</v>
      </c>
      <c r="I205" t="s">
        <v>111</v>
      </c>
      <c r="J205">
        <v>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Y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H205">
        <v>0</v>
      </c>
      <c r="AI205">
        <v>8</v>
      </c>
      <c r="AJ205">
        <v>10</v>
      </c>
      <c r="AK205">
        <v>53</v>
      </c>
      <c r="AL205">
        <v>0</v>
      </c>
      <c r="AM205">
        <v>0</v>
      </c>
      <c r="AN205">
        <v>0</v>
      </c>
      <c r="AO205">
        <v>35</v>
      </c>
      <c r="AP205">
        <v>12</v>
      </c>
      <c r="AQ205">
        <v>4</v>
      </c>
      <c r="AR205">
        <v>1.63562383066164</v>
      </c>
      <c r="AS205">
        <v>0</v>
      </c>
      <c r="AT205">
        <v>1.51428571428571</v>
      </c>
      <c r="AU205">
        <v>1.8181818181818198E-2</v>
      </c>
      <c r="AV205">
        <v>9.3783494105037501E-3</v>
      </c>
      <c r="AW205">
        <v>3.38375718600799E-2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C205">
        <v>0</v>
      </c>
      <c r="DD205">
        <v>0</v>
      </c>
      <c r="DE205">
        <v>0</v>
      </c>
      <c r="DF205">
        <v>0</v>
      </c>
      <c r="DH205">
        <v>5.3</v>
      </c>
      <c r="DI205">
        <v>13.3</v>
      </c>
    </row>
    <row r="206" spans="1:113" ht="15" customHeight="1" x14ac:dyDescent="0.25">
      <c r="A206" t="s">
        <v>1992</v>
      </c>
      <c r="B206" t="s">
        <v>1993</v>
      </c>
      <c r="C206" t="s">
        <v>1994</v>
      </c>
      <c r="D206" t="s">
        <v>1189</v>
      </c>
      <c r="E206" t="s">
        <v>1190</v>
      </c>
      <c r="F206" t="s">
        <v>1995</v>
      </c>
      <c r="G206">
        <v>2025</v>
      </c>
      <c r="H206" t="s">
        <v>1160</v>
      </c>
      <c r="I206" t="s">
        <v>97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Y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C206">
        <v>0</v>
      </c>
      <c r="DD206">
        <v>0</v>
      </c>
      <c r="DE206">
        <v>0</v>
      </c>
      <c r="DF206">
        <v>0</v>
      </c>
      <c r="DH206">
        <v>0</v>
      </c>
      <c r="DI206">
        <v>0</v>
      </c>
    </row>
    <row r="207" spans="1:113" ht="15" customHeight="1" x14ac:dyDescent="0.25">
      <c r="A207" t="s">
        <v>1996</v>
      </c>
      <c r="B207" t="s">
        <v>1997</v>
      </c>
      <c r="C207" t="s">
        <v>1998</v>
      </c>
      <c r="D207" t="s">
        <v>1350</v>
      </c>
      <c r="E207" t="s">
        <v>1307</v>
      </c>
      <c r="F207" t="s">
        <v>1999</v>
      </c>
      <c r="G207">
        <v>2025</v>
      </c>
      <c r="H207" t="s">
        <v>1160</v>
      </c>
      <c r="I207" t="s">
        <v>111</v>
      </c>
      <c r="J207">
        <v>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Y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11</v>
      </c>
      <c r="AZ207">
        <v>0</v>
      </c>
      <c r="BA207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3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C207">
        <v>0</v>
      </c>
      <c r="DD207">
        <v>0</v>
      </c>
      <c r="DE207">
        <v>0</v>
      </c>
      <c r="DF207">
        <v>0</v>
      </c>
      <c r="DH207">
        <v>0</v>
      </c>
      <c r="DI207">
        <v>0</v>
      </c>
    </row>
    <row r="208" spans="1:113" ht="15" customHeight="1" x14ac:dyDescent="0.25">
      <c r="A208" t="s">
        <v>2000</v>
      </c>
      <c r="B208" t="s">
        <v>2001</v>
      </c>
      <c r="C208" t="s">
        <v>2002</v>
      </c>
      <c r="D208" t="s">
        <v>1189</v>
      </c>
      <c r="E208" t="s">
        <v>1190</v>
      </c>
      <c r="F208" t="s">
        <v>2003</v>
      </c>
      <c r="G208">
        <v>2025</v>
      </c>
      <c r="H208" t="s">
        <v>1160</v>
      </c>
      <c r="I208" t="s">
        <v>137</v>
      </c>
      <c r="J208">
        <v>17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Y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>
        <v>0</v>
      </c>
      <c r="AU208">
        <v>0</v>
      </c>
      <c r="AV208">
        <v>0</v>
      </c>
      <c r="AW208">
        <v>0</v>
      </c>
      <c r="AX208">
        <v>0</v>
      </c>
      <c r="AY208">
        <v>28</v>
      </c>
      <c r="AZ208">
        <v>1</v>
      </c>
      <c r="BA208">
        <v>39</v>
      </c>
      <c r="BB208">
        <v>7</v>
      </c>
      <c r="BC208">
        <v>28</v>
      </c>
      <c r="BD208">
        <v>0</v>
      </c>
      <c r="BE208">
        <v>3.5</v>
      </c>
      <c r="BF208">
        <v>22.5</v>
      </c>
      <c r="BG208">
        <v>11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1</v>
      </c>
      <c r="BS208">
        <v>0</v>
      </c>
      <c r="BT208">
        <v>2</v>
      </c>
      <c r="BU208">
        <v>10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C208">
        <v>0</v>
      </c>
      <c r="DD208">
        <v>0</v>
      </c>
      <c r="DE208">
        <v>0</v>
      </c>
      <c r="DF208">
        <v>0</v>
      </c>
      <c r="DH208">
        <v>0</v>
      </c>
      <c r="DI208">
        <v>0</v>
      </c>
    </row>
    <row r="209" spans="1:113" ht="15" customHeight="1" x14ac:dyDescent="0.25">
      <c r="A209" t="s">
        <v>2004</v>
      </c>
      <c r="B209" t="s">
        <v>2005</v>
      </c>
      <c r="C209" t="s">
        <v>551</v>
      </c>
      <c r="D209" t="s">
        <v>431</v>
      </c>
      <c r="E209" t="s">
        <v>431</v>
      </c>
      <c r="F209" t="s">
        <v>2006</v>
      </c>
      <c r="G209">
        <v>2025</v>
      </c>
      <c r="H209" t="s">
        <v>1160</v>
      </c>
      <c r="I209" t="s">
        <v>107</v>
      </c>
      <c r="J209">
        <v>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Y209">
        <v>0</v>
      </c>
      <c r="AA209">
        <v>84</v>
      </c>
      <c r="AB209">
        <v>382</v>
      </c>
      <c r="AC209">
        <v>3</v>
      </c>
      <c r="AD209">
        <v>3</v>
      </c>
      <c r="AE209">
        <v>2</v>
      </c>
      <c r="AF209">
        <v>32</v>
      </c>
      <c r="AG209">
        <v>-0.24908348934860999</v>
      </c>
      <c r="AH209">
        <v>0</v>
      </c>
      <c r="AI209">
        <v>17</v>
      </c>
      <c r="AJ209">
        <v>21</v>
      </c>
      <c r="AK209">
        <v>87</v>
      </c>
      <c r="AL209">
        <v>0</v>
      </c>
      <c r="AM209">
        <v>0</v>
      </c>
      <c r="AN209">
        <v>0</v>
      </c>
      <c r="AO209">
        <v>-32</v>
      </c>
      <c r="AP209">
        <v>109</v>
      </c>
      <c r="AQ209">
        <v>5</v>
      </c>
      <c r="AR209">
        <v>-2.5930143865978099</v>
      </c>
      <c r="AS209">
        <v>0</v>
      </c>
      <c r="AT209">
        <v>-2.71875</v>
      </c>
      <c r="AU209">
        <v>3.4539473684210502E-2</v>
      </c>
      <c r="AV209">
        <v>-6.7983853834714296E-3</v>
      </c>
      <c r="AW209">
        <v>4.7050340757885799E-2</v>
      </c>
      <c r="AX209">
        <v>0</v>
      </c>
      <c r="AY209">
        <v>1</v>
      </c>
      <c r="AZ209">
        <v>0</v>
      </c>
      <c r="BA209">
        <v>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17</v>
      </c>
      <c r="BY209">
        <v>430</v>
      </c>
      <c r="BZ209">
        <v>0</v>
      </c>
      <c r="CA209">
        <v>0</v>
      </c>
      <c r="CB209">
        <v>0</v>
      </c>
      <c r="CC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C209">
        <v>0</v>
      </c>
      <c r="DD209">
        <v>0</v>
      </c>
      <c r="DE209">
        <v>0</v>
      </c>
      <c r="DF209">
        <v>0</v>
      </c>
      <c r="DH209">
        <v>60.9</v>
      </c>
      <c r="DI209">
        <v>77.900000000000006</v>
      </c>
    </row>
    <row r="210" spans="1:113" ht="15" customHeight="1" x14ac:dyDescent="0.25">
      <c r="A210" t="s">
        <v>2007</v>
      </c>
      <c r="B210" t="s">
        <v>2008</v>
      </c>
      <c r="C210" t="s">
        <v>2009</v>
      </c>
      <c r="D210" t="s">
        <v>1219</v>
      </c>
      <c r="E210" t="s">
        <v>1220</v>
      </c>
      <c r="F210" t="s">
        <v>2010</v>
      </c>
      <c r="G210">
        <v>2025</v>
      </c>
      <c r="H210" t="s">
        <v>1160</v>
      </c>
      <c r="I210" t="s">
        <v>115</v>
      </c>
      <c r="J210">
        <v>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Y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-0.82037357360241003</v>
      </c>
      <c r="AS210">
        <v>0</v>
      </c>
      <c r="AT210">
        <v>0</v>
      </c>
      <c r="AU210">
        <v>1.71232876712329E-3</v>
      </c>
      <c r="AV210">
        <v>4.4563279857397502E-4</v>
      </c>
      <c r="AW210">
        <v>2.8804361096867099E-3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6</v>
      </c>
      <c r="BU210">
        <v>44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C210">
        <v>0</v>
      </c>
      <c r="DD210">
        <v>0</v>
      </c>
      <c r="DE210">
        <v>0</v>
      </c>
      <c r="DF210">
        <v>0</v>
      </c>
      <c r="DH210">
        <v>0</v>
      </c>
      <c r="DI210">
        <v>0</v>
      </c>
    </row>
    <row r="211" spans="1:113" ht="15" customHeight="1" x14ac:dyDescent="0.25">
      <c r="A211" t="s">
        <v>2011</v>
      </c>
      <c r="B211" t="s">
        <v>2012</v>
      </c>
      <c r="C211" t="s">
        <v>2013</v>
      </c>
      <c r="D211" t="s">
        <v>1189</v>
      </c>
      <c r="E211" t="s">
        <v>1190</v>
      </c>
      <c r="F211" t="s">
        <v>2014</v>
      </c>
      <c r="G211">
        <v>2025</v>
      </c>
      <c r="H211" t="s">
        <v>1160</v>
      </c>
      <c r="I211" t="s">
        <v>90</v>
      </c>
      <c r="J211">
        <v>14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Y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S211">
        <v>0</v>
      </c>
      <c r="AU211">
        <v>0</v>
      </c>
      <c r="AV211">
        <v>0</v>
      </c>
      <c r="AW211">
        <v>0</v>
      </c>
      <c r="AX211">
        <v>0</v>
      </c>
      <c r="AY211">
        <v>12</v>
      </c>
      <c r="AZ211">
        <v>1</v>
      </c>
      <c r="BA211">
        <v>13</v>
      </c>
      <c r="BB211">
        <v>3</v>
      </c>
      <c r="BC211">
        <v>9</v>
      </c>
      <c r="BD211">
        <v>0</v>
      </c>
      <c r="BE211">
        <v>1</v>
      </c>
      <c r="BF211">
        <v>4</v>
      </c>
      <c r="BG211">
        <v>3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2</v>
      </c>
      <c r="BU211">
        <v>5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C211">
        <v>0</v>
      </c>
      <c r="DD211">
        <v>0</v>
      </c>
      <c r="DE211">
        <v>0</v>
      </c>
      <c r="DF211">
        <v>0</v>
      </c>
      <c r="DH211">
        <v>0</v>
      </c>
      <c r="DI211">
        <v>0</v>
      </c>
    </row>
    <row r="212" spans="1:113" ht="15" customHeight="1" x14ac:dyDescent="0.25">
      <c r="A212" t="s">
        <v>2015</v>
      </c>
      <c r="B212" t="s">
        <v>2016</v>
      </c>
      <c r="C212" t="s">
        <v>2017</v>
      </c>
      <c r="D212" t="s">
        <v>2018</v>
      </c>
      <c r="E212" t="s">
        <v>1234</v>
      </c>
      <c r="F212" t="s">
        <v>2019</v>
      </c>
      <c r="G212">
        <v>2025</v>
      </c>
      <c r="H212" t="s">
        <v>1160</v>
      </c>
      <c r="I212" t="s">
        <v>111</v>
      </c>
      <c r="J212">
        <v>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Y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Y212">
        <v>5</v>
      </c>
      <c r="AZ212">
        <v>0</v>
      </c>
      <c r="BA212">
        <v>2</v>
      </c>
      <c r="BB212">
        <v>1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C212">
        <v>0</v>
      </c>
      <c r="DD212">
        <v>0</v>
      </c>
      <c r="DE212">
        <v>0</v>
      </c>
      <c r="DF212">
        <v>0</v>
      </c>
      <c r="DH212">
        <v>0</v>
      </c>
      <c r="DI212">
        <v>0</v>
      </c>
    </row>
    <row r="213" spans="1:113" ht="15" customHeight="1" x14ac:dyDescent="0.25">
      <c r="A213" t="s">
        <v>2020</v>
      </c>
      <c r="B213" t="s">
        <v>2021</v>
      </c>
      <c r="C213" t="s">
        <v>2022</v>
      </c>
      <c r="D213" t="s">
        <v>1350</v>
      </c>
      <c r="E213" t="s">
        <v>1307</v>
      </c>
      <c r="F213" t="s">
        <v>2023</v>
      </c>
      <c r="G213">
        <v>2025</v>
      </c>
      <c r="H213" t="s">
        <v>1160</v>
      </c>
      <c r="I213" t="s">
        <v>97</v>
      </c>
      <c r="J213">
        <v>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Y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S213">
        <v>0</v>
      </c>
      <c r="AU213">
        <v>0</v>
      </c>
      <c r="AV213">
        <v>0</v>
      </c>
      <c r="AW213">
        <v>0</v>
      </c>
      <c r="AX213">
        <v>0</v>
      </c>
      <c r="AY213">
        <v>29</v>
      </c>
      <c r="AZ213">
        <v>0</v>
      </c>
      <c r="BA213">
        <v>14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7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38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C213">
        <v>0</v>
      </c>
      <c r="DD213">
        <v>0</v>
      </c>
      <c r="DE213">
        <v>0</v>
      </c>
      <c r="DF213">
        <v>0</v>
      </c>
      <c r="DH213">
        <v>0</v>
      </c>
      <c r="DI213">
        <v>0</v>
      </c>
    </row>
    <row r="214" spans="1:113" ht="15" customHeight="1" x14ac:dyDescent="0.25">
      <c r="A214" t="s">
        <v>2024</v>
      </c>
      <c r="B214" t="s">
        <v>2025</v>
      </c>
      <c r="C214" t="s">
        <v>2026</v>
      </c>
      <c r="D214" t="s">
        <v>1350</v>
      </c>
      <c r="E214" t="s">
        <v>1307</v>
      </c>
      <c r="F214" t="s">
        <v>2027</v>
      </c>
      <c r="G214">
        <v>2025</v>
      </c>
      <c r="H214" t="s">
        <v>1160</v>
      </c>
      <c r="I214" t="s">
        <v>133</v>
      </c>
      <c r="J214">
        <v>15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Y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33</v>
      </c>
      <c r="AZ214">
        <v>4</v>
      </c>
      <c r="BA214">
        <v>25</v>
      </c>
      <c r="BB214">
        <v>2</v>
      </c>
      <c r="BC214">
        <v>3</v>
      </c>
      <c r="BD214">
        <v>1</v>
      </c>
      <c r="BE214">
        <v>1</v>
      </c>
      <c r="BF214">
        <v>2</v>
      </c>
      <c r="BG214">
        <v>2</v>
      </c>
      <c r="BH214">
        <v>2</v>
      </c>
      <c r="BI214">
        <v>43</v>
      </c>
      <c r="BJ214">
        <v>13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4</v>
      </c>
      <c r="BU214">
        <v>64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C214">
        <v>0</v>
      </c>
      <c r="DD214">
        <v>0</v>
      </c>
      <c r="DE214">
        <v>0</v>
      </c>
      <c r="DF214">
        <v>0</v>
      </c>
      <c r="DH214">
        <v>0</v>
      </c>
      <c r="DI214">
        <v>0</v>
      </c>
    </row>
    <row r="215" spans="1:113" ht="15" customHeight="1" x14ac:dyDescent="0.25">
      <c r="A215" t="s">
        <v>2028</v>
      </c>
      <c r="B215" t="s">
        <v>2029</v>
      </c>
      <c r="C215" t="s">
        <v>436</v>
      </c>
      <c r="D215" t="s">
        <v>431</v>
      </c>
      <c r="E215" t="s">
        <v>431</v>
      </c>
      <c r="F215" t="s">
        <v>2030</v>
      </c>
      <c r="G215">
        <v>2025</v>
      </c>
      <c r="H215" t="s">
        <v>1160</v>
      </c>
      <c r="I215" t="s">
        <v>90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Y215">
        <v>0</v>
      </c>
      <c r="AA215">
        <v>32</v>
      </c>
      <c r="AB215">
        <v>95</v>
      </c>
      <c r="AC215">
        <v>1</v>
      </c>
      <c r="AD215">
        <v>1</v>
      </c>
      <c r="AE215">
        <v>0</v>
      </c>
      <c r="AF215">
        <v>7</v>
      </c>
      <c r="AG215">
        <v>-2.7795420848415202</v>
      </c>
      <c r="AH215">
        <v>0</v>
      </c>
      <c r="AI215">
        <v>8</v>
      </c>
      <c r="AJ215">
        <v>9</v>
      </c>
      <c r="AK215">
        <v>38</v>
      </c>
      <c r="AL215">
        <v>1</v>
      </c>
      <c r="AM215">
        <v>0</v>
      </c>
      <c r="AN215">
        <v>0</v>
      </c>
      <c r="AO215">
        <v>-9</v>
      </c>
      <c r="AP215">
        <v>68</v>
      </c>
      <c r="AQ215">
        <v>4</v>
      </c>
      <c r="AR215">
        <v>2.2344548034015999</v>
      </c>
      <c r="AS215">
        <v>0</v>
      </c>
      <c r="AT215">
        <v>-4.2222222222222197</v>
      </c>
      <c r="AU215">
        <v>1.45867098865478E-2</v>
      </c>
      <c r="AV215">
        <v>-1.9313304721029999E-3</v>
      </c>
      <c r="AW215">
        <v>2.05281334993496E-2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C215">
        <v>0</v>
      </c>
      <c r="DD215">
        <v>0</v>
      </c>
      <c r="DE215">
        <v>0</v>
      </c>
      <c r="DF215">
        <v>0</v>
      </c>
      <c r="DH215">
        <v>25.3</v>
      </c>
      <c r="DI215">
        <v>33.299999999999997</v>
      </c>
    </row>
    <row r="216" spans="1:113" ht="15" customHeight="1" x14ac:dyDescent="0.25">
      <c r="A216" t="s">
        <v>2031</v>
      </c>
      <c r="B216" t="s">
        <v>2032</v>
      </c>
      <c r="C216" t="s">
        <v>820</v>
      </c>
      <c r="D216" t="s">
        <v>10</v>
      </c>
      <c r="E216" t="s">
        <v>10</v>
      </c>
      <c r="F216" t="s">
        <v>2033</v>
      </c>
      <c r="G216">
        <v>2025</v>
      </c>
      <c r="H216" t="s">
        <v>1160</v>
      </c>
      <c r="I216" t="s">
        <v>114</v>
      </c>
      <c r="J216">
        <v>14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Y216">
        <v>0</v>
      </c>
      <c r="AA216">
        <v>1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-0.22416954231448499</v>
      </c>
      <c r="AH216">
        <v>0</v>
      </c>
      <c r="AI216">
        <v>46</v>
      </c>
      <c r="AJ216">
        <v>65</v>
      </c>
      <c r="AK216">
        <v>550</v>
      </c>
      <c r="AL216">
        <v>2</v>
      </c>
      <c r="AM216">
        <v>1</v>
      </c>
      <c r="AN216">
        <v>0</v>
      </c>
      <c r="AO216">
        <v>851</v>
      </c>
      <c r="AP216">
        <v>108</v>
      </c>
      <c r="AQ216">
        <v>29</v>
      </c>
      <c r="AR216">
        <v>27.200591899066598</v>
      </c>
      <c r="AS216">
        <v>0</v>
      </c>
      <c r="AT216">
        <v>0.64629847238542903</v>
      </c>
      <c r="AU216">
        <v>0.134854771784232</v>
      </c>
      <c r="AV216">
        <v>0.18451864700780601</v>
      </c>
      <c r="AW216">
        <v>0.33144521058181298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C216">
        <v>0</v>
      </c>
      <c r="DD216">
        <v>0</v>
      </c>
      <c r="DE216">
        <v>0</v>
      </c>
      <c r="DF216">
        <v>0</v>
      </c>
      <c r="DH216">
        <v>67.400000000000006</v>
      </c>
      <c r="DI216">
        <v>113.4</v>
      </c>
    </row>
    <row r="217" spans="1:113" ht="15" customHeight="1" x14ac:dyDescent="0.25">
      <c r="A217" t="s">
        <v>2034</v>
      </c>
      <c r="B217" t="s">
        <v>2035</v>
      </c>
      <c r="C217" t="s">
        <v>2036</v>
      </c>
      <c r="D217" t="s">
        <v>1234</v>
      </c>
      <c r="E217" t="s">
        <v>1234</v>
      </c>
      <c r="F217" t="s">
        <v>2037</v>
      </c>
      <c r="G217">
        <v>2025</v>
      </c>
      <c r="H217" t="s">
        <v>1160</v>
      </c>
      <c r="I217" t="s">
        <v>104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Y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S217">
        <v>0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C217">
        <v>0</v>
      </c>
      <c r="DD217">
        <v>0</v>
      </c>
      <c r="DE217">
        <v>0</v>
      </c>
      <c r="DF217">
        <v>0</v>
      </c>
      <c r="DH217">
        <v>0</v>
      </c>
      <c r="DI217">
        <v>0</v>
      </c>
    </row>
    <row r="218" spans="1:113" ht="15" customHeight="1" x14ac:dyDescent="0.25">
      <c r="A218" t="s">
        <v>2038</v>
      </c>
      <c r="B218" t="s">
        <v>2039</v>
      </c>
      <c r="C218" t="s">
        <v>2040</v>
      </c>
      <c r="D218" t="s">
        <v>1233</v>
      </c>
      <c r="E218" t="s">
        <v>1234</v>
      </c>
      <c r="F218" t="s">
        <v>2041</v>
      </c>
      <c r="G218">
        <v>2025</v>
      </c>
      <c r="H218" t="s">
        <v>1160</v>
      </c>
      <c r="I218" t="s">
        <v>99</v>
      </c>
      <c r="J218">
        <v>12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Y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34</v>
      </c>
      <c r="AZ218">
        <v>2</v>
      </c>
      <c r="BA218">
        <v>31</v>
      </c>
      <c r="BB218">
        <v>7</v>
      </c>
      <c r="BC218">
        <v>34</v>
      </c>
      <c r="BD218">
        <v>1</v>
      </c>
      <c r="BE218">
        <v>3.5</v>
      </c>
      <c r="BF218">
        <v>17</v>
      </c>
      <c r="BG218">
        <v>6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3</v>
      </c>
      <c r="BU218">
        <v>25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C218">
        <v>0</v>
      </c>
      <c r="DD218">
        <v>0</v>
      </c>
      <c r="DE218">
        <v>0</v>
      </c>
      <c r="DF218">
        <v>0</v>
      </c>
      <c r="DH218">
        <v>0</v>
      </c>
      <c r="DI218">
        <v>0</v>
      </c>
    </row>
    <row r="219" spans="1:113" ht="15" customHeight="1" x14ac:dyDescent="0.25">
      <c r="A219" t="s">
        <v>2042</v>
      </c>
      <c r="B219" t="s">
        <v>2043</v>
      </c>
      <c r="C219" t="s">
        <v>2044</v>
      </c>
      <c r="D219" t="s">
        <v>10</v>
      </c>
      <c r="E219" t="s">
        <v>10</v>
      </c>
      <c r="F219" t="s">
        <v>2045</v>
      </c>
      <c r="G219">
        <v>2025</v>
      </c>
      <c r="H219" t="s">
        <v>1160</v>
      </c>
      <c r="I219" t="s">
        <v>93</v>
      </c>
      <c r="J219">
        <v>11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Y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3</v>
      </c>
      <c r="BM219">
        <v>0</v>
      </c>
      <c r="BN219">
        <v>0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15</v>
      </c>
      <c r="BW219">
        <v>114</v>
      </c>
      <c r="BX219">
        <v>30</v>
      </c>
      <c r="BY219">
        <v>741</v>
      </c>
      <c r="BZ219">
        <v>0</v>
      </c>
      <c r="CA219">
        <v>0</v>
      </c>
      <c r="CB219">
        <v>0</v>
      </c>
      <c r="CC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C219">
        <v>0</v>
      </c>
      <c r="DD219">
        <v>0</v>
      </c>
      <c r="DE219">
        <v>0</v>
      </c>
      <c r="DF219">
        <v>0</v>
      </c>
      <c r="DH219">
        <v>0</v>
      </c>
      <c r="DI219">
        <v>0</v>
      </c>
    </row>
    <row r="220" spans="1:113" ht="15" customHeight="1" x14ac:dyDescent="0.25">
      <c r="A220" t="s">
        <v>2046</v>
      </c>
      <c r="B220" t="s">
        <v>2047</v>
      </c>
      <c r="C220" t="s">
        <v>952</v>
      </c>
      <c r="D220" t="s">
        <v>439</v>
      </c>
      <c r="E220" t="s">
        <v>439</v>
      </c>
      <c r="F220" t="s">
        <v>2048</v>
      </c>
      <c r="G220">
        <v>2025</v>
      </c>
      <c r="H220" t="s">
        <v>1160</v>
      </c>
      <c r="I220" t="s">
        <v>140</v>
      </c>
      <c r="J220">
        <v>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Y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H220">
        <v>0</v>
      </c>
      <c r="AI220">
        <v>4</v>
      </c>
      <c r="AJ220">
        <v>7</v>
      </c>
      <c r="AK220">
        <v>31</v>
      </c>
      <c r="AL220">
        <v>0</v>
      </c>
      <c r="AM220">
        <v>0</v>
      </c>
      <c r="AN220">
        <v>0</v>
      </c>
      <c r="AO220">
        <v>28</v>
      </c>
      <c r="AP220">
        <v>16</v>
      </c>
      <c r="AQ220">
        <v>2</v>
      </c>
      <c r="AR220">
        <v>2.5503489398591799</v>
      </c>
      <c r="AS220">
        <v>1</v>
      </c>
      <c r="AT220">
        <v>1.1071428571428601</v>
      </c>
      <c r="AU220">
        <v>1.5384615384615399E-2</v>
      </c>
      <c r="AV220">
        <v>7.4507716870675896E-3</v>
      </c>
      <c r="AW220">
        <v>2.8292463257870399E-2</v>
      </c>
      <c r="AX220">
        <v>0</v>
      </c>
      <c r="AY220">
        <v>5</v>
      </c>
      <c r="AZ220">
        <v>0</v>
      </c>
      <c r="BA220">
        <v>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4</v>
      </c>
      <c r="BU220">
        <v>30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C220">
        <v>0</v>
      </c>
      <c r="DD220">
        <v>0</v>
      </c>
      <c r="DE220">
        <v>0</v>
      </c>
      <c r="DF220">
        <v>0</v>
      </c>
      <c r="DH220">
        <v>5.0999999999999996</v>
      </c>
      <c r="DI220">
        <v>9.1</v>
      </c>
    </row>
    <row r="221" spans="1:113" ht="15" customHeight="1" x14ac:dyDescent="0.25">
      <c r="A221" t="s">
        <v>2049</v>
      </c>
      <c r="B221" t="s">
        <v>2050</v>
      </c>
      <c r="C221" t="s">
        <v>2051</v>
      </c>
      <c r="D221" t="s">
        <v>1306</v>
      </c>
      <c r="E221" t="s">
        <v>1307</v>
      </c>
      <c r="F221" t="s">
        <v>2052</v>
      </c>
      <c r="G221">
        <v>2025</v>
      </c>
      <c r="H221" t="s">
        <v>1160</v>
      </c>
      <c r="I221" t="s">
        <v>142</v>
      </c>
      <c r="J221">
        <v>10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Y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23</v>
      </c>
      <c r="AZ221">
        <v>0</v>
      </c>
      <c r="BA221">
        <v>16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2</v>
      </c>
      <c r="BI221">
        <v>51</v>
      </c>
      <c r="BJ221">
        <v>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15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C221">
        <v>0</v>
      </c>
      <c r="DD221">
        <v>0</v>
      </c>
      <c r="DE221">
        <v>0</v>
      </c>
      <c r="DF221">
        <v>0</v>
      </c>
      <c r="DH221">
        <v>0</v>
      </c>
      <c r="DI221">
        <v>0</v>
      </c>
    </row>
    <row r="222" spans="1:113" ht="15" customHeight="1" x14ac:dyDescent="0.25">
      <c r="A222" t="s">
        <v>2053</v>
      </c>
      <c r="B222" t="s">
        <v>2054</v>
      </c>
      <c r="C222" t="s">
        <v>512</v>
      </c>
      <c r="D222" t="s">
        <v>10</v>
      </c>
      <c r="E222" t="s">
        <v>10</v>
      </c>
      <c r="F222" t="s">
        <v>2055</v>
      </c>
      <c r="G222">
        <v>2025</v>
      </c>
      <c r="H222" t="s">
        <v>1160</v>
      </c>
      <c r="I222" t="s">
        <v>96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Y222">
        <v>0</v>
      </c>
      <c r="AA222">
        <v>1</v>
      </c>
      <c r="AB222">
        <v>12</v>
      </c>
      <c r="AC222">
        <v>0</v>
      </c>
      <c r="AD222">
        <v>0</v>
      </c>
      <c r="AE222">
        <v>0</v>
      </c>
      <c r="AF222">
        <v>1</v>
      </c>
      <c r="AG222">
        <v>1.035383395385</v>
      </c>
      <c r="AH222">
        <v>0</v>
      </c>
      <c r="AI222">
        <v>1</v>
      </c>
      <c r="AJ222">
        <v>1</v>
      </c>
      <c r="AK222">
        <v>5</v>
      </c>
      <c r="AL222">
        <v>0</v>
      </c>
      <c r="AM222">
        <v>0</v>
      </c>
      <c r="AN222">
        <v>0</v>
      </c>
      <c r="AO222">
        <v>5</v>
      </c>
      <c r="AP222">
        <v>0</v>
      </c>
      <c r="AQ222">
        <v>0</v>
      </c>
      <c r="AR222">
        <v>-0.30323291127570001</v>
      </c>
      <c r="AS222">
        <v>0</v>
      </c>
      <c r="AT222">
        <v>1</v>
      </c>
      <c r="AU222">
        <v>2.0833333333333298E-3</v>
      </c>
      <c r="AV222">
        <v>1.4492753623188399E-3</v>
      </c>
      <c r="AW222">
        <v>4.1394927536231897E-3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C222">
        <v>0</v>
      </c>
      <c r="DD222">
        <v>0</v>
      </c>
      <c r="DE222">
        <v>0</v>
      </c>
      <c r="DF222">
        <v>0</v>
      </c>
      <c r="DH222">
        <v>1.7</v>
      </c>
      <c r="DI222">
        <v>2.7</v>
      </c>
    </row>
    <row r="223" spans="1:113" ht="15" customHeight="1" x14ac:dyDescent="0.25">
      <c r="A223" t="s">
        <v>2056</v>
      </c>
      <c r="B223" t="s">
        <v>2057</v>
      </c>
      <c r="C223" t="s">
        <v>1021</v>
      </c>
      <c r="D223" t="s">
        <v>10</v>
      </c>
      <c r="E223" t="s">
        <v>10</v>
      </c>
      <c r="F223" t="s">
        <v>2058</v>
      </c>
      <c r="G223">
        <v>2025</v>
      </c>
      <c r="H223" t="s">
        <v>1160</v>
      </c>
      <c r="I223" t="s">
        <v>143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Y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H223">
        <v>0</v>
      </c>
      <c r="AI223">
        <v>5</v>
      </c>
      <c r="AJ223">
        <v>10</v>
      </c>
      <c r="AK223">
        <v>83</v>
      </c>
      <c r="AL223">
        <v>0</v>
      </c>
      <c r="AM223">
        <v>0</v>
      </c>
      <c r="AN223">
        <v>0</v>
      </c>
      <c r="AO223">
        <v>145</v>
      </c>
      <c r="AP223">
        <v>11</v>
      </c>
      <c r="AQ223">
        <v>3</v>
      </c>
      <c r="AR223">
        <v>2.2840257349016602</v>
      </c>
      <c r="AS223">
        <v>0</v>
      </c>
      <c r="AT223">
        <v>0.57241379310344798</v>
      </c>
      <c r="AU223">
        <v>2.3148148148148199E-2</v>
      </c>
      <c r="AV223">
        <v>3.6268134067033497E-2</v>
      </c>
      <c r="AW223">
        <v>6.0109916069145702E-2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5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C223">
        <v>0</v>
      </c>
      <c r="DD223">
        <v>0</v>
      </c>
      <c r="DE223">
        <v>0</v>
      </c>
      <c r="DF223">
        <v>0</v>
      </c>
      <c r="DH223">
        <v>8.3000000000000007</v>
      </c>
      <c r="DI223">
        <v>13.3</v>
      </c>
    </row>
    <row r="224" spans="1:113" ht="15" customHeight="1" x14ac:dyDescent="0.25">
      <c r="A224" t="s">
        <v>2059</v>
      </c>
      <c r="B224" t="s">
        <v>2060</v>
      </c>
      <c r="C224" t="s">
        <v>2061</v>
      </c>
      <c r="D224" t="s">
        <v>1189</v>
      </c>
      <c r="E224" t="s">
        <v>1190</v>
      </c>
      <c r="F224" t="s">
        <v>2062</v>
      </c>
      <c r="G224">
        <v>2025</v>
      </c>
      <c r="H224" t="s">
        <v>1160</v>
      </c>
      <c r="I224" t="s">
        <v>111</v>
      </c>
      <c r="J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Y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5</v>
      </c>
      <c r="AZ224">
        <v>0</v>
      </c>
      <c r="BA224">
        <v>5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C224">
        <v>0</v>
      </c>
      <c r="DD224">
        <v>0</v>
      </c>
      <c r="DE224">
        <v>0</v>
      </c>
      <c r="DF224">
        <v>0</v>
      </c>
      <c r="DH224">
        <v>0</v>
      </c>
      <c r="DI224">
        <v>0</v>
      </c>
    </row>
    <row r="225" spans="1:113" ht="15" customHeight="1" x14ac:dyDescent="0.25">
      <c r="A225" t="s">
        <v>2063</v>
      </c>
      <c r="B225" t="s">
        <v>2064</v>
      </c>
      <c r="C225" t="s">
        <v>2065</v>
      </c>
      <c r="D225" t="s">
        <v>1158</v>
      </c>
      <c r="E225" t="s">
        <v>1158</v>
      </c>
      <c r="F225" t="s">
        <v>2066</v>
      </c>
      <c r="G225">
        <v>2025</v>
      </c>
      <c r="H225" t="s">
        <v>1160</v>
      </c>
      <c r="I225" t="s">
        <v>97</v>
      </c>
      <c r="J225">
        <v>4</v>
      </c>
      <c r="K225">
        <v>34</v>
      </c>
      <c r="L225">
        <v>52</v>
      </c>
      <c r="M225">
        <v>303</v>
      </c>
      <c r="N225">
        <v>0</v>
      </c>
      <c r="O225">
        <v>4</v>
      </c>
      <c r="P225">
        <v>1</v>
      </c>
      <c r="Q225">
        <v>-16</v>
      </c>
      <c r="R225">
        <v>0</v>
      </c>
      <c r="S225">
        <v>0</v>
      </c>
      <c r="T225">
        <v>335</v>
      </c>
      <c r="U225">
        <v>149</v>
      </c>
      <c r="V225">
        <v>13</v>
      </c>
      <c r="W225">
        <v>-18.8471721773384</v>
      </c>
      <c r="X225">
        <v>-1.9398655377182299</v>
      </c>
      <c r="Y225">
        <v>0</v>
      </c>
      <c r="Z225">
        <v>0.90447761194029896</v>
      </c>
      <c r="AA225">
        <v>4</v>
      </c>
      <c r="AB225">
        <v>-4</v>
      </c>
      <c r="AC225">
        <v>0</v>
      </c>
      <c r="AD225">
        <v>1</v>
      </c>
      <c r="AE225">
        <v>1</v>
      </c>
      <c r="AF225">
        <v>1</v>
      </c>
      <c r="AG225">
        <v>-5.5811220124596703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S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C225">
        <v>0</v>
      </c>
      <c r="DD225">
        <v>0</v>
      </c>
      <c r="DE225">
        <v>0</v>
      </c>
      <c r="DF225">
        <v>0</v>
      </c>
      <c r="DH225">
        <v>1.72</v>
      </c>
      <c r="DI225">
        <v>1.72</v>
      </c>
    </row>
    <row r="226" spans="1:113" ht="15" customHeight="1" x14ac:dyDescent="0.25">
      <c r="A226" t="s">
        <v>2067</v>
      </c>
      <c r="B226" t="s">
        <v>2068</v>
      </c>
      <c r="C226" t="s">
        <v>2069</v>
      </c>
      <c r="D226" t="s">
        <v>1219</v>
      </c>
      <c r="E226" t="s">
        <v>1220</v>
      </c>
      <c r="F226" t="s">
        <v>2070</v>
      </c>
      <c r="G226">
        <v>2025</v>
      </c>
      <c r="H226" t="s">
        <v>1160</v>
      </c>
      <c r="I226" t="s">
        <v>93</v>
      </c>
      <c r="J226">
        <v>10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Y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11</v>
      </c>
      <c r="BU226">
        <v>65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C226">
        <v>0</v>
      </c>
      <c r="DD226">
        <v>0</v>
      </c>
      <c r="DE226">
        <v>0</v>
      </c>
      <c r="DF226">
        <v>0</v>
      </c>
      <c r="DH226">
        <v>0</v>
      </c>
      <c r="DI226">
        <v>0</v>
      </c>
    </row>
    <row r="227" spans="1:113" ht="15" customHeight="1" x14ac:dyDescent="0.25">
      <c r="A227" t="s">
        <v>2071</v>
      </c>
      <c r="B227" t="s">
        <v>2072</v>
      </c>
      <c r="C227" t="s">
        <v>2073</v>
      </c>
      <c r="D227" t="s">
        <v>1350</v>
      </c>
      <c r="E227" t="s">
        <v>1307</v>
      </c>
      <c r="F227" t="s">
        <v>2074</v>
      </c>
      <c r="G227">
        <v>2025</v>
      </c>
      <c r="H227" t="s">
        <v>1160</v>
      </c>
      <c r="I227" t="s">
        <v>138</v>
      </c>
      <c r="J227">
        <v>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Y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0</v>
      </c>
      <c r="BA227">
        <v>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15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C227">
        <v>0</v>
      </c>
      <c r="DD227">
        <v>0</v>
      </c>
      <c r="DE227">
        <v>0</v>
      </c>
      <c r="DF227">
        <v>0</v>
      </c>
      <c r="DH227">
        <v>0</v>
      </c>
      <c r="DI227">
        <v>0</v>
      </c>
    </row>
    <row r="228" spans="1:113" ht="15" customHeight="1" x14ac:dyDescent="0.25">
      <c r="A228" t="s">
        <v>2075</v>
      </c>
      <c r="B228" t="s">
        <v>2076</v>
      </c>
      <c r="C228" t="s">
        <v>1026</v>
      </c>
      <c r="D228" t="s">
        <v>431</v>
      </c>
      <c r="E228" t="s">
        <v>431</v>
      </c>
      <c r="F228" t="s">
        <v>2077</v>
      </c>
      <c r="G228">
        <v>2025</v>
      </c>
      <c r="H228" t="s">
        <v>1160</v>
      </c>
      <c r="I228" t="s">
        <v>143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Y228">
        <v>0</v>
      </c>
      <c r="AA228">
        <v>14</v>
      </c>
      <c r="AB228">
        <v>43</v>
      </c>
      <c r="AC228">
        <v>0</v>
      </c>
      <c r="AD228">
        <v>0</v>
      </c>
      <c r="AE228">
        <v>0</v>
      </c>
      <c r="AF228">
        <v>3</v>
      </c>
      <c r="AG228">
        <v>-1.1653470726450901</v>
      </c>
      <c r="AH228">
        <v>0</v>
      </c>
      <c r="AI228">
        <v>5</v>
      </c>
      <c r="AJ228">
        <v>7</v>
      </c>
      <c r="AK228">
        <v>38</v>
      </c>
      <c r="AL228">
        <v>0</v>
      </c>
      <c r="AM228">
        <v>0</v>
      </c>
      <c r="AN228">
        <v>0</v>
      </c>
      <c r="AO228">
        <v>12</v>
      </c>
      <c r="AP228">
        <v>49</v>
      </c>
      <c r="AQ228">
        <v>2</v>
      </c>
      <c r="AR228">
        <v>0.22969329675153599</v>
      </c>
      <c r="AS228">
        <v>0</v>
      </c>
      <c r="AT228">
        <v>3.1666666666666701</v>
      </c>
      <c r="AU228">
        <v>1.6203703703703699E-2</v>
      </c>
      <c r="AV228">
        <v>3.0015007503751902E-3</v>
      </c>
      <c r="AW228">
        <v>2.6406606080818198E-2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5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C228">
        <v>0</v>
      </c>
      <c r="DD228">
        <v>0</v>
      </c>
      <c r="DE228">
        <v>0</v>
      </c>
      <c r="DF228">
        <v>0</v>
      </c>
      <c r="DH228">
        <v>8.1</v>
      </c>
      <c r="DI228">
        <v>13.1</v>
      </c>
    </row>
    <row r="229" spans="1:113" ht="15" customHeight="1" x14ac:dyDescent="0.25">
      <c r="A229" t="s">
        <v>2078</v>
      </c>
      <c r="B229" t="s">
        <v>2079</v>
      </c>
      <c r="C229" t="s">
        <v>2080</v>
      </c>
      <c r="D229" t="s">
        <v>1168</v>
      </c>
      <c r="E229" t="s">
        <v>1169</v>
      </c>
      <c r="F229" t="s">
        <v>2081</v>
      </c>
      <c r="G229">
        <v>2025</v>
      </c>
      <c r="H229" t="s">
        <v>1160</v>
      </c>
      <c r="I229" t="s">
        <v>139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Y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2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6</v>
      </c>
      <c r="CA229">
        <v>9</v>
      </c>
      <c r="CB229">
        <v>3</v>
      </c>
      <c r="CC229">
        <v>0</v>
      </c>
      <c r="CD229">
        <v>44</v>
      </c>
      <c r="CE229">
        <v>0.66666666666666696</v>
      </c>
      <c r="CF229">
        <v>1</v>
      </c>
      <c r="CG229">
        <v>1</v>
      </c>
      <c r="CH229">
        <v>2</v>
      </c>
      <c r="CI229">
        <v>2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2</v>
      </c>
      <c r="CQ229">
        <v>0</v>
      </c>
      <c r="CR229" t="s">
        <v>2082</v>
      </c>
      <c r="CS229" t="s">
        <v>2083</v>
      </c>
      <c r="CU229">
        <v>193</v>
      </c>
      <c r="CV229">
        <v>147</v>
      </c>
      <c r="CW229">
        <v>0</v>
      </c>
      <c r="CX229">
        <v>13</v>
      </c>
      <c r="CY229">
        <v>14</v>
      </c>
      <c r="CZ229">
        <v>1</v>
      </c>
      <c r="DA229">
        <v>0</v>
      </c>
      <c r="DB229">
        <v>0.92857142857142905</v>
      </c>
      <c r="DC229">
        <v>0</v>
      </c>
      <c r="DD229">
        <v>0</v>
      </c>
      <c r="DE229">
        <v>0</v>
      </c>
      <c r="DF229">
        <v>0</v>
      </c>
      <c r="DH229">
        <v>0</v>
      </c>
      <c r="DI229">
        <v>0</v>
      </c>
    </row>
    <row r="230" spans="1:113" ht="15" customHeight="1" x14ac:dyDescent="0.25">
      <c r="A230" t="s">
        <v>2084</v>
      </c>
      <c r="B230" t="s">
        <v>2085</v>
      </c>
      <c r="C230" t="s">
        <v>2086</v>
      </c>
      <c r="D230" t="s">
        <v>1209</v>
      </c>
      <c r="E230" t="s">
        <v>1169</v>
      </c>
      <c r="F230" t="s">
        <v>2087</v>
      </c>
      <c r="G230">
        <v>2025</v>
      </c>
      <c r="H230" t="s">
        <v>1160</v>
      </c>
      <c r="I230" t="s">
        <v>139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Y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S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C230">
        <v>0</v>
      </c>
      <c r="DD230">
        <v>0</v>
      </c>
      <c r="DE230">
        <v>0</v>
      </c>
      <c r="DF230">
        <v>0</v>
      </c>
      <c r="DH230">
        <v>0</v>
      </c>
      <c r="DI230">
        <v>0</v>
      </c>
    </row>
    <row r="231" spans="1:113" ht="15" customHeight="1" x14ac:dyDescent="0.25">
      <c r="A231" t="s">
        <v>2088</v>
      </c>
      <c r="B231" t="s">
        <v>2089</v>
      </c>
      <c r="C231" t="s">
        <v>2090</v>
      </c>
      <c r="D231" t="s">
        <v>439</v>
      </c>
      <c r="E231" t="s">
        <v>439</v>
      </c>
      <c r="F231" t="s">
        <v>2091</v>
      </c>
      <c r="G231">
        <v>2025</v>
      </c>
      <c r="H231" t="s">
        <v>1160</v>
      </c>
      <c r="I231" t="s">
        <v>123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Y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-0.51853363192640201</v>
      </c>
      <c r="AS231">
        <v>0</v>
      </c>
      <c r="AT231">
        <v>1</v>
      </c>
      <c r="AU231">
        <v>1.82149362477231E-3</v>
      </c>
      <c r="AV231">
        <v>2.20604456210015E-4</v>
      </c>
      <c r="AW231">
        <v>2.88666355650548E-3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C231">
        <v>0</v>
      </c>
      <c r="DD231">
        <v>0</v>
      </c>
      <c r="DE231">
        <v>0</v>
      </c>
      <c r="DF231">
        <v>0</v>
      </c>
      <c r="DH231">
        <v>0.1</v>
      </c>
      <c r="DI231">
        <v>1.1000000000000001</v>
      </c>
    </row>
    <row r="232" spans="1:113" ht="15" customHeight="1" x14ac:dyDescent="0.25">
      <c r="A232" t="s">
        <v>2092</v>
      </c>
      <c r="B232" t="s">
        <v>2093</v>
      </c>
      <c r="C232" t="s">
        <v>2094</v>
      </c>
      <c r="D232" t="s">
        <v>1189</v>
      </c>
      <c r="E232" t="s">
        <v>1190</v>
      </c>
      <c r="F232" t="s">
        <v>2095</v>
      </c>
      <c r="G232">
        <v>2025</v>
      </c>
      <c r="H232" t="s">
        <v>1160</v>
      </c>
      <c r="I232" t="s">
        <v>143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Y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S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C232">
        <v>0</v>
      </c>
      <c r="DD232">
        <v>0</v>
      </c>
      <c r="DE232">
        <v>0</v>
      </c>
      <c r="DF232">
        <v>0</v>
      </c>
      <c r="DH232">
        <v>0</v>
      </c>
      <c r="DI232">
        <v>0</v>
      </c>
    </row>
    <row r="233" spans="1:113" ht="15" customHeight="1" x14ac:dyDescent="0.25">
      <c r="A233" t="s">
        <v>2096</v>
      </c>
      <c r="B233" t="s">
        <v>2097</v>
      </c>
      <c r="C233" t="s">
        <v>2098</v>
      </c>
      <c r="D233" t="s">
        <v>1350</v>
      </c>
      <c r="E233" t="s">
        <v>1307</v>
      </c>
      <c r="F233" t="s">
        <v>2099</v>
      </c>
      <c r="G233">
        <v>2025</v>
      </c>
      <c r="H233" t="s">
        <v>1160</v>
      </c>
      <c r="I233" t="s">
        <v>1200</v>
      </c>
      <c r="J233">
        <v>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Y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S233">
        <v>0</v>
      </c>
      <c r="AU233">
        <v>0</v>
      </c>
      <c r="AV233">
        <v>0</v>
      </c>
      <c r="AW233">
        <v>0</v>
      </c>
      <c r="AX233">
        <v>0</v>
      </c>
      <c r="AY233">
        <v>6</v>
      </c>
      <c r="AZ233">
        <v>0</v>
      </c>
      <c r="BA233">
        <v>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</v>
      </c>
      <c r="BU233">
        <v>5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C233">
        <v>0</v>
      </c>
      <c r="DD233">
        <v>0</v>
      </c>
      <c r="DE233">
        <v>0</v>
      </c>
      <c r="DF233">
        <v>0</v>
      </c>
      <c r="DH233">
        <v>0</v>
      </c>
      <c r="DI233">
        <v>0</v>
      </c>
    </row>
    <row r="234" spans="1:113" ht="15" customHeight="1" x14ac:dyDescent="0.25">
      <c r="A234" t="s">
        <v>2100</v>
      </c>
      <c r="B234" t="s">
        <v>2101</v>
      </c>
      <c r="C234" t="s">
        <v>2102</v>
      </c>
      <c r="D234" t="s">
        <v>1168</v>
      </c>
      <c r="E234" t="s">
        <v>1169</v>
      </c>
      <c r="F234" t="s">
        <v>2103</v>
      </c>
      <c r="G234">
        <v>2025</v>
      </c>
      <c r="H234" t="s">
        <v>1160</v>
      </c>
      <c r="I234" t="s">
        <v>120</v>
      </c>
      <c r="J234">
        <v>17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Y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S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20</v>
      </c>
      <c r="CA234">
        <v>27</v>
      </c>
      <c r="CB234">
        <v>7</v>
      </c>
      <c r="CC234">
        <v>0</v>
      </c>
      <c r="CD234">
        <v>58</v>
      </c>
      <c r="CE234">
        <v>0.74074074074074103</v>
      </c>
      <c r="CF234">
        <v>0</v>
      </c>
      <c r="CG234">
        <v>3</v>
      </c>
      <c r="CH234">
        <v>6</v>
      </c>
      <c r="CI234">
        <v>7</v>
      </c>
      <c r="CJ234">
        <v>4</v>
      </c>
      <c r="CK234">
        <v>0</v>
      </c>
      <c r="CL234">
        <v>0</v>
      </c>
      <c r="CM234">
        <v>0</v>
      </c>
      <c r="CN234">
        <v>0</v>
      </c>
      <c r="CO234">
        <v>3</v>
      </c>
      <c r="CP234">
        <v>4</v>
      </c>
      <c r="CQ234">
        <v>0</v>
      </c>
      <c r="CR234" t="s">
        <v>2104</v>
      </c>
      <c r="CS234" t="s">
        <v>2105</v>
      </c>
      <c r="CU234">
        <v>822</v>
      </c>
      <c r="CV234">
        <v>351</v>
      </c>
      <c r="CW234">
        <v>0</v>
      </c>
      <c r="CX234">
        <v>41</v>
      </c>
      <c r="CY234">
        <v>42</v>
      </c>
      <c r="CZ234">
        <v>1</v>
      </c>
      <c r="DA234">
        <v>0</v>
      </c>
      <c r="DB234">
        <v>0.97619047619047605</v>
      </c>
      <c r="DC234">
        <v>0</v>
      </c>
      <c r="DD234">
        <v>0</v>
      </c>
      <c r="DE234">
        <v>0</v>
      </c>
      <c r="DF234">
        <v>0</v>
      </c>
      <c r="DH234">
        <v>0</v>
      </c>
      <c r="DI234">
        <v>0</v>
      </c>
    </row>
    <row r="235" spans="1:113" ht="15" customHeight="1" x14ac:dyDescent="0.25">
      <c r="A235" t="s">
        <v>2106</v>
      </c>
      <c r="B235" t="s">
        <v>2107</v>
      </c>
      <c r="C235" t="s">
        <v>2108</v>
      </c>
      <c r="D235" t="s">
        <v>1297</v>
      </c>
      <c r="E235" t="s">
        <v>1220</v>
      </c>
      <c r="F235" t="s">
        <v>2109</v>
      </c>
      <c r="G235">
        <v>2025</v>
      </c>
      <c r="H235" t="s">
        <v>1160</v>
      </c>
      <c r="I235" t="s">
        <v>143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Y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S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10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C235">
        <v>0</v>
      </c>
      <c r="DD235">
        <v>0</v>
      </c>
      <c r="DE235">
        <v>0</v>
      </c>
      <c r="DF235">
        <v>0</v>
      </c>
      <c r="DH235">
        <v>0</v>
      </c>
      <c r="DI235">
        <v>0</v>
      </c>
    </row>
    <row r="236" spans="1:113" ht="15" customHeight="1" x14ac:dyDescent="0.25">
      <c r="A236" t="s">
        <v>2110</v>
      </c>
      <c r="B236" t="s">
        <v>2111</v>
      </c>
      <c r="C236" t="s">
        <v>2112</v>
      </c>
      <c r="D236" t="s">
        <v>431</v>
      </c>
      <c r="E236" t="s">
        <v>431</v>
      </c>
      <c r="F236" t="s">
        <v>2113</v>
      </c>
      <c r="G236">
        <v>2025</v>
      </c>
      <c r="H236" t="s">
        <v>1160</v>
      </c>
      <c r="I236" t="s">
        <v>121</v>
      </c>
      <c r="J236">
        <v>14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Y236">
        <v>0</v>
      </c>
      <c r="AA236">
        <v>11</v>
      </c>
      <c r="AB236">
        <v>25</v>
      </c>
      <c r="AC236">
        <v>1</v>
      </c>
      <c r="AD236">
        <v>0</v>
      </c>
      <c r="AE236">
        <v>0</v>
      </c>
      <c r="AF236">
        <v>1</v>
      </c>
      <c r="AG236">
        <v>-3.6617456544618099</v>
      </c>
      <c r="AH236">
        <v>0</v>
      </c>
      <c r="AI236">
        <v>10</v>
      </c>
      <c r="AJ236">
        <v>13</v>
      </c>
      <c r="AK236">
        <v>76</v>
      </c>
      <c r="AL236">
        <v>0</v>
      </c>
      <c r="AM236">
        <v>1</v>
      </c>
      <c r="AN236">
        <v>1</v>
      </c>
      <c r="AO236">
        <v>24</v>
      </c>
      <c r="AP236">
        <v>56</v>
      </c>
      <c r="AQ236">
        <v>3</v>
      </c>
      <c r="AR236">
        <v>-9.2271005287643799</v>
      </c>
      <c r="AS236">
        <v>0</v>
      </c>
      <c r="AT236">
        <v>3.1666666666666701</v>
      </c>
      <c r="AU236">
        <v>2.35081374321881E-2</v>
      </c>
      <c r="AV236">
        <v>5.0367261280167899E-3</v>
      </c>
      <c r="AW236">
        <v>3.8787914437893901E-2</v>
      </c>
      <c r="AX236">
        <v>0</v>
      </c>
      <c r="AY236">
        <v>8</v>
      </c>
      <c r="AZ236">
        <v>0</v>
      </c>
      <c r="BA236">
        <v>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C236">
        <v>0</v>
      </c>
      <c r="DD236">
        <v>0</v>
      </c>
      <c r="DE236">
        <v>0</v>
      </c>
      <c r="DF236">
        <v>0</v>
      </c>
      <c r="DH236">
        <v>14.1</v>
      </c>
      <c r="DI236">
        <v>24.1</v>
      </c>
    </row>
    <row r="237" spans="1:113" ht="15" customHeight="1" x14ac:dyDescent="0.25">
      <c r="A237" t="s">
        <v>2114</v>
      </c>
      <c r="B237" t="s">
        <v>2115</v>
      </c>
      <c r="C237" t="s">
        <v>2116</v>
      </c>
      <c r="D237" t="s">
        <v>10</v>
      </c>
      <c r="E237" t="s">
        <v>10</v>
      </c>
      <c r="F237" t="s">
        <v>2117</v>
      </c>
      <c r="G237">
        <v>2025</v>
      </c>
      <c r="H237" t="s">
        <v>1160</v>
      </c>
      <c r="I237" t="s">
        <v>123</v>
      </c>
      <c r="J237">
        <v>17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Y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H237">
        <v>0</v>
      </c>
      <c r="AI237">
        <v>33</v>
      </c>
      <c r="AJ237">
        <v>45</v>
      </c>
      <c r="AK237">
        <v>345</v>
      </c>
      <c r="AL237">
        <v>1</v>
      </c>
      <c r="AM237">
        <v>0</v>
      </c>
      <c r="AN237">
        <v>0</v>
      </c>
      <c r="AO237">
        <v>244</v>
      </c>
      <c r="AP237">
        <v>191</v>
      </c>
      <c r="AQ237">
        <v>19</v>
      </c>
      <c r="AR237">
        <v>2.6210756019689301</v>
      </c>
      <c r="AS237">
        <v>0</v>
      </c>
      <c r="AT237">
        <v>1.4139344262295099</v>
      </c>
      <c r="AU237">
        <v>8.1967213114754106E-2</v>
      </c>
      <c r="AV237">
        <v>5.3827487315243797E-2</v>
      </c>
      <c r="AW237">
        <v>0.16063006079280201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3</v>
      </c>
      <c r="BU237">
        <v>35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C237">
        <v>0</v>
      </c>
      <c r="DD237">
        <v>0</v>
      </c>
      <c r="DE237">
        <v>0</v>
      </c>
      <c r="DF237">
        <v>0</v>
      </c>
      <c r="DH237">
        <v>40.5</v>
      </c>
      <c r="DI237">
        <v>73.5</v>
      </c>
    </row>
    <row r="238" spans="1:113" ht="15" customHeight="1" x14ac:dyDescent="0.25">
      <c r="A238" t="s">
        <v>2118</v>
      </c>
      <c r="B238" t="s">
        <v>2119</v>
      </c>
      <c r="C238" t="s">
        <v>2120</v>
      </c>
      <c r="D238" t="s">
        <v>439</v>
      </c>
      <c r="E238" t="s">
        <v>439</v>
      </c>
      <c r="F238" t="s">
        <v>2121</v>
      </c>
      <c r="G238">
        <v>2025</v>
      </c>
      <c r="H238" t="s">
        <v>1160</v>
      </c>
      <c r="I238" t="s">
        <v>103</v>
      </c>
      <c r="J238">
        <v>17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Y238">
        <v>0</v>
      </c>
      <c r="AA238">
        <v>9</v>
      </c>
      <c r="AB238">
        <v>70</v>
      </c>
      <c r="AC238">
        <v>1</v>
      </c>
      <c r="AD238">
        <v>0</v>
      </c>
      <c r="AE238">
        <v>0</v>
      </c>
      <c r="AF238">
        <v>3</v>
      </c>
      <c r="AG238">
        <v>3.8470233874977602</v>
      </c>
      <c r="AH238">
        <v>0</v>
      </c>
      <c r="AI238">
        <v>38</v>
      </c>
      <c r="AJ238">
        <v>54</v>
      </c>
      <c r="AK238">
        <v>222</v>
      </c>
      <c r="AL238">
        <v>2</v>
      </c>
      <c r="AM238">
        <v>1</v>
      </c>
      <c r="AN238">
        <v>0</v>
      </c>
      <c r="AO238">
        <v>234</v>
      </c>
      <c r="AP238">
        <v>179</v>
      </c>
      <c r="AQ238">
        <v>11</v>
      </c>
      <c r="AR238">
        <v>0.54170746296443195</v>
      </c>
      <c r="AS238">
        <v>0</v>
      </c>
      <c r="AT238">
        <v>0.94871794871794901</v>
      </c>
      <c r="AU238">
        <v>0.10344827586206901</v>
      </c>
      <c r="AV238">
        <v>7.1341463414634099E-2</v>
      </c>
      <c r="AW238">
        <v>0.20511143818334701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4</v>
      </c>
      <c r="BU238">
        <v>30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C238">
        <v>0</v>
      </c>
      <c r="DD238">
        <v>0</v>
      </c>
      <c r="DE238">
        <v>0</v>
      </c>
      <c r="DF238">
        <v>0</v>
      </c>
      <c r="DH238">
        <v>47.2</v>
      </c>
      <c r="DI238">
        <v>85.2</v>
      </c>
    </row>
    <row r="239" spans="1:113" ht="15" customHeight="1" x14ac:dyDescent="0.25">
      <c r="A239" t="s">
        <v>2122</v>
      </c>
      <c r="B239" t="s">
        <v>2123</v>
      </c>
      <c r="C239" t="s">
        <v>2124</v>
      </c>
      <c r="D239" t="s">
        <v>1243</v>
      </c>
      <c r="E239" t="s">
        <v>1190</v>
      </c>
      <c r="F239" t="s">
        <v>2125</v>
      </c>
      <c r="G239">
        <v>2025</v>
      </c>
      <c r="H239" t="s">
        <v>1160</v>
      </c>
      <c r="I239" t="s">
        <v>138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Y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14</v>
      </c>
      <c r="AZ239">
        <v>0</v>
      </c>
      <c r="BA239">
        <v>29</v>
      </c>
      <c r="BB239">
        <v>2</v>
      </c>
      <c r="BC239">
        <v>2</v>
      </c>
      <c r="BD239">
        <v>1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3</v>
      </c>
      <c r="BU239">
        <v>20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C239">
        <v>0</v>
      </c>
      <c r="DD239">
        <v>0</v>
      </c>
      <c r="DE239">
        <v>0</v>
      </c>
      <c r="DF239">
        <v>0</v>
      </c>
      <c r="DH239">
        <v>0</v>
      </c>
      <c r="DI239">
        <v>0</v>
      </c>
    </row>
    <row r="240" spans="1:113" ht="15" customHeight="1" x14ac:dyDescent="0.25">
      <c r="A240" t="s">
        <v>2126</v>
      </c>
      <c r="B240" t="s">
        <v>2127</v>
      </c>
      <c r="C240" t="s">
        <v>2128</v>
      </c>
      <c r="D240" t="s">
        <v>1168</v>
      </c>
      <c r="E240" t="s">
        <v>1169</v>
      </c>
      <c r="F240" t="s">
        <v>2129</v>
      </c>
      <c r="G240">
        <v>2025</v>
      </c>
      <c r="H240" t="s">
        <v>1160</v>
      </c>
      <c r="I240" t="s">
        <v>93</v>
      </c>
      <c r="J240">
        <v>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Y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S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4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19</v>
      </c>
      <c r="CA240">
        <v>22</v>
      </c>
      <c r="CB240">
        <v>1</v>
      </c>
      <c r="CC240">
        <v>2</v>
      </c>
      <c r="CD240">
        <v>56</v>
      </c>
      <c r="CE240">
        <v>0.86363636363636398</v>
      </c>
      <c r="CF240">
        <v>0</v>
      </c>
      <c r="CG240">
        <v>1</v>
      </c>
      <c r="CH240">
        <v>3</v>
      </c>
      <c r="CI240">
        <v>8</v>
      </c>
      <c r="CJ240">
        <v>7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 t="s">
        <v>2130</v>
      </c>
      <c r="CS240">
        <v>50</v>
      </c>
      <c r="CT240" t="s">
        <v>2131</v>
      </c>
      <c r="CU240">
        <v>854</v>
      </c>
      <c r="CV240">
        <v>50</v>
      </c>
      <c r="CW240">
        <v>87</v>
      </c>
      <c r="CX240">
        <v>17</v>
      </c>
      <c r="CY240">
        <v>18</v>
      </c>
      <c r="CZ240">
        <v>0</v>
      </c>
      <c r="DA240">
        <v>1</v>
      </c>
      <c r="DB240">
        <v>0.94444444444444398</v>
      </c>
      <c r="DC240">
        <v>1</v>
      </c>
      <c r="DD240">
        <v>1</v>
      </c>
      <c r="DE240">
        <v>0</v>
      </c>
      <c r="DF240">
        <v>0</v>
      </c>
      <c r="DG240">
        <v>43</v>
      </c>
      <c r="DH240">
        <v>0</v>
      </c>
      <c r="DI240">
        <v>0</v>
      </c>
    </row>
    <row r="241" spans="1:113" ht="15" customHeight="1" x14ac:dyDescent="0.25">
      <c r="A241" t="s">
        <v>2132</v>
      </c>
      <c r="B241" t="s">
        <v>2133</v>
      </c>
      <c r="C241" t="s">
        <v>2134</v>
      </c>
      <c r="D241" t="s">
        <v>1219</v>
      </c>
      <c r="E241" t="s">
        <v>1220</v>
      </c>
      <c r="F241" t="s">
        <v>2135</v>
      </c>
      <c r="G241">
        <v>2025</v>
      </c>
      <c r="H241" t="s">
        <v>1160</v>
      </c>
      <c r="I241" t="s">
        <v>111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Y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S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10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C241">
        <v>0</v>
      </c>
      <c r="DD241">
        <v>0</v>
      </c>
      <c r="DE241">
        <v>0</v>
      </c>
      <c r="DF241">
        <v>0</v>
      </c>
      <c r="DH241">
        <v>0</v>
      </c>
      <c r="DI241">
        <v>0</v>
      </c>
    </row>
    <row r="242" spans="1:113" ht="15" customHeight="1" x14ac:dyDescent="0.25">
      <c r="A242" t="s">
        <v>2136</v>
      </c>
      <c r="B242" t="s">
        <v>2137</v>
      </c>
      <c r="C242" t="s">
        <v>2138</v>
      </c>
      <c r="D242" t="s">
        <v>1189</v>
      </c>
      <c r="E242" t="s">
        <v>1190</v>
      </c>
      <c r="F242" t="s">
        <v>2139</v>
      </c>
      <c r="G242">
        <v>2025</v>
      </c>
      <c r="H242" t="s">
        <v>1160</v>
      </c>
      <c r="I242" t="s">
        <v>109</v>
      </c>
      <c r="J242">
        <v>17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Y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S242">
        <v>0</v>
      </c>
      <c r="AU242">
        <v>0</v>
      </c>
      <c r="AV242">
        <v>0</v>
      </c>
      <c r="AW242">
        <v>0</v>
      </c>
      <c r="AX242">
        <v>0</v>
      </c>
      <c r="AY242">
        <v>40</v>
      </c>
      <c r="AZ242">
        <v>3</v>
      </c>
      <c r="BA242">
        <v>17</v>
      </c>
      <c r="BB242">
        <v>33</v>
      </c>
      <c r="BC242">
        <v>164</v>
      </c>
      <c r="BD242">
        <v>3</v>
      </c>
      <c r="BE242">
        <v>23</v>
      </c>
      <c r="BF242">
        <v>165</v>
      </c>
      <c r="BG242">
        <v>39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6</v>
      </c>
      <c r="BU242">
        <v>29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C242">
        <v>0</v>
      </c>
      <c r="DD242">
        <v>0</v>
      </c>
      <c r="DE242">
        <v>0</v>
      </c>
      <c r="DF242">
        <v>0</v>
      </c>
      <c r="DH242">
        <v>0</v>
      </c>
      <c r="DI242">
        <v>0</v>
      </c>
    </row>
    <row r="243" spans="1:113" ht="15" customHeight="1" x14ac:dyDescent="0.25">
      <c r="A243" t="s">
        <v>2140</v>
      </c>
      <c r="B243" t="s">
        <v>2141</v>
      </c>
      <c r="C243" t="s">
        <v>2142</v>
      </c>
      <c r="D243" t="s">
        <v>1158</v>
      </c>
      <c r="E243" t="s">
        <v>1158</v>
      </c>
      <c r="F243" t="s">
        <v>2143</v>
      </c>
      <c r="G243">
        <v>2025</v>
      </c>
      <c r="H243" t="s">
        <v>1160</v>
      </c>
      <c r="I243" t="s">
        <v>99</v>
      </c>
      <c r="J243">
        <v>4</v>
      </c>
      <c r="K243">
        <v>25</v>
      </c>
      <c r="L243">
        <v>35</v>
      </c>
      <c r="M243">
        <v>313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255</v>
      </c>
      <c r="U243">
        <v>136</v>
      </c>
      <c r="V243">
        <v>19</v>
      </c>
      <c r="W243">
        <v>25.734475121658999</v>
      </c>
      <c r="X243">
        <v>7.8043438055936001</v>
      </c>
      <c r="Y243">
        <v>1</v>
      </c>
      <c r="Z243">
        <v>1.2274509803921601</v>
      </c>
      <c r="AA243">
        <v>9</v>
      </c>
      <c r="AB243">
        <v>6</v>
      </c>
      <c r="AC243">
        <v>0</v>
      </c>
      <c r="AD243">
        <v>0</v>
      </c>
      <c r="AE243">
        <v>0</v>
      </c>
      <c r="AF243">
        <v>0</v>
      </c>
      <c r="AG243">
        <v>-6.7958843332016796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S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C243">
        <v>0</v>
      </c>
      <c r="DD243">
        <v>0</v>
      </c>
      <c r="DE243">
        <v>0</v>
      </c>
      <c r="DF243">
        <v>0</v>
      </c>
      <c r="DH243">
        <v>31.12</v>
      </c>
      <c r="DI243">
        <v>31.12</v>
      </c>
    </row>
    <row r="244" spans="1:113" ht="15" customHeight="1" x14ac:dyDescent="0.25">
      <c r="A244" t="s">
        <v>2144</v>
      </c>
      <c r="B244" t="s">
        <v>2145</v>
      </c>
      <c r="C244" t="s">
        <v>2146</v>
      </c>
      <c r="D244" t="s">
        <v>1189</v>
      </c>
      <c r="E244" t="s">
        <v>1190</v>
      </c>
      <c r="F244" t="s">
        <v>2147</v>
      </c>
      <c r="G244">
        <v>2025</v>
      </c>
      <c r="H244" t="s">
        <v>1160</v>
      </c>
      <c r="I244" t="s">
        <v>112</v>
      </c>
      <c r="J244">
        <v>13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Y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S244">
        <v>0</v>
      </c>
      <c r="AU244">
        <v>0</v>
      </c>
      <c r="AV244">
        <v>0</v>
      </c>
      <c r="AW244">
        <v>0</v>
      </c>
      <c r="AX244">
        <v>0</v>
      </c>
      <c r="AY244">
        <v>8</v>
      </c>
      <c r="AZ244">
        <v>2</v>
      </c>
      <c r="BA244">
        <v>17</v>
      </c>
      <c r="BB244">
        <v>3</v>
      </c>
      <c r="BC244">
        <v>6</v>
      </c>
      <c r="BD244">
        <v>0</v>
      </c>
      <c r="BE244">
        <v>0</v>
      </c>
      <c r="BF244">
        <v>0</v>
      </c>
      <c r="BG244">
        <v>2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3</v>
      </c>
      <c r="BU244">
        <v>11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C244">
        <v>0</v>
      </c>
      <c r="DD244">
        <v>0</v>
      </c>
      <c r="DE244">
        <v>0</v>
      </c>
      <c r="DF244">
        <v>0</v>
      </c>
      <c r="DH244">
        <v>0</v>
      </c>
      <c r="DI244">
        <v>0</v>
      </c>
    </row>
    <row r="245" spans="1:113" ht="15" customHeight="1" x14ac:dyDescent="0.25">
      <c r="A245" t="s">
        <v>2148</v>
      </c>
      <c r="B245" t="s">
        <v>2149</v>
      </c>
      <c r="C245" t="s">
        <v>2150</v>
      </c>
      <c r="D245" t="s">
        <v>1234</v>
      </c>
      <c r="E245" t="s">
        <v>1234</v>
      </c>
      <c r="F245" t="s">
        <v>2151</v>
      </c>
      <c r="G245">
        <v>2025</v>
      </c>
      <c r="H245" t="s">
        <v>1160</v>
      </c>
      <c r="I245" t="s">
        <v>89</v>
      </c>
      <c r="J245">
        <v>17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Y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S245">
        <v>0</v>
      </c>
      <c r="AU245">
        <v>0</v>
      </c>
      <c r="AV245">
        <v>0</v>
      </c>
      <c r="AW245">
        <v>0</v>
      </c>
      <c r="AX245">
        <v>0</v>
      </c>
      <c r="AY245">
        <v>28</v>
      </c>
      <c r="AZ245">
        <v>2</v>
      </c>
      <c r="BA245">
        <v>14</v>
      </c>
      <c r="BB245">
        <v>4</v>
      </c>
      <c r="BC245">
        <v>10</v>
      </c>
      <c r="BD245">
        <v>1</v>
      </c>
      <c r="BE245">
        <v>1</v>
      </c>
      <c r="BF245">
        <v>4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2</v>
      </c>
      <c r="BU245">
        <v>30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C245">
        <v>0</v>
      </c>
      <c r="DD245">
        <v>0</v>
      </c>
      <c r="DE245">
        <v>0</v>
      </c>
      <c r="DF245">
        <v>0</v>
      </c>
      <c r="DH245">
        <v>0</v>
      </c>
      <c r="DI245">
        <v>0</v>
      </c>
    </row>
    <row r="246" spans="1:113" ht="15" customHeight="1" x14ac:dyDescent="0.25">
      <c r="A246" t="s">
        <v>2152</v>
      </c>
      <c r="B246" t="s">
        <v>2153</v>
      </c>
      <c r="C246" t="s">
        <v>2154</v>
      </c>
      <c r="D246" t="s">
        <v>1158</v>
      </c>
      <c r="E246" t="s">
        <v>1158</v>
      </c>
      <c r="F246" t="s">
        <v>2155</v>
      </c>
      <c r="G246">
        <v>2025</v>
      </c>
      <c r="H246" t="s">
        <v>1160</v>
      </c>
      <c r="I246" t="s">
        <v>123</v>
      </c>
      <c r="J246">
        <v>14</v>
      </c>
      <c r="K246">
        <v>315</v>
      </c>
      <c r="L246">
        <v>502</v>
      </c>
      <c r="M246">
        <v>3587</v>
      </c>
      <c r="N246">
        <v>22</v>
      </c>
      <c r="O246">
        <v>11</v>
      </c>
      <c r="P246">
        <v>34</v>
      </c>
      <c r="Q246">
        <v>-193</v>
      </c>
      <c r="R246">
        <v>3</v>
      </c>
      <c r="S246">
        <v>0</v>
      </c>
      <c r="T246">
        <v>4050</v>
      </c>
      <c r="U246">
        <v>1895</v>
      </c>
      <c r="V246">
        <v>173</v>
      </c>
      <c r="W246">
        <v>68.246940776171797</v>
      </c>
      <c r="X246">
        <v>0.33641483390558102</v>
      </c>
      <c r="Y246">
        <v>2</v>
      </c>
      <c r="Z246">
        <v>0.88567901234567903</v>
      </c>
      <c r="AA246">
        <v>64</v>
      </c>
      <c r="AB246">
        <v>422</v>
      </c>
      <c r="AC246">
        <v>5</v>
      </c>
      <c r="AD246">
        <v>0</v>
      </c>
      <c r="AE246">
        <v>0</v>
      </c>
      <c r="AF246">
        <v>28</v>
      </c>
      <c r="AG246">
        <v>29.1644939678954</v>
      </c>
      <c r="AH246">
        <v>0</v>
      </c>
      <c r="AI246">
        <v>1</v>
      </c>
      <c r="AJ246">
        <v>1</v>
      </c>
      <c r="AK246">
        <v>-10</v>
      </c>
      <c r="AL246">
        <v>0</v>
      </c>
      <c r="AM246">
        <v>0</v>
      </c>
      <c r="AN246">
        <v>0</v>
      </c>
      <c r="AO246">
        <v>-8</v>
      </c>
      <c r="AP246">
        <v>-2</v>
      </c>
      <c r="AQ246">
        <v>0</v>
      </c>
      <c r="AR246">
        <v>-2.5388513491489002</v>
      </c>
      <c r="AS246">
        <v>0</v>
      </c>
      <c r="AT246">
        <v>0</v>
      </c>
      <c r="AU246">
        <v>1.82149362477231E-3</v>
      </c>
      <c r="AV246">
        <v>-1.76483564968012E-3</v>
      </c>
      <c r="AW246">
        <v>1.49685548238238E-3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3</v>
      </c>
      <c r="BP246">
        <v>3</v>
      </c>
      <c r="BQ246">
        <v>0</v>
      </c>
      <c r="BR246">
        <v>0</v>
      </c>
      <c r="BS246">
        <v>0</v>
      </c>
      <c r="BT246">
        <v>3</v>
      </c>
      <c r="BU246">
        <v>25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C246">
        <v>0</v>
      </c>
      <c r="DD246">
        <v>0</v>
      </c>
      <c r="DE246">
        <v>0</v>
      </c>
      <c r="DF246">
        <v>0</v>
      </c>
      <c r="DH246">
        <v>284.68</v>
      </c>
      <c r="DI246">
        <v>285.68</v>
      </c>
    </row>
    <row r="247" spans="1:113" ht="15" customHeight="1" x14ac:dyDescent="0.25">
      <c r="A247" t="s">
        <v>2156</v>
      </c>
      <c r="B247" t="s">
        <v>2157</v>
      </c>
      <c r="C247" t="s">
        <v>2158</v>
      </c>
      <c r="D247" t="s">
        <v>1350</v>
      </c>
      <c r="E247" t="s">
        <v>1307</v>
      </c>
      <c r="F247" t="s">
        <v>2159</v>
      </c>
      <c r="G247">
        <v>2025</v>
      </c>
      <c r="H247" t="s">
        <v>1160</v>
      </c>
      <c r="I247" t="s">
        <v>143</v>
      </c>
      <c r="J247">
        <v>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Y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S247">
        <v>0</v>
      </c>
      <c r="AU247">
        <v>0</v>
      </c>
      <c r="AV247">
        <v>0</v>
      </c>
      <c r="AW247">
        <v>0</v>
      </c>
      <c r="AX247">
        <v>0</v>
      </c>
      <c r="AY247">
        <v>15</v>
      </c>
      <c r="AZ247">
        <v>1</v>
      </c>
      <c r="BA247">
        <v>11</v>
      </c>
      <c r="BB247">
        <v>1</v>
      </c>
      <c r="BC247">
        <v>3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7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1</v>
      </c>
      <c r="BS247">
        <v>0</v>
      </c>
      <c r="BT247">
        <v>7</v>
      </c>
      <c r="BU247">
        <v>89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C247">
        <v>0</v>
      </c>
      <c r="DD247">
        <v>0</v>
      </c>
      <c r="DE247">
        <v>0</v>
      </c>
      <c r="DF247">
        <v>0</v>
      </c>
      <c r="DH247">
        <v>0</v>
      </c>
      <c r="DI247">
        <v>0</v>
      </c>
    </row>
    <row r="248" spans="1:113" ht="15" customHeight="1" x14ac:dyDescent="0.25">
      <c r="A248" t="s">
        <v>2160</v>
      </c>
      <c r="B248" t="s">
        <v>2161</v>
      </c>
      <c r="C248" t="s">
        <v>2162</v>
      </c>
      <c r="D248" t="s">
        <v>1233</v>
      </c>
      <c r="E248" t="s">
        <v>1234</v>
      </c>
      <c r="F248" t="s">
        <v>2163</v>
      </c>
      <c r="G248">
        <v>2025</v>
      </c>
      <c r="H248" t="s">
        <v>1160</v>
      </c>
      <c r="I248" t="s">
        <v>126</v>
      </c>
      <c r="J248">
        <v>13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Y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18</v>
      </c>
      <c r="AZ248">
        <v>0</v>
      </c>
      <c r="BA248">
        <v>13</v>
      </c>
      <c r="BB248">
        <v>6</v>
      </c>
      <c r="BC248">
        <v>29</v>
      </c>
      <c r="BD248">
        <v>1</v>
      </c>
      <c r="BE248">
        <v>2.5</v>
      </c>
      <c r="BF248">
        <v>20.5</v>
      </c>
      <c r="BG248">
        <v>6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2</v>
      </c>
      <c r="BU248">
        <v>10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C248">
        <v>0</v>
      </c>
      <c r="DD248">
        <v>0</v>
      </c>
      <c r="DE248">
        <v>0</v>
      </c>
      <c r="DF248">
        <v>0</v>
      </c>
      <c r="DH248">
        <v>0</v>
      </c>
      <c r="DI248">
        <v>0</v>
      </c>
    </row>
    <row r="249" spans="1:113" ht="15" customHeight="1" x14ac:dyDescent="0.25">
      <c r="A249" t="s">
        <v>2164</v>
      </c>
      <c r="B249" t="s">
        <v>2165</v>
      </c>
      <c r="C249" t="s">
        <v>2166</v>
      </c>
      <c r="D249" t="s">
        <v>1189</v>
      </c>
      <c r="E249" t="s">
        <v>1190</v>
      </c>
      <c r="F249" t="s">
        <v>2167</v>
      </c>
      <c r="G249">
        <v>2025</v>
      </c>
      <c r="H249" t="s">
        <v>1160</v>
      </c>
      <c r="I249" t="s">
        <v>121</v>
      </c>
      <c r="J249">
        <v>16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Y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S249">
        <v>0</v>
      </c>
      <c r="AU249">
        <v>0</v>
      </c>
      <c r="AV249">
        <v>0</v>
      </c>
      <c r="AW249">
        <v>0</v>
      </c>
      <c r="AX249">
        <v>0</v>
      </c>
      <c r="AY249">
        <v>12</v>
      </c>
      <c r="AZ249">
        <v>1</v>
      </c>
      <c r="BA249">
        <v>8</v>
      </c>
      <c r="BB249">
        <v>8</v>
      </c>
      <c r="BC249">
        <v>50</v>
      </c>
      <c r="BD249">
        <v>0</v>
      </c>
      <c r="BE249">
        <v>5</v>
      </c>
      <c r="BF249">
        <v>40</v>
      </c>
      <c r="BG249">
        <v>10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</v>
      </c>
      <c r="BU249">
        <v>45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C249">
        <v>0</v>
      </c>
      <c r="DD249">
        <v>0</v>
      </c>
      <c r="DE249">
        <v>0</v>
      </c>
      <c r="DF249">
        <v>0</v>
      </c>
      <c r="DH249">
        <v>0</v>
      </c>
      <c r="DI249">
        <v>0</v>
      </c>
    </row>
    <row r="250" spans="1:113" ht="15" customHeight="1" x14ac:dyDescent="0.25">
      <c r="A250" t="s">
        <v>2168</v>
      </c>
      <c r="B250" t="s">
        <v>2169</v>
      </c>
      <c r="C250" t="s">
        <v>2170</v>
      </c>
      <c r="D250" t="s">
        <v>1306</v>
      </c>
      <c r="E250" t="s">
        <v>1307</v>
      </c>
      <c r="F250" t="s">
        <v>2171</v>
      </c>
      <c r="G250">
        <v>2025</v>
      </c>
      <c r="H250" t="s">
        <v>1160</v>
      </c>
      <c r="I250" t="s">
        <v>112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Y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25</v>
      </c>
      <c r="AZ250">
        <v>3</v>
      </c>
      <c r="BA250">
        <v>24</v>
      </c>
      <c r="BB250">
        <v>2</v>
      </c>
      <c r="BC250">
        <v>4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C250">
        <v>0</v>
      </c>
      <c r="DD250">
        <v>0</v>
      </c>
      <c r="DE250">
        <v>0</v>
      </c>
      <c r="DF250">
        <v>0</v>
      </c>
      <c r="DH250">
        <v>0</v>
      </c>
      <c r="DI250">
        <v>0</v>
      </c>
    </row>
    <row r="251" spans="1:113" ht="15" customHeight="1" x14ac:dyDescent="0.25">
      <c r="A251" t="s">
        <v>2172</v>
      </c>
      <c r="B251" t="s">
        <v>2173</v>
      </c>
      <c r="C251" t="s">
        <v>2174</v>
      </c>
      <c r="D251" t="s">
        <v>1350</v>
      </c>
      <c r="E251" t="s">
        <v>1307</v>
      </c>
      <c r="F251" t="s">
        <v>2175</v>
      </c>
      <c r="G251">
        <v>2025</v>
      </c>
      <c r="H251" t="s">
        <v>1160</v>
      </c>
      <c r="I251" t="s">
        <v>120</v>
      </c>
      <c r="J251">
        <v>13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Y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S251">
        <v>0</v>
      </c>
      <c r="AU251">
        <v>0</v>
      </c>
      <c r="AV251">
        <v>0</v>
      </c>
      <c r="AW251">
        <v>0</v>
      </c>
      <c r="AX251">
        <v>0</v>
      </c>
      <c r="AY251">
        <v>40</v>
      </c>
      <c r="AZ251">
        <v>0</v>
      </c>
      <c r="BA251">
        <v>15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1</v>
      </c>
      <c r="BJ251">
        <v>11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C251">
        <v>0</v>
      </c>
      <c r="DD251">
        <v>0</v>
      </c>
      <c r="DE251">
        <v>0</v>
      </c>
      <c r="DF251">
        <v>0</v>
      </c>
      <c r="DH251">
        <v>0</v>
      </c>
      <c r="DI251">
        <v>0</v>
      </c>
    </row>
    <row r="252" spans="1:113" ht="15" customHeight="1" x14ac:dyDescent="0.25">
      <c r="A252" t="s">
        <v>2176</v>
      </c>
      <c r="B252" t="s">
        <v>2177</v>
      </c>
      <c r="C252" t="s">
        <v>597</v>
      </c>
      <c r="D252" t="s">
        <v>439</v>
      </c>
      <c r="E252" t="s">
        <v>439</v>
      </c>
      <c r="F252" t="s">
        <v>2178</v>
      </c>
      <c r="G252">
        <v>2025</v>
      </c>
      <c r="H252" t="s">
        <v>1160</v>
      </c>
      <c r="I252" t="s">
        <v>115</v>
      </c>
      <c r="J252">
        <v>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Y252">
        <v>0</v>
      </c>
      <c r="AA252">
        <v>1</v>
      </c>
      <c r="AB252">
        <v>7</v>
      </c>
      <c r="AC252">
        <v>0</v>
      </c>
      <c r="AD252">
        <v>0</v>
      </c>
      <c r="AE252">
        <v>0</v>
      </c>
      <c r="AF252">
        <v>0</v>
      </c>
      <c r="AG252">
        <v>0.25443235179409401</v>
      </c>
      <c r="AH252">
        <v>0</v>
      </c>
      <c r="AI252">
        <v>50</v>
      </c>
      <c r="AJ252">
        <v>76</v>
      </c>
      <c r="AK252">
        <v>461</v>
      </c>
      <c r="AL252">
        <v>1</v>
      </c>
      <c r="AM252">
        <v>0</v>
      </c>
      <c r="AN252">
        <v>0</v>
      </c>
      <c r="AO252">
        <v>331</v>
      </c>
      <c r="AP252">
        <v>302</v>
      </c>
      <c r="AQ252">
        <v>19</v>
      </c>
      <c r="AR252">
        <v>3.49128043235745</v>
      </c>
      <c r="AS252">
        <v>0</v>
      </c>
      <c r="AT252">
        <v>1.3927492447129901</v>
      </c>
      <c r="AU252">
        <v>0.13013698630136999</v>
      </c>
      <c r="AV252">
        <v>7.3752228163992906E-2</v>
      </c>
      <c r="AW252">
        <v>0.24683203916685001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</v>
      </c>
      <c r="BU252">
        <v>15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C252">
        <v>0</v>
      </c>
      <c r="DD252">
        <v>0</v>
      </c>
      <c r="DE252">
        <v>0</v>
      </c>
      <c r="DF252">
        <v>0</v>
      </c>
      <c r="DH252">
        <v>52.8</v>
      </c>
      <c r="DI252">
        <v>102.8</v>
      </c>
    </row>
    <row r="253" spans="1:113" ht="15" customHeight="1" x14ac:dyDescent="0.25">
      <c r="A253" t="s">
        <v>2179</v>
      </c>
      <c r="B253" t="s">
        <v>2180</v>
      </c>
      <c r="C253" t="s">
        <v>2181</v>
      </c>
      <c r="D253" t="s">
        <v>1306</v>
      </c>
      <c r="E253" t="s">
        <v>1307</v>
      </c>
      <c r="F253" t="s">
        <v>2182</v>
      </c>
      <c r="G253">
        <v>2025</v>
      </c>
      <c r="H253" t="s">
        <v>1160</v>
      </c>
      <c r="I253" t="s">
        <v>103</v>
      </c>
      <c r="J253">
        <v>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Y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S253">
        <v>0</v>
      </c>
      <c r="AU253">
        <v>0</v>
      </c>
      <c r="AV253">
        <v>0</v>
      </c>
      <c r="AW253">
        <v>0</v>
      </c>
      <c r="AX253">
        <v>0</v>
      </c>
      <c r="AY253">
        <v>6</v>
      </c>
      <c r="AZ253">
        <v>1</v>
      </c>
      <c r="BA253">
        <v>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1</v>
      </c>
      <c r="BS253">
        <v>0</v>
      </c>
      <c r="BT253">
        <v>3</v>
      </c>
      <c r="BU253">
        <v>25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C253">
        <v>0</v>
      </c>
      <c r="DD253">
        <v>0</v>
      </c>
      <c r="DE253">
        <v>0</v>
      </c>
      <c r="DF253">
        <v>0</v>
      </c>
      <c r="DH253">
        <v>0</v>
      </c>
      <c r="DI253">
        <v>0</v>
      </c>
    </row>
    <row r="254" spans="1:113" ht="15" customHeight="1" x14ac:dyDescent="0.25">
      <c r="A254" t="s">
        <v>2183</v>
      </c>
      <c r="B254" t="s">
        <v>2184</v>
      </c>
      <c r="C254" t="s">
        <v>2185</v>
      </c>
      <c r="D254" t="s">
        <v>1350</v>
      </c>
      <c r="E254" t="s">
        <v>1307</v>
      </c>
      <c r="F254" t="s">
        <v>2186</v>
      </c>
      <c r="G254">
        <v>2025</v>
      </c>
      <c r="H254" t="s">
        <v>1160</v>
      </c>
      <c r="I254" t="s">
        <v>99</v>
      </c>
      <c r="J254">
        <v>16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Y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S254">
        <v>0</v>
      </c>
      <c r="AU254">
        <v>0</v>
      </c>
      <c r="AV254">
        <v>0</v>
      </c>
      <c r="AW254">
        <v>0</v>
      </c>
      <c r="AX254">
        <v>0</v>
      </c>
      <c r="AY254">
        <v>28</v>
      </c>
      <c r="AZ254">
        <v>1</v>
      </c>
      <c r="BA254">
        <v>11</v>
      </c>
      <c r="BB254">
        <v>6</v>
      </c>
      <c r="BC254">
        <v>17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10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3</v>
      </c>
      <c r="BU254">
        <v>21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C254">
        <v>0</v>
      </c>
      <c r="DD254">
        <v>0</v>
      </c>
      <c r="DE254">
        <v>0</v>
      </c>
      <c r="DF254">
        <v>0</v>
      </c>
      <c r="DH254">
        <v>0</v>
      </c>
      <c r="DI254">
        <v>0</v>
      </c>
    </row>
    <row r="255" spans="1:113" ht="15" customHeight="1" x14ac:dyDescent="0.25">
      <c r="A255" t="s">
        <v>2187</v>
      </c>
      <c r="B255" t="s">
        <v>2188</v>
      </c>
      <c r="C255" t="s">
        <v>2189</v>
      </c>
      <c r="D255" t="s">
        <v>439</v>
      </c>
      <c r="E255" t="s">
        <v>439</v>
      </c>
      <c r="F255" t="s">
        <v>2190</v>
      </c>
      <c r="G255">
        <v>2025</v>
      </c>
      <c r="H255" t="s">
        <v>1160</v>
      </c>
      <c r="I255" t="s">
        <v>109</v>
      </c>
      <c r="J255">
        <v>11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Y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H255">
        <v>0</v>
      </c>
      <c r="AI255">
        <v>33</v>
      </c>
      <c r="AJ255">
        <v>48</v>
      </c>
      <c r="AK255">
        <v>293</v>
      </c>
      <c r="AL255">
        <v>4</v>
      </c>
      <c r="AM255">
        <v>0</v>
      </c>
      <c r="AN255">
        <v>0</v>
      </c>
      <c r="AO255">
        <v>253</v>
      </c>
      <c r="AP255">
        <v>160</v>
      </c>
      <c r="AQ255">
        <v>11</v>
      </c>
      <c r="AR255">
        <v>-3.6147723434877799</v>
      </c>
      <c r="AS255">
        <v>0</v>
      </c>
      <c r="AT255">
        <v>1.1581027667984201</v>
      </c>
      <c r="AU255">
        <v>9.1954022988505704E-2</v>
      </c>
      <c r="AV255">
        <v>6.6842800528401594E-2</v>
      </c>
      <c r="AW255">
        <v>0.18472099485264001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C255">
        <v>0</v>
      </c>
      <c r="DD255">
        <v>0</v>
      </c>
      <c r="DE255">
        <v>0</v>
      </c>
      <c r="DF255">
        <v>0</v>
      </c>
      <c r="DH255">
        <v>53.3</v>
      </c>
      <c r="DI255">
        <v>86.3</v>
      </c>
    </row>
    <row r="256" spans="1:113" ht="15" customHeight="1" x14ac:dyDescent="0.25">
      <c r="A256" t="s">
        <v>2191</v>
      </c>
      <c r="B256" t="s">
        <v>2192</v>
      </c>
      <c r="C256" t="s">
        <v>2193</v>
      </c>
      <c r="D256" t="s">
        <v>1233</v>
      </c>
      <c r="E256" t="s">
        <v>1234</v>
      </c>
      <c r="F256" t="s">
        <v>2194</v>
      </c>
      <c r="G256">
        <v>2025</v>
      </c>
      <c r="H256" t="s">
        <v>1160</v>
      </c>
      <c r="I256" t="s">
        <v>103</v>
      </c>
      <c r="J256">
        <v>14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Y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S256">
        <v>0</v>
      </c>
      <c r="AU256">
        <v>0</v>
      </c>
      <c r="AV256">
        <v>0</v>
      </c>
      <c r="AW256">
        <v>0</v>
      </c>
      <c r="AX256">
        <v>0</v>
      </c>
      <c r="AY256">
        <v>21</v>
      </c>
      <c r="AZ256">
        <v>2</v>
      </c>
      <c r="BA256">
        <v>32</v>
      </c>
      <c r="BB256">
        <v>10</v>
      </c>
      <c r="BC256">
        <v>43</v>
      </c>
      <c r="BD256">
        <v>3</v>
      </c>
      <c r="BE256">
        <v>7</v>
      </c>
      <c r="BF256">
        <v>41</v>
      </c>
      <c r="BG256">
        <v>19</v>
      </c>
      <c r="BH256">
        <v>2</v>
      </c>
      <c r="BI256">
        <v>13</v>
      </c>
      <c r="BJ256">
        <v>8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</v>
      </c>
      <c r="BR256">
        <v>2</v>
      </c>
      <c r="BS256">
        <v>0</v>
      </c>
      <c r="BT256">
        <v>5</v>
      </c>
      <c r="BU256">
        <v>44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C256">
        <v>0</v>
      </c>
      <c r="DD256">
        <v>0</v>
      </c>
      <c r="DE256">
        <v>0</v>
      </c>
      <c r="DF256">
        <v>0</v>
      </c>
      <c r="DH256">
        <v>0</v>
      </c>
      <c r="DI256">
        <v>0</v>
      </c>
    </row>
    <row r="257" spans="1:113" ht="15" customHeight="1" x14ac:dyDescent="0.25">
      <c r="A257" t="s">
        <v>2195</v>
      </c>
      <c r="B257" t="s">
        <v>2196</v>
      </c>
      <c r="C257" t="s">
        <v>2197</v>
      </c>
      <c r="D257" t="s">
        <v>1219</v>
      </c>
      <c r="E257" t="s">
        <v>1220</v>
      </c>
      <c r="F257" t="s">
        <v>2198</v>
      </c>
      <c r="G257">
        <v>2025</v>
      </c>
      <c r="H257" t="s">
        <v>1160</v>
      </c>
      <c r="I257" t="s">
        <v>109</v>
      </c>
      <c r="J257">
        <v>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Y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S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9</v>
      </c>
      <c r="BU257">
        <v>57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C257">
        <v>0</v>
      </c>
      <c r="DD257">
        <v>0</v>
      </c>
      <c r="DE257">
        <v>0</v>
      </c>
      <c r="DF257">
        <v>0</v>
      </c>
      <c r="DH257">
        <v>0</v>
      </c>
      <c r="DI257">
        <v>0</v>
      </c>
    </row>
    <row r="258" spans="1:113" ht="15" customHeight="1" x14ac:dyDescent="0.25">
      <c r="A258" t="s">
        <v>2199</v>
      </c>
      <c r="B258" t="s">
        <v>2200</v>
      </c>
      <c r="C258" t="s">
        <v>2201</v>
      </c>
      <c r="D258" t="s">
        <v>1375</v>
      </c>
      <c r="E258" t="s">
        <v>1307</v>
      </c>
      <c r="F258" t="s">
        <v>2202</v>
      </c>
      <c r="G258">
        <v>2025</v>
      </c>
      <c r="H258" t="s">
        <v>1160</v>
      </c>
      <c r="I258" t="s">
        <v>90</v>
      </c>
      <c r="J258">
        <v>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Y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S258">
        <v>0</v>
      </c>
      <c r="AU258">
        <v>0</v>
      </c>
      <c r="AV258">
        <v>0</v>
      </c>
      <c r="AW258">
        <v>0</v>
      </c>
      <c r="AX258">
        <v>0</v>
      </c>
      <c r="AY258">
        <v>54</v>
      </c>
      <c r="AZ258">
        <v>3</v>
      </c>
      <c r="BA258">
        <v>63</v>
      </c>
      <c r="BB258">
        <v>4</v>
      </c>
      <c r="BC258">
        <v>7</v>
      </c>
      <c r="BD258">
        <v>0</v>
      </c>
      <c r="BE258">
        <v>0.5</v>
      </c>
      <c r="BF258">
        <v>3</v>
      </c>
      <c r="BG258">
        <v>1</v>
      </c>
      <c r="BH258">
        <v>1</v>
      </c>
      <c r="BI258">
        <v>0</v>
      </c>
      <c r="BJ258">
        <v>5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1</v>
      </c>
      <c r="BS258">
        <v>0</v>
      </c>
      <c r="BT258">
        <v>2</v>
      </c>
      <c r="BU258">
        <v>31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C258">
        <v>0</v>
      </c>
      <c r="DD258">
        <v>0</v>
      </c>
      <c r="DE258">
        <v>0</v>
      </c>
      <c r="DF258">
        <v>0</v>
      </c>
      <c r="DH258">
        <v>0</v>
      </c>
      <c r="DI258">
        <v>0</v>
      </c>
    </row>
    <row r="259" spans="1:113" ht="15" customHeight="1" x14ac:dyDescent="0.25">
      <c r="A259" t="s">
        <v>2203</v>
      </c>
      <c r="B259" t="s">
        <v>2204</v>
      </c>
      <c r="C259" t="s">
        <v>2205</v>
      </c>
      <c r="D259" t="s">
        <v>10</v>
      </c>
      <c r="E259" t="s">
        <v>10</v>
      </c>
      <c r="F259" t="s">
        <v>2206</v>
      </c>
      <c r="G259">
        <v>2025</v>
      </c>
      <c r="H259" t="s">
        <v>1160</v>
      </c>
      <c r="I259" t="s">
        <v>90</v>
      </c>
      <c r="J259">
        <v>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Y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H259">
        <v>0</v>
      </c>
      <c r="AI259">
        <v>12</v>
      </c>
      <c r="AJ259">
        <v>18</v>
      </c>
      <c r="AK259">
        <v>183</v>
      </c>
      <c r="AL259">
        <v>0</v>
      </c>
      <c r="AM259">
        <v>0</v>
      </c>
      <c r="AN259">
        <v>0</v>
      </c>
      <c r="AO259">
        <v>241</v>
      </c>
      <c r="AP259">
        <v>36</v>
      </c>
      <c r="AQ259">
        <v>7</v>
      </c>
      <c r="AR259">
        <v>5.6025210572406703</v>
      </c>
      <c r="AS259">
        <v>0</v>
      </c>
      <c r="AT259">
        <v>0.75933609958506199</v>
      </c>
      <c r="AU259">
        <v>2.91734197730956E-2</v>
      </c>
      <c r="AV259">
        <v>5.1716738197424901E-2</v>
      </c>
      <c r="AW259">
        <v>7.9961846397840902E-2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15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C259">
        <v>0</v>
      </c>
      <c r="DD259">
        <v>0</v>
      </c>
      <c r="DE259">
        <v>0</v>
      </c>
      <c r="DF259">
        <v>0</v>
      </c>
      <c r="DH259">
        <v>18.3</v>
      </c>
      <c r="DI259">
        <v>30.3</v>
      </c>
    </row>
    <row r="260" spans="1:113" ht="15" customHeight="1" x14ac:dyDescent="0.25">
      <c r="A260" t="s">
        <v>2207</v>
      </c>
      <c r="B260" t="s">
        <v>2208</v>
      </c>
      <c r="C260" t="s">
        <v>2209</v>
      </c>
      <c r="D260" t="s">
        <v>1306</v>
      </c>
      <c r="E260" t="s">
        <v>1307</v>
      </c>
      <c r="F260" t="s">
        <v>2210</v>
      </c>
      <c r="G260">
        <v>2025</v>
      </c>
      <c r="H260" t="s">
        <v>1160</v>
      </c>
      <c r="I260" t="s">
        <v>131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Y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S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4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C260">
        <v>0</v>
      </c>
      <c r="DD260">
        <v>0</v>
      </c>
      <c r="DE260">
        <v>0</v>
      </c>
      <c r="DF260">
        <v>0</v>
      </c>
      <c r="DH260">
        <v>0</v>
      </c>
      <c r="DI260">
        <v>0</v>
      </c>
    </row>
    <row r="261" spans="1:113" ht="15" customHeight="1" x14ac:dyDescent="0.25">
      <c r="A261" t="s">
        <v>2211</v>
      </c>
      <c r="B261" t="s">
        <v>2212</v>
      </c>
      <c r="C261" t="s">
        <v>2213</v>
      </c>
      <c r="D261" t="s">
        <v>1306</v>
      </c>
      <c r="E261" t="s">
        <v>1307</v>
      </c>
      <c r="F261" t="s">
        <v>2214</v>
      </c>
      <c r="G261">
        <v>2025</v>
      </c>
      <c r="H261" t="s">
        <v>1160</v>
      </c>
      <c r="I261" t="s">
        <v>131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Y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S261">
        <v>0</v>
      </c>
      <c r="AU261">
        <v>0</v>
      </c>
      <c r="AV261">
        <v>0</v>
      </c>
      <c r="AW261">
        <v>0</v>
      </c>
      <c r="AX261">
        <v>0</v>
      </c>
      <c r="AY261">
        <v>7</v>
      </c>
      <c r="AZ261">
        <v>0</v>
      </c>
      <c r="BA261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C261">
        <v>0</v>
      </c>
      <c r="DD261">
        <v>0</v>
      </c>
      <c r="DE261">
        <v>0</v>
      </c>
      <c r="DF261">
        <v>0</v>
      </c>
      <c r="DH261">
        <v>0</v>
      </c>
      <c r="DI261">
        <v>0</v>
      </c>
    </row>
    <row r="262" spans="1:113" ht="15" customHeight="1" x14ac:dyDescent="0.25">
      <c r="A262" t="s">
        <v>2215</v>
      </c>
      <c r="B262" t="s">
        <v>2216</v>
      </c>
      <c r="C262" t="s">
        <v>2217</v>
      </c>
      <c r="D262" t="s">
        <v>1655</v>
      </c>
      <c r="E262" t="s">
        <v>1220</v>
      </c>
      <c r="F262" t="s">
        <v>2218</v>
      </c>
      <c r="G262">
        <v>2025</v>
      </c>
      <c r="H262" t="s">
        <v>1160</v>
      </c>
      <c r="I262" t="s">
        <v>109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Y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S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2</v>
      </c>
      <c r="BU262">
        <v>20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C262">
        <v>0</v>
      </c>
      <c r="DD262">
        <v>0</v>
      </c>
      <c r="DE262">
        <v>0</v>
      </c>
      <c r="DF262">
        <v>0</v>
      </c>
      <c r="DH262">
        <v>0</v>
      </c>
      <c r="DI262">
        <v>0</v>
      </c>
    </row>
    <row r="263" spans="1:113" ht="15" customHeight="1" x14ac:dyDescent="0.25">
      <c r="A263" t="s">
        <v>2219</v>
      </c>
      <c r="B263" t="s">
        <v>2220</v>
      </c>
      <c r="C263" t="s">
        <v>2221</v>
      </c>
      <c r="D263" t="s">
        <v>1189</v>
      </c>
      <c r="E263" t="s">
        <v>1190</v>
      </c>
      <c r="F263" t="s">
        <v>2222</v>
      </c>
      <c r="G263">
        <v>2025</v>
      </c>
      <c r="H263" t="s">
        <v>1160</v>
      </c>
      <c r="I263" t="s">
        <v>104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Y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S263">
        <v>0</v>
      </c>
      <c r="AU263">
        <v>0</v>
      </c>
      <c r="AV263">
        <v>0</v>
      </c>
      <c r="AW263">
        <v>0</v>
      </c>
      <c r="AX263">
        <v>0</v>
      </c>
      <c r="AY263">
        <v>4</v>
      </c>
      <c r="AZ263">
        <v>0</v>
      </c>
      <c r="BA263">
        <v>1</v>
      </c>
      <c r="BB263">
        <v>1</v>
      </c>
      <c r="BC263">
        <v>6</v>
      </c>
      <c r="BD263">
        <v>0</v>
      </c>
      <c r="BE263">
        <v>1</v>
      </c>
      <c r="BF263">
        <v>6</v>
      </c>
      <c r="BG263">
        <v>2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C263">
        <v>0</v>
      </c>
      <c r="DD263">
        <v>0</v>
      </c>
      <c r="DE263">
        <v>0</v>
      </c>
      <c r="DF263">
        <v>0</v>
      </c>
      <c r="DH263">
        <v>0</v>
      </c>
      <c r="DI263">
        <v>0</v>
      </c>
    </row>
    <row r="264" spans="1:113" ht="15" customHeight="1" x14ac:dyDescent="0.25">
      <c r="A264" t="s">
        <v>2223</v>
      </c>
      <c r="B264" t="s">
        <v>2224</v>
      </c>
      <c r="C264" t="s">
        <v>2225</v>
      </c>
      <c r="D264" t="s">
        <v>1219</v>
      </c>
      <c r="E264" t="s">
        <v>1220</v>
      </c>
      <c r="F264" t="s">
        <v>2226</v>
      </c>
      <c r="G264">
        <v>2025</v>
      </c>
      <c r="H264" t="s">
        <v>1160</v>
      </c>
      <c r="I264" t="s">
        <v>99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Y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S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10</v>
      </c>
      <c r="BU264">
        <v>65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C264">
        <v>0</v>
      </c>
      <c r="DD264">
        <v>0</v>
      </c>
      <c r="DE264">
        <v>0</v>
      </c>
      <c r="DF264">
        <v>0</v>
      </c>
      <c r="DH264">
        <v>0</v>
      </c>
      <c r="DI264">
        <v>0</v>
      </c>
    </row>
    <row r="265" spans="1:113" ht="15" customHeight="1" x14ac:dyDescent="0.25">
      <c r="A265" t="s">
        <v>2227</v>
      </c>
      <c r="B265" t="s">
        <v>2228</v>
      </c>
      <c r="C265" t="s">
        <v>2229</v>
      </c>
      <c r="D265" t="s">
        <v>1243</v>
      </c>
      <c r="E265" t="s">
        <v>1190</v>
      </c>
      <c r="F265" t="s">
        <v>2230</v>
      </c>
      <c r="G265">
        <v>2025</v>
      </c>
      <c r="H265" t="s">
        <v>1160</v>
      </c>
      <c r="I265" t="s">
        <v>99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Y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S265">
        <v>0</v>
      </c>
      <c r="AU265">
        <v>0</v>
      </c>
      <c r="AV265">
        <v>0</v>
      </c>
      <c r="AW265">
        <v>0</v>
      </c>
      <c r="AX265">
        <v>0</v>
      </c>
      <c r="AY265">
        <v>10</v>
      </c>
      <c r="AZ265">
        <v>0</v>
      </c>
      <c r="BA265">
        <v>9</v>
      </c>
      <c r="BB265">
        <v>4</v>
      </c>
      <c r="BC265">
        <v>11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C265">
        <v>0</v>
      </c>
      <c r="DD265">
        <v>0</v>
      </c>
      <c r="DE265">
        <v>0</v>
      </c>
      <c r="DF265">
        <v>0</v>
      </c>
      <c r="DH265">
        <v>0</v>
      </c>
      <c r="DI265">
        <v>0</v>
      </c>
    </row>
    <row r="266" spans="1:113" ht="15" customHeight="1" x14ac:dyDescent="0.25">
      <c r="A266" t="s">
        <v>2231</v>
      </c>
      <c r="B266" t="s">
        <v>2232</v>
      </c>
      <c r="C266" t="s">
        <v>842</v>
      </c>
      <c r="D266" t="s">
        <v>431</v>
      </c>
      <c r="E266" t="s">
        <v>431</v>
      </c>
      <c r="F266" t="s">
        <v>2233</v>
      </c>
      <c r="G266">
        <v>2025</v>
      </c>
      <c r="H266" t="s">
        <v>1160</v>
      </c>
      <c r="I266" t="s">
        <v>138</v>
      </c>
      <c r="J266">
        <v>11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Y266">
        <v>0</v>
      </c>
      <c r="AA266">
        <v>131</v>
      </c>
      <c r="AB266">
        <v>471</v>
      </c>
      <c r="AC266">
        <v>1</v>
      </c>
      <c r="AD266">
        <v>1</v>
      </c>
      <c r="AE266">
        <v>1</v>
      </c>
      <c r="AF266">
        <v>21</v>
      </c>
      <c r="AG266">
        <v>-28.7749726018363</v>
      </c>
      <c r="AH266">
        <v>0</v>
      </c>
      <c r="AI266">
        <v>33</v>
      </c>
      <c r="AJ266">
        <v>39</v>
      </c>
      <c r="AK266">
        <v>186</v>
      </c>
      <c r="AL266">
        <v>0</v>
      </c>
      <c r="AM266">
        <v>1</v>
      </c>
      <c r="AN266">
        <v>1</v>
      </c>
      <c r="AO266">
        <v>33</v>
      </c>
      <c r="AP266">
        <v>202</v>
      </c>
      <c r="AQ266">
        <v>7</v>
      </c>
      <c r="AR266">
        <v>-11.6717303288865</v>
      </c>
      <c r="AS266">
        <v>0</v>
      </c>
      <c r="AT266">
        <v>5.6363636363636402</v>
      </c>
      <c r="AU266">
        <v>6.9026548672566398E-2</v>
      </c>
      <c r="AV266">
        <v>6.8936703572174598E-3</v>
      </c>
      <c r="AW266">
        <v>0.108365392258902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C266">
        <v>0</v>
      </c>
      <c r="DD266">
        <v>0</v>
      </c>
      <c r="DE266">
        <v>0</v>
      </c>
      <c r="DF266">
        <v>0</v>
      </c>
      <c r="DH266">
        <v>67.7</v>
      </c>
      <c r="DI266">
        <v>100.7</v>
      </c>
    </row>
    <row r="267" spans="1:113" ht="15" customHeight="1" x14ac:dyDescent="0.25">
      <c r="A267" t="s">
        <v>2234</v>
      </c>
      <c r="B267" t="s">
        <v>2235</v>
      </c>
      <c r="C267" t="s">
        <v>2236</v>
      </c>
      <c r="D267" t="s">
        <v>1189</v>
      </c>
      <c r="E267" t="s">
        <v>1190</v>
      </c>
      <c r="F267" t="s">
        <v>2237</v>
      </c>
      <c r="G267">
        <v>2025</v>
      </c>
      <c r="H267" t="s">
        <v>1160</v>
      </c>
      <c r="I267" t="s">
        <v>106</v>
      </c>
      <c r="J267">
        <v>13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Y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S267">
        <v>0</v>
      </c>
      <c r="AU267">
        <v>0</v>
      </c>
      <c r="AV267">
        <v>0</v>
      </c>
      <c r="AW267">
        <v>0</v>
      </c>
      <c r="AX267">
        <v>0</v>
      </c>
      <c r="AY267">
        <v>10</v>
      </c>
      <c r="AZ267">
        <v>0</v>
      </c>
      <c r="BA267">
        <v>13</v>
      </c>
      <c r="BB267">
        <v>3</v>
      </c>
      <c r="BC267">
        <v>20</v>
      </c>
      <c r="BD267">
        <v>0</v>
      </c>
      <c r="BE267">
        <v>2</v>
      </c>
      <c r="BF267">
        <v>19</v>
      </c>
      <c r="BG267">
        <v>5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C267">
        <v>0</v>
      </c>
      <c r="DD267">
        <v>0</v>
      </c>
      <c r="DE267">
        <v>0</v>
      </c>
      <c r="DF267">
        <v>0</v>
      </c>
      <c r="DH267">
        <v>0</v>
      </c>
      <c r="DI267">
        <v>0</v>
      </c>
    </row>
    <row r="268" spans="1:113" ht="15" customHeight="1" x14ac:dyDescent="0.25">
      <c r="A268" t="s">
        <v>2238</v>
      </c>
      <c r="B268" t="s">
        <v>2239</v>
      </c>
      <c r="C268" t="s">
        <v>950</v>
      </c>
      <c r="D268" t="s">
        <v>10</v>
      </c>
      <c r="E268" t="s">
        <v>10</v>
      </c>
      <c r="F268" t="s">
        <v>2240</v>
      </c>
      <c r="G268">
        <v>2025</v>
      </c>
      <c r="H268" t="s">
        <v>1160</v>
      </c>
      <c r="I268" t="s">
        <v>140</v>
      </c>
      <c r="J268">
        <v>16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9</v>
      </c>
      <c r="U268">
        <v>0</v>
      </c>
      <c r="V268">
        <v>0</v>
      </c>
      <c r="W268">
        <v>-5.3701664671534699</v>
      </c>
      <c r="X268">
        <v>-65.118157863616901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H268">
        <v>0</v>
      </c>
      <c r="AI268">
        <v>47</v>
      </c>
      <c r="AJ268">
        <v>70</v>
      </c>
      <c r="AK268">
        <v>593</v>
      </c>
      <c r="AL268">
        <v>2</v>
      </c>
      <c r="AM268">
        <v>1</v>
      </c>
      <c r="AN268">
        <v>1</v>
      </c>
      <c r="AO268">
        <v>525</v>
      </c>
      <c r="AP268">
        <v>293</v>
      </c>
      <c r="AQ268">
        <v>26</v>
      </c>
      <c r="AR268">
        <v>7.6385496929192804</v>
      </c>
      <c r="AS268">
        <v>1</v>
      </c>
      <c r="AT268">
        <v>1.12952380952381</v>
      </c>
      <c r="AU268">
        <v>0.15384615384615399</v>
      </c>
      <c r="AV268">
        <v>0.13970196913251701</v>
      </c>
      <c r="AW268">
        <v>0.32856060916199298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1</v>
      </c>
      <c r="BU268">
        <v>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C268">
        <v>0</v>
      </c>
      <c r="DD268">
        <v>0</v>
      </c>
      <c r="DE268">
        <v>0</v>
      </c>
      <c r="DF268">
        <v>0</v>
      </c>
      <c r="DH268">
        <v>69.3</v>
      </c>
      <c r="DI268">
        <v>116.3</v>
      </c>
    </row>
    <row r="269" spans="1:113" ht="15" customHeight="1" x14ac:dyDescent="0.25">
      <c r="A269" t="s">
        <v>2241</v>
      </c>
      <c r="B269" t="s">
        <v>2242</v>
      </c>
      <c r="C269" t="s">
        <v>2243</v>
      </c>
      <c r="D269" t="s">
        <v>1511</v>
      </c>
      <c r="E269" t="s">
        <v>1190</v>
      </c>
      <c r="F269" t="s">
        <v>2244</v>
      </c>
      <c r="G269">
        <v>2025</v>
      </c>
      <c r="H269" t="s">
        <v>1160</v>
      </c>
      <c r="I269" t="s">
        <v>124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Y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S269">
        <v>0</v>
      </c>
      <c r="AU269">
        <v>0</v>
      </c>
      <c r="AV269">
        <v>0</v>
      </c>
      <c r="AW269">
        <v>0</v>
      </c>
      <c r="AX269">
        <v>0</v>
      </c>
      <c r="AY269">
        <v>4</v>
      </c>
      <c r="AZ269">
        <v>0</v>
      </c>
      <c r="BA269">
        <v>3</v>
      </c>
      <c r="BB269">
        <v>1</v>
      </c>
      <c r="BC269">
        <v>9</v>
      </c>
      <c r="BD269">
        <v>0</v>
      </c>
      <c r="BE269">
        <v>1</v>
      </c>
      <c r="BF269">
        <v>9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C269">
        <v>0</v>
      </c>
      <c r="DD269">
        <v>0</v>
      </c>
      <c r="DE269">
        <v>0</v>
      </c>
      <c r="DF269">
        <v>0</v>
      </c>
      <c r="DH269">
        <v>0</v>
      </c>
      <c r="DI269">
        <v>0</v>
      </c>
    </row>
    <row r="270" spans="1:113" ht="15" customHeight="1" x14ac:dyDescent="0.25">
      <c r="A270" t="s">
        <v>2245</v>
      </c>
      <c r="B270" t="s">
        <v>2246</v>
      </c>
      <c r="C270" t="s">
        <v>2247</v>
      </c>
      <c r="D270" t="s">
        <v>1280</v>
      </c>
      <c r="E270" t="s">
        <v>1234</v>
      </c>
      <c r="F270" t="s">
        <v>2248</v>
      </c>
      <c r="G270">
        <v>2025</v>
      </c>
      <c r="H270" t="s">
        <v>1160</v>
      </c>
      <c r="I270" t="s">
        <v>111</v>
      </c>
      <c r="J270">
        <v>16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Y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S270">
        <v>0</v>
      </c>
      <c r="AU270">
        <v>0</v>
      </c>
      <c r="AV270">
        <v>0</v>
      </c>
      <c r="AW270">
        <v>0</v>
      </c>
      <c r="AX270">
        <v>0</v>
      </c>
      <c r="AY270">
        <v>52</v>
      </c>
      <c r="AZ270">
        <v>0</v>
      </c>
      <c r="BA270">
        <v>43</v>
      </c>
      <c r="BB270">
        <v>4</v>
      </c>
      <c r="BC270">
        <v>18</v>
      </c>
      <c r="BD270">
        <v>0</v>
      </c>
      <c r="BE270">
        <v>2.5</v>
      </c>
      <c r="BF270">
        <v>15</v>
      </c>
      <c r="BG270">
        <v>6</v>
      </c>
      <c r="BH270">
        <v>1</v>
      </c>
      <c r="BI270">
        <v>14</v>
      </c>
      <c r="BJ270">
        <v>9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</v>
      </c>
      <c r="BU270">
        <v>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C270">
        <v>0</v>
      </c>
      <c r="DD270">
        <v>0</v>
      </c>
      <c r="DE270">
        <v>0</v>
      </c>
      <c r="DF270">
        <v>0</v>
      </c>
      <c r="DH270">
        <v>0</v>
      </c>
      <c r="DI270">
        <v>0</v>
      </c>
    </row>
    <row r="271" spans="1:113" ht="15" customHeight="1" x14ac:dyDescent="0.25">
      <c r="A271" t="s">
        <v>2249</v>
      </c>
      <c r="B271" t="s">
        <v>2250</v>
      </c>
      <c r="C271" t="s">
        <v>2251</v>
      </c>
      <c r="D271" t="s">
        <v>1350</v>
      </c>
      <c r="E271" t="s">
        <v>1307</v>
      </c>
      <c r="F271" t="s">
        <v>2252</v>
      </c>
      <c r="G271">
        <v>2025</v>
      </c>
      <c r="H271" t="s">
        <v>1160</v>
      </c>
      <c r="I271" t="s">
        <v>137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Y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S271">
        <v>0</v>
      </c>
      <c r="AU271">
        <v>0</v>
      </c>
      <c r="AV271">
        <v>0</v>
      </c>
      <c r="AW271">
        <v>0</v>
      </c>
      <c r="AX271">
        <v>0</v>
      </c>
      <c r="AY271">
        <v>13</v>
      </c>
      <c r="AZ271">
        <v>0</v>
      </c>
      <c r="BA271">
        <v>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14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C271">
        <v>0</v>
      </c>
      <c r="DD271">
        <v>0</v>
      </c>
      <c r="DE271">
        <v>0</v>
      </c>
      <c r="DF271">
        <v>0</v>
      </c>
      <c r="DH271">
        <v>0</v>
      </c>
      <c r="DI271">
        <v>0</v>
      </c>
    </row>
    <row r="272" spans="1:113" ht="15" customHeight="1" x14ac:dyDescent="0.25">
      <c r="A272" t="s">
        <v>2253</v>
      </c>
      <c r="B272" t="s">
        <v>2254</v>
      </c>
      <c r="C272" t="s">
        <v>984</v>
      </c>
      <c r="D272" t="s">
        <v>10</v>
      </c>
      <c r="E272" t="s">
        <v>10</v>
      </c>
      <c r="F272" t="s">
        <v>2255</v>
      </c>
      <c r="G272">
        <v>2025</v>
      </c>
      <c r="H272" t="s">
        <v>1160</v>
      </c>
      <c r="I272" t="s">
        <v>126</v>
      </c>
      <c r="J272">
        <v>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Y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H272">
        <v>0</v>
      </c>
      <c r="AI272">
        <v>33</v>
      </c>
      <c r="AJ272">
        <v>51</v>
      </c>
      <c r="AK272">
        <v>360</v>
      </c>
      <c r="AL272">
        <v>2</v>
      </c>
      <c r="AM272">
        <v>0</v>
      </c>
      <c r="AN272">
        <v>0</v>
      </c>
      <c r="AO272">
        <v>361</v>
      </c>
      <c r="AP272">
        <v>206</v>
      </c>
      <c r="AQ272">
        <v>21</v>
      </c>
      <c r="AR272">
        <v>14.7000971803238</v>
      </c>
      <c r="AS272">
        <v>1</v>
      </c>
      <c r="AT272">
        <v>0.99722991689750695</v>
      </c>
      <c r="AU272">
        <v>9.4269870609981501E-2</v>
      </c>
      <c r="AV272">
        <v>8.0150976909413904E-2</v>
      </c>
      <c r="AW272">
        <v>0.19751048975156199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C272">
        <v>0</v>
      </c>
      <c r="DD272">
        <v>0</v>
      </c>
      <c r="DE272">
        <v>0</v>
      </c>
      <c r="DF272">
        <v>0</v>
      </c>
      <c r="DH272">
        <v>50</v>
      </c>
      <c r="DI272">
        <v>83</v>
      </c>
    </row>
    <row r="273" spans="1:113" ht="15" customHeight="1" x14ac:dyDescent="0.25">
      <c r="A273" t="s">
        <v>2256</v>
      </c>
      <c r="B273" t="s">
        <v>2257</v>
      </c>
      <c r="C273" t="s">
        <v>2258</v>
      </c>
      <c r="D273" t="s">
        <v>431</v>
      </c>
      <c r="E273" t="s">
        <v>431</v>
      </c>
      <c r="F273" t="s">
        <v>2259</v>
      </c>
      <c r="G273">
        <v>2025</v>
      </c>
      <c r="H273" t="s">
        <v>1160</v>
      </c>
      <c r="I273" t="s">
        <v>123</v>
      </c>
      <c r="J273">
        <v>17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Y273">
        <v>0</v>
      </c>
      <c r="AA273">
        <v>163</v>
      </c>
      <c r="AB273">
        <v>611</v>
      </c>
      <c r="AC273">
        <v>8</v>
      </c>
      <c r="AD273">
        <v>2</v>
      </c>
      <c r="AE273">
        <v>1</v>
      </c>
      <c r="AF273">
        <v>56</v>
      </c>
      <c r="AG273">
        <v>9.6694233966781393</v>
      </c>
      <c r="AH273">
        <v>0</v>
      </c>
      <c r="AI273">
        <v>18</v>
      </c>
      <c r="AJ273">
        <v>25</v>
      </c>
      <c r="AK273">
        <v>143</v>
      </c>
      <c r="AL273">
        <v>1</v>
      </c>
      <c r="AM273">
        <v>0</v>
      </c>
      <c r="AN273">
        <v>0</v>
      </c>
      <c r="AO273">
        <v>0</v>
      </c>
      <c r="AP273">
        <v>153</v>
      </c>
      <c r="AQ273">
        <v>8</v>
      </c>
      <c r="AR273">
        <v>1.38476970680585</v>
      </c>
      <c r="AS273">
        <v>0</v>
      </c>
      <c r="AT273">
        <v>0</v>
      </c>
      <c r="AU273">
        <v>4.5537340619307802E-2</v>
      </c>
      <c r="AV273">
        <v>0</v>
      </c>
      <c r="AW273">
        <v>6.83060109289617E-2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2</v>
      </c>
      <c r="BU273">
        <v>20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C273">
        <v>0</v>
      </c>
      <c r="DD273">
        <v>0</v>
      </c>
      <c r="DE273">
        <v>0</v>
      </c>
      <c r="DF273">
        <v>0</v>
      </c>
      <c r="DH273">
        <v>127.4</v>
      </c>
      <c r="DI273">
        <v>145.4</v>
      </c>
    </row>
    <row r="274" spans="1:113" ht="15" customHeight="1" x14ac:dyDescent="0.25">
      <c r="A274" t="s">
        <v>2260</v>
      </c>
      <c r="B274" t="s">
        <v>2261</v>
      </c>
      <c r="C274" t="s">
        <v>2262</v>
      </c>
      <c r="D274" t="s">
        <v>1350</v>
      </c>
      <c r="E274" t="s">
        <v>1307</v>
      </c>
      <c r="F274" t="s">
        <v>2263</v>
      </c>
      <c r="G274">
        <v>2025</v>
      </c>
      <c r="H274" t="s">
        <v>1160</v>
      </c>
      <c r="I274" t="s">
        <v>140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Y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S274">
        <v>0</v>
      </c>
      <c r="AU274">
        <v>0</v>
      </c>
      <c r="AV274">
        <v>0</v>
      </c>
      <c r="AW274">
        <v>0</v>
      </c>
      <c r="AX274">
        <v>0</v>
      </c>
      <c r="AY274">
        <v>7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C274">
        <v>0</v>
      </c>
      <c r="DD274">
        <v>0</v>
      </c>
      <c r="DE274">
        <v>0</v>
      </c>
      <c r="DF274">
        <v>0</v>
      </c>
      <c r="DH274">
        <v>0</v>
      </c>
      <c r="DI274">
        <v>0</v>
      </c>
    </row>
    <row r="275" spans="1:113" ht="15" customHeight="1" x14ac:dyDescent="0.25">
      <c r="A275" t="s">
        <v>2264</v>
      </c>
      <c r="B275" t="s">
        <v>2265</v>
      </c>
      <c r="C275" t="s">
        <v>2266</v>
      </c>
      <c r="D275" t="s">
        <v>1350</v>
      </c>
      <c r="E275" t="s">
        <v>1307</v>
      </c>
      <c r="F275" t="s">
        <v>2267</v>
      </c>
      <c r="G275">
        <v>2025</v>
      </c>
      <c r="H275" t="s">
        <v>1160</v>
      </c>
      <c r="I275" t="s">
        <v>106</v>
      </c>
      <c r="J275">
        <v>12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Y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S275">
        <v>0</v>
      </c>
      <c r="AU275">
        <v>0</v>
      </c>
      <c r="AV275">
        <v>0</v>
      </c>
      <c r="AW275">
        <v>0</v>
      </c>
      <c r="AX275">
        <v>0</v>
      </c>
      <c r="AY275">
        <v>20</v>
      </c>
      <c r="AZ275">
        <v>1</v>
      </c>
      <c r="BA275">
        <v>18</v>
      </c>
      <c r="BB275">
        <v>5</v>
      </c>
      <c r="BC275">
        <v>5</v>
      </c>
      <c r="BD275">
        <v>0</v>
      </c>
      <c r="BE275">
        <v>0</v>
      </c>
      <c r="BF275">
        <v>0</v>
      </c>
      <c r="BG275">
        <v>1</v>
      </c>
      <c r="BH275">
        <v>2</v>
      </c>
      <c r="BI275">
        <v>6</v>
      </c>
      <c r="BJ275">
        <v>10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1</v>
      </c>
      <c r="BS275">
        <v>0</v>
      </c>
      <c r="BT275">
        <v>6</v>
      </c>
      <c r="BU275">
        <v>56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C275">
        <v>0</v>
      </c>
      <c r="DD275">
        <v>0</v>
      </c>
      <c r="DE275">
        <v>0</v>
      </c>
      <c r="DF275">
        <v>0</v>
      </c>
      <c r="DH275">
        <v>0</v>
      </c>
      <c r="DI275">
        <v>0</v>
      </c>
    </row>
    <row r="276" spans="1:113" ht="15" customHeight="1" x14ac:dyDescent="0.25">
      <c r="A276" t="s">
        <v>2268</v>
      </c>
      <c r="B276" t="s">
        <v>2269</v>
      </c>
      <c r="C276" t="s">
        <v>2270</v>
      </c>
      <c r="D276" t="s">
        <v>1189</v>
      </c>
      <c r="E276" t="s">
        <v>1190</v>
      </c>
      <c r="F276" t="s">
        <v>2271</v>
      </c>
      <c r="G276">
        <v>2025</v>
      </c>
      <c r="H276" t="s">
        <v>1160</v>
      </c>
      <c r="I276" t="s">
        <v>107</v>
      </c>
      <c r="J276">
        <v>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Y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S276">
        <v>0</v>
      </c>
      <c r="AU276">
        <v>0</v>
      </c>
      <c r="AV276">
        <v>0</v>
      </c>
      <c r="AW276">
        <v>0</v>
      </c>
      <c r="AX276">
        <v>0</v>
      </c>
      <c r="AY276">
        <v>11</v>
      </c>
      <c r="AZ276">
        <v>0</v>
      </c>
      <c r="BA276">
        <v>5</v>
      </c>
      <c r="BB276">
        <v>3</v>
      </c>
      <c r="BC276">
        <v>20</v>
      </c>
      <c r="BD276">
        <v>1</v>
      </c>
      <c r="BE276">
        <v>4</v>
      </c>
      <c r="BF276">
        <v>20</v>
      </c>
      <c r="BG276">
        <v>8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2</v>
      </c>
      <c r="BU276">
        <v>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C276">
        <v>0</v>
      </c>
      <c r="DD276">
        <v>0</v>
      </c>
      <c r="DE276">
        <v>0</v>
      </c>
      <c r="DF276">
        <v>0</v>
      </c>
      <c r="DH276">
        <v>0</v>
      </c>
      <c r="DI276">
        <v>0</v>
      </c>
    </row>
    <row r="277" spans="1:113" ht="15" customHeight="1" x14ac:dyDescent="0.25">
      <c r="A277" t="s">
        <v>2272</v>
      </c>
      <c r="B277" t="s">
        <v>2273</v>
      </c>
      <c r="C277" t="s">
        <v>2274</v>
      </c>
      <c r="D277" t="s">
        <v>1684</v>
      </c>
      <c r="E277" t="s">
        <v>1307</v>
      </c>
      <c r="F277" t="s">
        <v>2275</v>
      </c>
      <c r="G277">
        <v>2025</v>
      </c>
      <c r="H277" t="s">
        <v>1160</v>
      </c>
      <c r="I277" t="s">
        <v>109</v>
      </c>
      <c r="J277">
        <v>16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Y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S277">
        <v>0</v>
      </c>
      <c r="AU277">
        <v>0</v>
      </c>
      <c r="AV277">
        <v>0</v>
      </c>
      <c r="AW277">
        <v>0</v>
      </c>
      <c r="AX277">
        <v>0</v>
      </c>
      <c r="AY277">
        <v>19</v>
      </c>
      <c r="AZ277">
        <v>0</v>
      </c>
      <c r="BA277">
        <v>26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1</v>
      </c>
      <c r="BI277">
        <v>9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1</v>
      </c>
      <c r="BS277">
        <v>0</v>
      </c>
      <c r="BT277">
        <v>2</v>
      </c>
      <c r="BU277">
        <v>20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C277">
        <v>0</v>
      </c>
      <c r="DD277">
        <v>0</v>
      </c>
      <c r="DE277">
        <v>0</v>
      </c>
      <c r="DF277">
        <v>0</v>
      </c>
      <c r="DH277">
        <v>0</v>
      </c>
      <c r="DI277">
        <v>0</v>
      </c>
    </row>
    <row r="278" spans="1:113" ht="15" customHeight="1" x14ac:dyDescent="0.25">
      <c r="A278" t="s">
        <v>2276</v>
      </c>
      <c r="B278" t="s">
        <v>2277</v>
      </c>
      <c r="C278" t="s">
        <v>891</v>
      </c>
      <c r="D278" t="s">
        <v>10</v>
      </c>
      <c r="E278" t="s">
        <v>10</v>
      </c>
      <c r="F278" t="s">
        <v>2278</v>
      </c>
      <c r="G278">
        <v>2025</v>
      </c>
      <c r="H278" t="s">
        <v>1160</v>
      </c>
      <c r="I278" t="s">
        <v>101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Y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H278">
        <v>0</v>
      </c>
      <c r="AI278">
        <v>11</v>
      </c>
      <c r="AJ278">
        <v>21</v>
      </c>
      <c r="AK278">
        <v>101</v>
      </c>
      <c r="AL278">
        <v>0</v>
      </c>
      <c r="AM278">
        <v>0</v>
      </c>
      <c r="AN278">
        <v>0</v>
      </c>
      <c r="AO278">
        <v>276</v>
      </c>
      <c r="AP278">
        <v>14</v>
      </c>
      <c r="AQ278">
        <v>4</v>
      </c>
      <c r="AR278">
        <v>-2.42220817906479</v>
      </c>
      <c r="AS278">
        <v>1</v>
      </c>
      <c r="AT278">
        <v>0.36594202898550698</v>
      </c>
      <c r="AU278">
        <v>4.4491525423728799E-2</v>
      </c>
      <c r="AV278">
        <v>8.1081081081081099E-2</v>
      </c>
      <c r="AW278">
        <v>0.12349404489235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C278">
        <v>0</v>
      </c>
      <c r="DD278">
        <v>0</v>
      </c>
      <c r="DE278">
        <v>0</v>
      </c>
      <c r="DF278">
        <v>0</v>
      </c>
      <c r="DH278">
        <v>12.1</v>
      </c>
      <c r="DI278">
        <v>23.1</v>
      </c>
    </row>
    <row r="279" spans="1:113" ht="15" customHeight="1" x14ac:dyDescent="0.25">
      <c r="A279" t="s">
        <v>2279</v>
      </c>
      <c r="B279" t="s">
        <v>2280</v>
      </c>
      <c r="C279" t="s">
        <v>2281</v>
      </c>
      <c r="D279" t="s">
        <v>1189</v>
      </c>
      <c r="E279" t="s">
        <v>1190</v>
      </c>
      <c r="F279" t="s">
        <v>2282</v>
      </c>
      <c r="G279">
        <v>2025</v>
      </c>
      <c r="H279" t="s">
        <v>1160</v>
      </c>
      <c r="I279" t="s">
        <v>124</v>
      </c>
      <c r="J279">
        <v>14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Y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S279">
        <v>0</v>
      </c>
      <c r="AU279">
        <v>0</v>
      </c>
      <c r="AV279">
        <v>0</v>
      </c>
      <c r="AW279">
        <v>0</v>
      </c>
      <c r="AX279">
        <v>0</v>
      </c>
      <c r="AY279">
        <v>21</v>
      </c>
      <c r="AZ279">
        <v>1</v>
      </c>
      <c r="BA279">
        <v>11</v>
      </c>
      <c r="BB279">
        <v>5</v>
      </c>
      <c r="BC279">
        <v>18</v>
      </c>
      <c r="BD279">
        <v>0</v>
      </c>
      <c r="BE279">
        <v>2</v>
      </c>
      <c r="BF279">
        <v>13</v>
      </c>
      <c r="BG279">
        <v>8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1</v>
      </c>
      <c r="BS279">
        <v>0</v>
      </c>
      <c r="BT279">
        <v>1</v>
      </c>
      <c r="BU279">
        <v>5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C279">
        <v>0</v>
      </c>
      <c r="DD279">
        <v>0</v>
      </c>
      <c r="DE279">
        <v>0</v>
      </c>
      <c r="DF279">
        <v>0</v>
      </c>
      <c r="DH279">
        <v>0</v>
      </c>
      <c r="DI279">
        <v>0</v>
      </c>
    </row>
    <row r="280" spans="1:113" ht="15" customHeight="1" x14ac:dyDescent="0.25">
      <c r="A280" t="s">
        <v>2283</v>
      </c>
      <c r="B280" t="s">
        <v>2284</v>
      </c>
      <c r="C280" t="s">
        <v>2285</v>
      </c>
      <c r="D280" t="s">
        <v>1189</v>
      </c>
      <c r="E280" t="s">
        <v>1190</v>
      </c>
      <c r="F280" t="s">
        <v>2286</v>
      </c>
      <c r="G280">
        <v>2025</v>
      </c>
      <c r="H280" t="s">
        <v>1160</v>
      </c>
      <c r="I280" t="s">
        <v>143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Y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S280">
        <v>0</v>
      </c>
      <c r="AU280">
        <v>0</v>
      </c>
      <c r="AV280">
        <v>0</v>
      </c>
      <c r="AW280">
        <v>0</v>
      </c>
      <c r="AX280">
        <v>0</v>
      </c>
      <c r="AY280">
        <v>2</v>
      </c>
      <c r="AZ280">
        <v>0</v>
      </c>
      <c r="BA280">
        <v>2</v>
      </c>
      <c r="BB280">
        <v>1</v>
      </c>
      <c r="BC280">
        <v>2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C280">
        <v>0</v>
      </c>
      <c r="DD280">
        <v>0</v>
      </c>
      <c r="DE280">
        <v>0</v>
      </c>
      <c r="DF280">
        <v>0</v>
      </c>
      <c r="DH280">
        <v>0</v>
      </c>
      <c r="DI280">
        <v>0</v>
      </c>
    </row>
    <row r="281" spans="1:113" ht="15" customHeight="1" x14ac:dyDescent="0.25">
      <c r="A281" t="s">
        <v>2287</v>
      </c>
      <c r="B281" t="s">
        <v>2288</v>
      </c>
      <c r="C281" t="s">
        <v>2289</v>
      </c>
      <c r="D281" t="s">
        <v>1158</v>
      </c>
      <c r="E281" t="s">
        <v>1158</v>
      </c>
      <c r="F281" t="s">
        <v>2290</v>
      </c>
      <c r="G281">
        <v>2025</v>
      </c>
      <c r="H281" t="s">
        <v>1160</v>
      </c>
      <c r="I281" t="s">
        <v>114</v>
      </c>
      <c r="J281">
        <v>4</v>
      </c>
      <c r="K281">
        <v>7</v>
      </c>
      <c r="L281">
        <v>10</v>
      </c>
      <c r="M281">
        <v>65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119</v>
      </c>
      <c r="U281">
        <v>48</v>
      </c>
      <c r="V281">
        <v>3</v>
      </c>
      <c r="W281">
        <v>-7.1942949246712296E-2</v>
      </c>
      <c r="X281">
        <v>5.9464952349662799</v>
      </c>
      <c r="Y281">
        <v>0</v>
      </c>
      <c r="Z281">
        <v>0.54621848739495804</v>
      </c>
      <c r="AA281">
        <v>10</v>
      </c>
      <c r="AB281">
        <v>-5</v>
      </c>
      <c r="AC281">
        <v>0</v>
      </c>
      <c r="AD281">
        <v>0</v>
      </c>
      <c r="AE281">
        <v>0</v>
      </c>
      <c r="AF281">
        <v>0</v>
      </c>
      <c r="AG281">
        <v>-6.6326534801628396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S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C281">
        <v>0</v>
      </c>
      <c r="DD281">
        <v>0</v>
      </c>
      <c r="DE281">
        <v>0</v>
      </c>
      <c r="DF281">
        <v>0</v>
      </c>
      <c r="DH281">
        <v>2.1</v>
      </c>
      <c r="DI281">
        <v>2.1</v>
      </c>
    </row>
    <row r="282" spans="1:113" ht="15" customHeight="1" x14ac:dyDescent="0.25">
      <c r="A282" t="s">
        <v>2291</v>
      </c>
      <c r="B282" t="s">
        <v>2292</v>
      </c>
      <c r="C282" t="s">
        <v>2293</v>
      </c>
      <c r="D282" t="s">
        <v>1243</v>
      </c>
      <c r="E282" t="s">
        <v>1190</v>
      </c>
      <c r="F282" t="s">
        <v>2294</v>
      </c>
      <c r="G282">
        <v>2025</v>
      </c>
      <c r="H282" t="s">
        <v>1160</v>
      </c>
      <c r="I282" t="s">
        <v>124</v>
      </c>
      <c r="J282">
        <v>17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Y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S282">
        <v>0</v>
      </c>
      <c r="AU282">
        <v>0</v>
      </c>
      <c r="AV282">
        <v>0</v>
      </c>
      <c r="AW282">
        <v>0</v>
      </c>
      <c r="AX282">
        <v>0</v>
      </c>
      <c r="AY282">
        <v>21</v>
      </c>
      <c r="AZ282">
        <v>2</v>
      </c>
      <c r="BA282">
        <v>32</v>
      </c>
      <c r="BB282">
        <v>5</v>
      </c>
      <c r="BC282">
        <v>5</v>
      </c>
      <c r="BD282">
        <v>1</v>
      </c>
      <c r="BE282">
        <v>0.5</v>
      </c>
      <c r="BF282">
        <v>0</v>
      </c>
      <c r="BG282">
        <v>7</v>
      </c>
      <c r="BH282">
        <v>1</v>
      </c>
      <c r="BI282">
        <v>3</v>
      </c>
      <c r="BJ282">
        <v>4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3</v>
      </c>
      <c r="BU282">
        <v>25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C282">
        <v>0</v>
      </c>
      <c r="DD282">
        <v>0</v>
      </c>
      <c r="DE282">
        <v>0</v>
      </c>
      <c r="DF282">
        <v>0</v>
      </c>
      <c r="DH282">
        <v>0</v>
      </c>
      <c r="DI282">
        <v>0</v>
      </c>
    </row>
    <row r="283" spans="1:113" ht="15" customHeight="1" x14ac:dyDescent="0.25">
      <c r="A283" t="s">
        <v>2295</v>
      </c>
      <c r="B283" t="s">
        <v>2296</v>
      </c>
      <c r="C283" t="s">
        <v>1035</v>
      </c>
      <c r="D283" t="s">
        <v>431</v>
      </c>
      <c r="E283" t="s">
        <v>431</v>
      </c>
      <c r="F283" t="s">
        <v>2297</v>
      </c>
      <c r="G283">
        <v>2025</v>
      </c>
      <c r="H283" t="s">
        <v>1160</v>
      </c>
      <c r="I283" t="s">
        <v>143</v>
      </c>
      <c r="J283">
        <v>16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Y283">
        <v>0</v>
      </c>
      <c r="AA283">
        <v>44</v>
      </c>
      <c r="AB283">
        <v>221</v>
      </c>
      <c r="AC283">
        <v>1</v>
      </c>
      <c r="AD283">
        <v>1</v>
      </c>
      <c r="AE283">
        <v>1</v>
      </c>
      <c r="AF283">
        <v>13</v>
      </c>
      <c r="AG283">
        <v>1.44242093524383</v>
      </c>
      <c r="AH283">
        <v>1</v>
      </c>
      <c r="AI283">
        <v>25</v>
      </c>
      <c r="AJ283">
        <v>31</v>
      </c>
      <c r="AK283">
        <v>196</v>
      </c>
      <c r="AL283">
        <v>0</v>
      </c>
      <c r="AM283">
        <v>0</v>
      </c>
      <c r="AN283">
        <v>0</v>
      </c>
      <c r="AO283">
        <v>-23</v>
      </c>
      <c r="AP283">
        <v>222</v>
      </c>
      <c r="AQ283">
        <v>10</v>
      </c>
      <c r="AR283">
        <v>-1.1455514089654799</v>
      </c>
      <c r="AS283">
        <v>0</v>
      </c>
      <c r="AT283">
        <v>-8.5217391304347796</v>
      </c>
      <c r="AU283">
        <v>7.17592592592593E-2</v>
      </c>
      <c r="AV283">
        <v>-5.75287643821911E-3</v>
      </c>
      <c r="AW283">
        <v>0.103611875382136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3</v>
      </c>
      <c r="BU283">
        <v>15</v>
      </c>
      <c r="BV283">
        <v>0</v>
      </c>
      <c r="BW283">
        <v>0</v>
      </c>
      <c r="BX283">
        <v>2</v>
      </c>
      <c r="BY283">
        <v>29</v>
      </c>
      <c r="BZ283">
        <v>0</v>
      </c>
      <c r="CA283">
        <v>0</v>
      </c>
      <c r="CB283">
        <v>0</v>
      </c>
      <c r="CC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C283">
        <v>0</v>
      </c>
      <c r="DD283">
        <v>0</v>
      </c>
      <c r="DE283">
        <v>0</v>
      </c>
      <c r="DF283">
        <v>0</v>
      </c>
      <c r="DH283">
        <v>47.7</v>
      </c>
      <c r="DI283">
        <v>72.7</v>
      </c>
    </row>
    <row r="284" spans="1:113" ht="15" customHeight="1" x14ac:dyDescent="0.25">
      <c r="A284" t="s">
        <v>2298</v>
      </c>
      <c r="B284" t="s">
        <v>2299</v>
      </c>
      <c r="C284" t="s">
        <v>2300</v>
      </c>
      <c r="D284" t="s">
        <v>1189</v>
      </c>
      <c r="E284" t="s">
        <v>1190</v>
      </c>
      <c r="F284" t="s">
        <v>2301</v>
      </c>
      <c r="G284">
        <v>2025</v>
      </c>
      <c r="H284" t="s">
        <v>1160</v>
      </c>
      <c r="I284" t="s">
        <v>111</v>
      </c>
      <c r="J284">
        <v>13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Y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15</v>
      </c>
      <c r="AZ284">
        <v>0</v>
      </c>
      <c r="BA284">
        <v>10</v>
      </c>
      <c r="BB284">
        <v>9</v>
      </c>
      <c r="BC284">
        <v>63</v>
      </c>
      <c r="BD284">
        <v>0</v>
      </c>
      <c r="BE284">
        <v>11</v>
      </c>
      <c r="BF284">
        <v>71</v>
      </c>
      <c r="BG284">
        <v>20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C284">
        <v>0</v>
      </c>
      <c r="DD284">
        <v>0</v>
      </c>
      <c r="DE284">
        <v>0</v>
      </c>
      <c r="DF284">
        <v>0</v>
      </c>
      <c r="DH284">
        <v>0</v>
      </c>
      <c r="DI284">
        <v>0</v>
      </c>
    </row>
    <row r="285" spans="1:113" ht="15" customHeight="1" x14ac:dyDescent="0.25">
      <c r="A285" t="s">
        <v>2302</v>
      </c>
      <c r="B285" t="s">
        <v>2303</v>
      </c>
      <c r="C285" t="s">
        <v>2304</v>
      </c>
      <c r="D285" t="s">
        <v>1214</v>
      </c>
      <c r="E285" t="s">
        <v>1169</v>
      </c>
      <c r="F285" t="s">
        <v>2305</v>
      </c>
      <c r="G285">
        <v>2025</v>
      </c>
      <c r="H285" t="s">
        <v>1160</v>
      </c>
      <c r="I285" t="s">
        <v>103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Y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S285">
        <v>0</v>
      </c>
      <c r="AU285">
        <v>0</v>
      </c>
      <c r="AV285">
        <v>0</v>
      </c>
      <c r="AW285">
        <v>0</v>
      </c>
      <c r="AX285">
        <v>0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C285">
        <v>0</v>
      </c>
      <c r="DD285">
        <v>0</v>
      </c>
      <c r="DE285">
        <v>0</v>
      </c>
      <c r="DF285">
        <v>0</v>
      </c>
      <c r="DH285">
        <v>0</v>
      </c>
      <c r="DI285">
        <v>0</v>
      </c>
    </row>
    <row r="286" spans="1:113" ht="15" customHeight="1" x14ac:dyDescent="0.25">
      <c r="A286" t="s">
        <v>2306</v>
      </c>
      <c r="B286" t="s">
        <v>2307</v>
      </c>
      <c r="C286" t="s">
        <v>2308</v>
      </c>
      <c r="D286" t="s">
        <v>10</v>
      </c>
      <c r="E286" t="s">
        <v>10</v>
      </c>
      <c r="F286" t="s">
        <v>2309</v>
      </c>
      <c r="G286">
        <v>2025</v>
      </c>
      <c r="H286" t="s">
        <v>1160</v>
      </c>
      <c r="I286" t="s">
        <v>143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Y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S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2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C286">
        <v>0</v>
      </c>
      <c r="DD286">
        <v>0</v>
      </c>
      <c r="DE286">
        <v>0</v>
      </c>
      <c r="DF286">
        <v>0</v>
      </c>
      <c r="DH286">
        <v>0</v>
      </c>
      <c r="DI286">
        <v>0</v>
      </c>
    </row>
    <row r="287" spans="1:113" ht="15" customHeight="1" x14ac:dyDescent="0.25">
      <c r="A287" t="s">
        <v>2310</v>
      </c>
      <c r="B287" t="s">
        <v>2311</v>
      </c>
      <c r="C287" t="s">
        <v>2312</v>
      </c>
      <c r="D287" t="s">
        <v>1214</v>
      </c>
      <c r="E287" t="s">
        <v>1169</v>
      </c>
      <c r="F287" t="s">
        <v>2313</v>
      </c>
      <c r="G287">
        <v>2025</v>
      </c>
      <c r="H287" t="s">
        <v>1160</v>
      </c>
      <c r="I287" t="s">
        <v>104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Y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S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C287">
        <v>0</v>
      </c>
      <c r="DD287">
        <v>0</v>
      </c>
      <c r="DE287">
        <v>0</v>
      </c>
      <c r="DF287">
        <v>0</v>
      </c>
      <c r="DH287">
        <v>0</v>
      </c>
      <c r="DI287">
        <v>0</v>
      </c>
    </row>
    <row r="288" spans="1:113" ht="15" customHeight="1" x14ac:dyDescent="0.25">
      <c r="A288" t="s">
        <v>2314</v>
      </c>
      <c r="B288" t="s">
        <v>2315</v>
      </c>
      <c r="C288" t="s">
        <v>2316</v>
      </c>
      <c r="D288" t="s">
        <v>439</v>
      </c>
      <c r="E288" t="s">
        <v>439</v>
      </c>
      <c r="F288" t="s">
        <v>2317</v>
      </c>
      <c r="G288">
        <v>2025</v>
      </c>
      <c r="H288" t="s">
        <v>1160</v>
      </c>
      <c r="I288" t="s">
        <v>111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Y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H288">
        <v>0</v>
      </c>
      <c r="AI288">
        <v>2</v>
      </c>
      <c r="AJ288">
        <v>5</v>
      </c>
      <c r="AK288">
        <v>7</v>
      </c>
      <c r="AL288">
        <v>0</v>
      </c>
      <c r="AM288">
        <v>0</v>
      </c>
      <c r="AN288">
        <v>0</v>
      </c>
      <c r="AO288">
        <v>1</v>
      </c>
      <c r="AP288">
        <v>7</v>
      </c>
      <c r="AQ288">
        <v>0</v>
      </c>
      <c r="AR288">
        <v>-2.5642958066309798</v>
      </c>
      <c r="AS288">
        <v>0</v>
      </c>
      <c r="AT288">
        <v>7</v>
      </c>
      <c r="AU288">
        <v>9.0909090909090905E-3</v>
      </c>
      <c r="AV288">
        <v>2.6795284030010702E-4</v>
      </c>
      <c r="AW288">
        <v>1.38239306245737E-2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C288">
        <v>0</v>
      </c>
      <c r="DD288">
        <v>0</v>
      </c>
      <c r="DE288">
        <v>0</v>
      </c>
      <c r="DF288">
        <v>0</v>
      </c>
      <c r="DH288">
        <v>0.7</v>
      </c>
      <c r="DI288">
        <v>2.7</v>
      </c>
    </row>
    <row r="289" spans="1:113" ht="15" customHeight="1" x14ac:dyDescent="0.25">
      <c r="A289" t="s">
        <v>2318</v>
      </c>
      <c r="B289" t="s">
        <v>2319</v>
      </c>
      <c r="C289" t="s">
        <v>2320</v>
      </c>
      <c r="D289" t="s">
        <v>1168</v>
      </c>
      <c r="E289" t="s">
        <v>1169</v>
      </c>
      <c r="F289" t="s">
        <v>2321</v>
      </c>
      <c r="G289">
        <v>2025</v>
      </c>
      <c r="H289" t="s">
        <v>1160</v>
      </c>
      <c r="I289" t="s">
        <v>99</v>
      </c>
      <c r="J289">
        <v>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Y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S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11</v>
      </c>
      <c r="CA289">
        <v>12</v>
      </c>
      <c r="CB289">
        <v>1</v>
      </c>
      <c r="CC289">
        <v>0</v>
      </c>
      <c r="CD289">
        <v>53</v>
      </c>
      <c r="CE289">
        <v>0.91666666666666696</v>
      </c>
      <c r="CF289">
        <v>0</v>
      </c>
      <c r="CG289">
        <v>1</v>
      </c>
      <c r="CH289">
        <v>3</v>
      </c>
      <c r="CI289">
        <v>5</v>
      </c>
      <c r="CJ289">
        <v>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 t="s">
        <v>2322</v>
      </c>
      <c r="CS289">
        <v>53</v>
      </c>
      <c r="CU289">
        <v>445</v>
      </c>
      <c r="CV289">
        <v>53</v>
      </c>
      <c r="CW289">
        <v>0</v>
      </c>
      <c r="CX289">
        <v>20</v>
      </c>
      <c r="CY289">
        <v>25</v>
      </c>
      <c r="CZ289">
        <v>4</v>
      </c>
      <c r="DA289">
        <v>1</v>
      </c>
      <c r="DB289">
        <v>0.8</v>
      </c>
      <c r="DC289">
        <v>0</v>
      </c>
      <c r="DD289">
        <v>0</v>
      </c>
      <c r="DE289">
        <v>0</v>
      </c>
      <c r="DF289">
        <v>0</v>
      </c>
      <c r="DH289">
        <v>0</v>
      </c>
      <c r="DI289">
        <v>0</v>
      </c>
    </row>
    <row r="290" spans="1:113" ht="15" customHeight="1" x14ac:dyDescent="0.25">
      <c r="A290" t="s">
        <v>2323</v>
      </c>
      <c r="B290" t="s">
        <v>2324</v>
      </c>
      <c r="C290" t="s">
        <v>2325</v>
      </c>
      <c r="D290" t="s">
        <v>1307</v>
      </c>
      <c r="E290" t="s">
        <v>1307</v>
      </c>
      <c r="F290" t="s">
        <v>2326</v>
      </c>
      <c r="G290">
        <v>2025</v>
      </c>
      <c r="H290" t="s">
        <v>1160</v>
      </c>
      <c r="I290" t="s">
        <v>124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Y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0</v>
      </c>
      <c r="BA290">
        <v>2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10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C290">
        <v>0</v>
      </c>
      <c r="DD290">
        <v>0</v>
      </c>
      <c r="DE290">
        <v>0</v>
      </c>
      <c r="DF290">
        <v>0</v>
      </c>
      <c r="DH290">
        <v>0</v>
      </c>
      <c r="DI290">
        <v>0</v>
      </c>
    </row>
    <row r="291" spans="1:113" ht="15" customHeight="1" x14ac:dyDescent="0.25">
      <c r="A291" t="s">
        <v>2327</v>
      </c>
      <c r="B291" t="s">
        <v>2328</v>
      </c>
      <c r="C291" t="s">
        <v>2329</v>
      </c>
      <c r="D291" t="s">
        <v>1297</v>
      </c>
      <c r="E291" t="s">
        <v>1220</v>
      </c>
      <c r="F291" t="s">
        <v>2330</v>
      </c>
      <c r="G291">
        <v>2025</v>
      </c>
      <c r="H291" t="s">
        <v>1160</v>
      </c>
      <c r="I291" t="s">
        <v>139</v>
      </c>
      <c r="J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Y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4</v>
      </c>
      <c r="BU291">
        <v>35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C291">
        <v>0</v>
      </c>
      <c r="DD291">
        <v>0</v>
      </c>
      <c r="DE291">
        <v>0</v>
      </c>
      <c r="DF291">
        <v>0</v>
      </c>
      <c r="DH291">
        <v>0</v>
      </c>
      <c r="DI291">
        <v>0</v>
      </c>
    </row>
    <row r="292" spans="1:113" ht="15" customHeight="1" x14ac:dyDescent="0.25">
      <c r="A292" t="s">
        <v>2331</v>
      </c>
      <c r="B292" t="s">
        <v>2332</v>
      </c>
      <c r="C292" t="s">
        <v>2333</v>
      </c>
      <c r="D292" t="s">
        <v>1655</v>
      </c>
      <c r="E292" t="s">
        <v>1220</v>
      </c>
      <c r="F292" t="s">
        <v>2334</v>
      </c>
      <c r="G292">
        <v>2025</v>
      </c>
      <c r="H292" t="s">
        <v>1160</v>
      </c>
      <c r="I292" t="s">
        <v>1200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Y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3</v>
      </c>
      <c r="BU292">
        <v>25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C292">
        <v>0</v>
      </c>
      <c r="DD292">
        <v>0</v>
      </c>
      <c r="DE292">
        <v>0</v>
      </c>
      <c r="DF292">
        <v>0</v>
      </c>
      <c r="DH292">
        <v>0</v>
      </c>
      <c r="DI292">
        <v>0</v>
      </c>
    </row>
    <row r="293" spans="1:113" ht="15" customHeight="1" x14ac:dyDescent="0.25">
      <c r="A293" t="s">
        <v>2335</v>
      </c>
      <c r="B293" t="s">
        <v>2336</v>
      </c>
      <c r="C293" t="s">
        <v>2337</v>
      </c>
      <c r="D293" t="s">
        <v>1307</v>
      </c>
      <c r="E293" t="s">
        <v>1307</v>
      </c>
      <c r="F293" t="s">
        <v>2338</v>
      </c>
      <c r="G293">
        <v>2025</v>
      </c>
      <c r="H293" t="s">
        <v>1160</v>
      </c>
      <c r="I293" t="s">
        <v>126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Y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S293">
        <v>0</v>
      </c>
      <c r="AU293">
        <v>0</v>
      </c>
      <c r="AV293">
        <v>0</v>
      </c>
      <c r="AW293">
        <v>0</v>
      </c>
      <c r="AX293">
        <v>0</v>
      </c>
      <c r="AY293">
        <v>2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C293">
        <v>0</v>
      </c>
      <c r="DD293">
        <v>0</v>
      </c>
      <c r="DE293">
        <v>0</v>
      </c>
      <c r="DF293">
        <v>0</v>
      </c>
      <c r="DH293">
        <v>0</v>
      </c>
      <c r="DI293">
        <v>0</v>
      </c>
    </row>
    <row r="294" spans="1:113" ht="15" customHeight="1" x14ac:dyDescent="0.25">
      <c r="A294" t="s">
        <v>2339</v>
      </c>
      <c r="B294" t="s">
        <v>2340</v>
      </c>
      <c r="C294" t="s">
        <v>2341</v>
      </c>
      <c r="D294" t="s">
        <v>1307</v>
      </c>
      <c r="E294" t="s">
        <v>1307</v>
      </c>
      <c r="F294" t="s">
        <v>2342</v>
      </c>
      <c r="G294">
        <v>2025</v>
      </c>
      <c r="H294" t="s">
        <v>1160</v>
      </c>
      <c r="I294" t="s">
        <v>124</v>
      </c>
      <c r="J294">
        <v>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Y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S294">
        <v>0</v>
      </c>
      <c r="AU294">
        <v>0</v>
      </c>
      <c r="AV294">
        <v>0</v>
      </c>
      <c r="AW294">
        <v>0</v>
      </c>
      <c r="AX294">
        <v>0</v>
      </c>
      <c r="AY294">
        <v>14</v>
      </c>
      <c r="AZ294">
        <v>0</v>
      </c>
      <c r="BA294">
        <v>3</v>
      </c>
      <c r="BB294">
        <v>1</v>
      </c>
      <c r="BC294">
        <v>6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15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C294">
        <v>0</v>
      </c>
      <c r="DD294">
        <v>0</v>
      </c>
      <c r="DE294">
        <v>0</v>
      </c>
      <c r="DF294">
        <v>0</v>
      </c>
      <c r="DH294">
        <v>0</v>
      </c>
      <c r="DI294">
        <v>0</v>
      </c>
    </row>
    <row r="295" spans="1:113" ht="15" customHeight="1" x14ac:dyDescent="0.25">
      <c r="A295" t="s">
        <v>2343</v>
      </c>
      <c r="B295" t="s">
        <v>2344</v>
      </c>
      <c r="C295" t="s">
        <v>2345</v>
      </c>
      <c r="D295" t="s">
        <v>1219</v>
      </c>
      <c r="E295" t="s">
        <v>1220</v>
      </c>
      <c r="F295" t="s">
        <v>2346</v>
      </c>
      <c r="G295">
        <v>2025</v>
      </c>
      <c r="H295" t="s">
        <v>1160</v>
      </c>
      <c r="I295" t="s">
        <v>137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Y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S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5</v>
      </c>
      <c r="BU295">
        <v>30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C295">
        <v>0</v>
      </c>
      <c r="DD295">
        <v>0</v>
      </c>
      <c r="DE295">
        <v>0</v>
      </c>
      <c r="DF295">
        <v>0</v>
      </c>
      <c r="DH295">
        <v>0</v>
      </c>
      <c r="DI295">
        <v>0</v>
      </c>
    </row>
    <row r="296" spans="1:113" ht="15" customHeight="1" x14ac:dyDescent="0.25">
      <c r="A296" t="s">
        <v>2347</v>
      </c>
      <c r="B296" t="s">
        <v>2348</v>
      </c>
      <c r="C296" t="s">
        <v>2349</v>
      </c>
      <c r="D296" t="s">
        <v>439</v>
      </c>
      <c r="E296" t="s">
        <v>439</v>
      </c>
      <c r="F296" t="s">
        <v>2350</v>
      </c>
      <c r="G296">
        <v>2025</v>
      </c>
      <c r="H296" t="s">
        <v>1160</v>
      </c>
      <c r="I296" t="s">
        <v>131</v>
      </c>
      <c r="J296">
        <v>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Y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H296">
        <v>0</v>
      </c>
      <c r="AI296">
        <v>11</v>
      </c>
      <c r="AJ296">
        <v>16</v>
      </c>
      <c r="AK296">
        <v>97</v>
      </c>
      <c r="AL296">
        <v>0</v>
      </c>
      <c r="AM296">
        <v>0</v>
      </c>
      <c r="AN296">
        <v>0</v>
      </c>
      <c r="AO296">
        <v>72</v>
      </c>
      <c r="AP296">
        <v>66</v>
      </c>
      <c r="AQ296">
        <v>5</v>
      </c>
      <c r="AR296">
        <v>2.8003249204092202</v>
      </c>
      <c r="AS296">
        <v>0</v>
      </c>
      <c r="AT296">
        <v>1.3472222222222201</v>
      </c>
      <c r="AU296">
        <v>2.9411764705882401E-2</v>
      </c>
      <c r="AV296">
        <v>1.5838099428068599E-2</v>
      </c>
      <c r="AW296">
        <v>5.52043166584716E-2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10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C296">
        <v>0</v>
      </c>
      <c r="DD296">
        <v>0</v>
      </c>
      <c r="DE296">
        <v>0</v>
      </c>
      <c r="DF296">
        <v>0</v>
      </c>
      <c r="DH296">
        <v>9.6999999999999993</v>
      </c>
      <c r="DI296">
        <v>20.7</v>
      </c>
    </row>
    <row r="297" spans="1:113" ht="15" customHeight="1" x14ac:dyDescent="0.25">
      <c r="A297" t="s">
        <v>2351</v>
      </c>
      <c r="B297" t="s">
        <v>2352</v>
      </c>
      <c r="C297" t="s">
        <v>2353</v>
      </c>
      <c r="D297" t="s">
        <v>1209</v>
      </c>
      <c r="E297" t="s">
        <v>1169</v>
      </c>
      <c r="F297" t="s">
        <v>2354</v>
      </c>
      <c r="G297">
        <v>2025</v>
      </c>
      <c r="H297" t="s">
        <v>1160</v>
      </c>
      <c r="I297" t="s">
        <v>140</v>
      </c>
      <c r="J297">
        <v>16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Y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S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C297">
        <v>0</v>
      </c>
      <c r="DD297">
        <v>0</v>
      </c>
      <c r="DE297">
        <v>0</v>
      </c>
      <c r="DF297">
        <v>0</v>
      </c>
      <c r="DH297">
        <v>0</v>
      </c>
      <c r="DI297">
        <v>0</v>
      </c>
    </row>
    <row r="298" spans="1:113" ht="15" customHeight="1" x14ac:dyDescent="0.25">
      <c r="A298" t="s">
        <v>2355</v>
      </c>
      <c r="B298" t="s">
        <v>2356</v>
      </c>
      <c r="C298" t="s">
        <v>2357</v>
      </c>
      <c r="D298" t="s">
        <v>1168</v>
      </c>
      <c r="E298" t="s">
        <v>1169</v>
      </c>
      <c r="F298" t="s">
        <v>2358</v>
      </c>
      <c r="G298">
        <v>2025</v>
      </c>
      <c r="H298" t="s">
        <v>1160</v>
      </c>
      <c r="I298" t="s">
        <v>89</v>
      </c>
      <c r="J298">
        <v>17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Y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2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22</v>
      </c>
      <c r="CA298">
        <v>27</v>
      </c>
      <c r="CB298">
        <v>4</v>
      </c>
      <c r="CC298">
        <v>1</v>
      </c>
      <c r="CD298">
        <v>60</v>
      </c>
      <c r="CE298">
        <v>0.81481481481481499</v>
      </c>
      <c r="CF298">
        <v>0</v>
      </c>
      <c r="CG298">
        <v>5</v>
      </c>
      <c r="CH298">
        <v>6</v>
      </c>
      <c r="CI298">
        <v>6</v>
      </c>
      <c r="CJ298">
        <v>4</v>
      </c>
      <c r="CK298">
        <v>1</v>
      </c>
      <c r="CL298">
        <v>0</v>
      </c>
      <c r="CM298">
        <v>0</v>
      </c>
      <c r="CN298">
        <v>0</v>
      </c>
      <c r="CO298">
        <v>2</v>
      </c>
      <c r="CP298">
        <v>2</v>
      </c>
      <c r="CQ298">
        <v>0</v>
      </c>
      <c r="CR298" t="s">
        <v>2359</v>
      </c>
      <c r="CS298" t="s">
        <v>2360</v>
      </c>
      <c r="CT298">
        <v>54</v>
      </c>
      <c r="CU298">
        <v>869</v>
      </c>
      <c r="CV298">
        <v>211</v>
      </c>
      <c r="CW298">
        <v>54</v>
      </c>
      <c r="CX298">
        <v>21</v>
      </c>
      <c r="CY298">
        <v>22</v>
      </c>
      <c r="CZ298">
        <v>1</v>
      </c>
      <c r="DA298">
        <v>0</v>
      </c>
      <c r="DB298">
        <v>0.95454545454545503</v>
      </c>
      <c r="DC298">
        <v>1</v>
      </c>
      <c r="DD298">
        <v>2</v>
      </c>
      <c r="DE298">
        <v>0</v>
      </c>
      <c r="DF298">
        <v>1</v>
      </c>
      <c r="DG298" t="s">
        <v>2361</v>
      </c>
      <c r="DH298">
        <v>0</v>
      </c>
      <c r="DI298">
        <v>0</v>
      </c>
    </row>
    <row r="299" spans="1:113" ht="15" customHeight="1" x14ac:dyDescent="0.25">
      <c r="A299" t="s">
        <v>2362</v>
      </c>
      <c r="B299" t="s">
        <v>2363</v>
      </c>
      <c r="C299" t="s">
        <v>2364</v>
      </c>
      <c r="D299" t="s">
        <v>1209</v>
      </c>
      <c r="E299" t="s">
        <v>1169</v>
      </c>
      <c r="F299" t="s">
        <v>2365</v>
      </c>
      <c r="G299">
        <v>2025</v>
      </c>
      <c r="H299" t="s">
        <v>1160</v>
      </c>
      <c r="I299" t="s">
        <v>131</v>
      </c>
      <c r="J299">
        <v>16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Y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C299">
        <v>0</v>
      </c>
      <c r="DD299">
        <v>0</v>
      </c>
      <c r="DE299">
        <v>0</v>
      </c>
      <c r="DF299">
        <v>0</v>
      </c>
      <c r="DH299">
        <v>0</v>
      </c>
      <c r="DI299">
        <v>0</v>
      </c>
    </row>
    <row r="300" spans="1:113" ht="15" customHeight="1" x14ac:dyDescent="0.25">
      <c r="A300" t="s">
        <v>2366</v>
      </c>
      <c r="B300" t="s">
        <v>2367</v>
      </c>
      <c r="C300" t="s">
        <v>2368</v>
      </c>
      <c r="D300" t="s">
        <v>1189</v>
      </c>
      <c r="E300" t="s">
        <v>1190</v>
      </c>
      <c r="F300" t="s">
        <v>2369</v>
      </c>
      <c r="G300">
        <v>2025</v>
      </c>
      <c r="H300" t="s">
        <v>1160</v>
      </c>
      <c r="I300" t="s">
        <v>143</v>
      </c>
      <c r="J300">
        <v>17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Y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Y300">
        <v>17</v>
      </c>
      <c r="AZ300">
        <v>0</v>
      </c>
      <c r="BA300">
        <v>22</v>
      </c>
      <c r="BB300">
        <v>3</v>
      </c>
      <c r="BC300">
        <v>15</v>
      </c>
      <c r="BD300">
        <v>1</v>
      </c>
      <c r="BE300">
        <v>5.5</v>
      </c>
      <c r="BF300">
        <v>31.5</v>
      </c>
      <c r="BG300">
        <v>18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</v>
      </c>
      <c r="BU300">
        <v>24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C300">
        <v>0</v>
      </c>
      <c r="DD300">
        <v>0</v>
      </c>
      <c r="DE300">
        <v>0</v>
      </c>
      <c r="DF300">
        <v>0</v>
      </c>
      <c r="DH300">
        <v>0</v>
      </c>
      <c r="DI300">
        <v>0</v>
      </c>
    </row>
    <row r="301" spans="1:113" ht="15" customHeight="1" x14ac:dyDescent="0.25">
      <c r="A301" t="s">
        <v>2370</v>
      </c>
      <c r="B301" t="s">
        <v>2371</v>
      </c>
      <c r="C301" t="s">
        <v>2372</v>
      </c>
      <c r="D301" t="s">
        <v>1168</v>
      </c>
      <c r="E301" t="s">
        <v>1169</v>
      </c>
      <c r="F301" t="s">
        <v>2373</v>
      </c>
      <c r="G301">
        <v>2025</v>
      </c>
      <c r="H301" t="s">
        <v>1160</v>
      </c>
      <c r="I301" t="s">
        <v>141</v>
      </c>
      <c r="J301">
        <v>14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Y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28</v>
      </c>
      <c r="CA301">
        <v>29</v>
      </c>
      <c r="CB301">
        <v>1</v>
      </c>
      <c r="CC301">
        <v>0</v>
      </c>
      <c r="CD301">
        <v>59</v>
      </c>
      <c r="CE301">
        <v>0.96551724137931005</v>
      </c>
      <c r="CF301">
        <v>0</v>
      </c>
      <c r="CG301">
        <v>5</v>
      </c>
      <c r="CH301">
        <v>7</v>
      </c>
      <c r="CI301">
        <v>10</v>
      </c>
      <c r="CJ301">
        <v>6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 t="s">
        <v>2374</v>
      </c>
      <c r="CS301">
        <v>64</v>
      </c>
      <c r="CU301">
        <v>1145</v>
      </c>
      <c r="CV301">
        <v>64</v>
      </c>
      <c r="CW301">
        <v>0</v>
      </c>
      <c r="CX301">
        <v>34</v>
      </c>
      <c r="CY301">
        <v>38</v>
      </c>
      <c r="CZ301">
        <v>2</v>
      </c>
      <c r="DA301">
        <v>2</v>
      </c>
      <c r="DB301">
        <v>0.89473684210526305</v>
      </c>
      <c r="DC301">
        <v>2</v>
      </c>
      <c r="DD301">
        <v>2</v>
      </c>
      <c r="DE301">
        <v>0</v>
      </c>
      <c r="DF301">
        <v>0</v>
      </c>
      <c r="DG301" t="s">
        <v>2375</v>
      </c>
      <c r="DH301">
        <v>0</v>
      </c>
      <c r="DI301">
        <v>0</v>
      </c>
    </row>
    <row r="302" spans="1:113" ht="15" customHeight="1" x14ac:dyDescent="0.25">
      <c r="A302" t="s">
        <v>2376</v>
      </c>
      <c r="B302" t="s">
        <v>2377</v>
      </c>
      <c r="C302" t="s">
        <v>2378</v>
      </c>
      <c r="D302" t="s">
        <v>1214</v>
      </c>
      <c r="E302" t="s">
        <v>1169</v>
      </c>
      <c r="F302" t="s">
        <v>2379</v>
      </c>
      <c r="G302">
        <v>2025</v>
      </c>
      <c r="H302" t="s">
        <v>1160</v>
      </c>
      <c r="I302" t="s">
        <v>112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Y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S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C302">
        <v>0</v>
      </c>
      <c r="DD302">
        <v>0</v>
      </c>
      <c r="DE302">
        <v>0</v>
      </c>
      <c r="DF302">
        <v>0</v>
      </c>
      <c r="DH302">
        <v>0</v>
      </c>
      <c r="DI302">
        <v>0</v>
      </c>
    </row>
    <row r="303" spans="1:113" ht="15" customHeight="1" x14ac:dyDescent="0.25">
      <c r="A303" t="s">
        <v>2380</v>
      </c>
      <c r="B303" t="s">
        <v>2381</v>
      </c>
      <c r="C303" t="s">
        <v>2382</v>
      </c>
      <c r="D303" t="s">
        <v>1350</v>
      </c>
      <c r="E303" t="s">
        <v>1307</v>
      </c>
      <c r="F303" t="s">
        <v>2383</v>
      </c>
      <c r="G303">
        <v>2025</v>
      </c>
      <c r="H303" t="s">
        <v>1160</v>
      </c>
      <c r="I303" t="s">
        <v>1200</v>
      </c>
      <c r="J303">
        <v>11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Y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S303">
        <v>0</v>
      </c>
      <c r="AU303">
        <v>0</v>
      </c>
      <c r="AV303">
        <v>0</v>
      </c>
      <c r="AW303">
        <v>0</v>
      </c>
      <c r="AX303">
        <v>0</v>
      </c>
      <c r="AY303">
        <v>17</v>
      </c>
      <c r="AZ303">
        <v>1</v>
      </c>
      <c r="BA303">
        <v>7</v>
      </c>
      <c r="BB303">
        <v>1</v>
      </c>
      <c r="BC303">
        <v>3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18</v>
      </c>
      <c r="BJ303">
        <v>8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2</v>
      </c>
      <c r="BU303">
        <v>21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C303">
        <v>0</v>
      </c>
      <c r="DD303">
        <v>0</v>
      </c>
      <c r="DE303">
        <v>0</v>
      </c>
      <c r="DF303">
        <v>0</v>
      </c>
      <c r="DH303">
        <v>0</v>
      </c>
      <c r="DI303">
        <v>0</v>
      </c>
    </row>
    <row r="304" spans="1:113" ht="15" customHeight="1" x14ac:dyDescent="0.25">
      <c r="A304" t="s">
        <v>2384</v>
      </c>
      <c r="B304" t="s">
        <v>2385</v>
      </c>
      <c r="C304" t="s">
        <v>2386</v>
      </c>
      <c r="D304" t="s">
        <v>1243</v>
      </c>
      <c r="E304" t="s">
        <v>1190</v>
      </c>
      <c r="F304" t="s">
        <v>2387</v>
      </c>
      <c r="G304">
        <v>2025</v>
      </c>
      <c r="H304" t="s">
        <v>1160</v>
      </c>
      <c r="I304" t="s">
        <v>1200</v>
      </c>
      <c r="J304">
        <v>16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Y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>
        <v>0</v>
      </c>
      <c r="AU304">
        <v>0</v>
      </c>
      <c r="AV304">
        <v>0</v>
      </c>
      <c r="AW304">
        <v>0</v>
      </c>
      <c r="AX304">
        <v>0</v>
      </c>
      <c r="AY304">
        <v>17</v>
      </c>
      <c r="AZ304">
        <v>2</v>
      </c>
      <c r="BA304">
        <v>28</v>
      </c>
      <c r="BB304">
        <v>4</v>
      </c>
      <c r="BC304">
        <v>18</v>
      </c>
      <c r="BD304">
        <v>0</v>
      </c>
      <c r="BE304">
        <v>2</v>
      </c>
      <c r="BF304">
        <v>16</v>
      </c>
      <c r="BG304">
        <v>5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C304">
        <v>0</v>
      </c>
      <c r="DD304">
        <v>0</v>
      </c>
      <c r="DE304">
        <v>0</v>
      </c>
      <c r="DF304">
        <v>0</v>
      </c>
      <c r="DH304">
        <v>0</v>
      </c>
      <c r="DI304">
        <v>0</v>
      </c>
    </row>
    <row r="305" spans="1:113" ht="15" customHeight="1" x14ac:dyDescent="0.25">
      <c r="A305" t="s">
        <v>2388</v>
      </c>
      <c r="B305" t="s">
        <v>2389</v>
      </c>
      <c r="C305" t="s">
        <v>2390</v>
      </c>
      <c r="D305" t="s">
        <v>1307</v>
      </c>
      <c r="E305" t="s">
        <v>1307</v>
      </c>
      <c r="F305" t="s">
        <v>2391</v>
      </c>
      <c r="G305">
        <v>2025</v>
      </c>
      <c r="H305" t="s">
        <v>1160</v>
      </c>
      <c r="I305" t="s">
        <v>133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Y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>
        <v>0</v>
      </c>
      <c r="AU305">
        <v>0</v>
      </c>
      <c r="AV305">
        <v>0</v>
      </c>
      <c r="AW305">
        <v>0</v>
      </c>
      <c r="AX305">
        <v>0</v>
      </c>
      <c r="AY305">
        <v>4</v>
      </c>
      <c r="AZ305">
        <v>0</v>
      </c>
      <c r="BA305">
        <v>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C305">
        <v>0</v>
      </c>
      <c r="DD305">
        <v>0</v>
      </c>
      <c r="DE305">
        <v>0</v>
      </c>
      <c r="DF305">
        <v>0</v>
      </c>
      <c r="DH305">
        <v>0</v>
      </c>
      <c r="DI305">
        <v>0</v>
      </c>
    </row>
    <row r="306" spans="1:113" ht="15" customHeight="1" x14ac:dyDescent="0.25">
      <c r="A306" t="s">
        <v>2392</v>
      </c>
      <c r="B306" t="s">
        <v>2393</v>
      </c>
      <c r="C306" t="s">
        <v>2394</v>
      </c>
      <c r="D306" t="s">
        <v>1243</v>
      </c>
      <c r="E306" t="s">
        <v>1190</v>
      </c>
      <c r="F306" t="s">
        <v>2395</v>
      </c>
      <c r="G306">
        <v>2025</v>
      </c>
      <c r="H306" t="s">
        <v>1160</v>
      </c>
      <c r="I306" t="s">
        <v>103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Y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4</v>
      </c>
      <c r="AZ306">
        <v>0</v>
      </c>
      <c r="BA306">
        <v>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C306">
        <v>0</v>
      </c>
      <c r="DD306">
        <v>0</v>
      </c>
      <c r="DE306">
        <v>0</v>
      </c>
      <c r="DF306">
        <v>0</v>
      </c>
      <c r="DH306">
        <v>0</v>
      </c>
      <c r="DI306">
        <v>0</v>
      </c>
    </row>
    <row r="307" spans="1:113" ht="15" customHeight="1" x14ac:dyDescent="0.25">
      <c r="A307" t="s">
        <v>2396</v>
      </c>
      <c r="B307" t="s">
        <v>2397</v>
      </c>
      <c r="C307" t="s">
        <v>2398</v>
      </c>
      <c r="D307" t="s">
        <v>1655</v>
      </c>
      <c r="E307" t="s">
        <v>1220</v>
      </c>
      <c r="F307" t="s">
        <v>2399</v>
      </c>
      <c r="G307">
        <v>2025</v>
      </c>
      <c r="H307" t="s">
        <v>1160</v>
      </c>
      <c r="I307" t="s">
        <v>96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Y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1</v>
      </c>
      <c r="BU307">
        <v>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C307">
        <v>0</v>
      </c>
      <c r="DD307">
        <v>0</v>
      </c>
      <c r="DE307">
        <v>0</v>
      </c>
      <c r="DF307">
        <v>0</v>
      </c>
      <c r="DH307">
        <v>0</v>
      </c>
      <c r="DI307">
        <v>0</v>
      </c>
    </row>
    <row r="308" spans="1:113" ht="15" customHeight="1" x14ac:dyDescent="0.25">
      <c r="A308" t="s">
        <v>2400</v>
      </c>
      <c r="B308" t="s">
        <v>2401</v>
      </c>
      <c r="C308" t="s">
        <v>2402</v>
      </c>
      <c r="D308" t="s">
        <v>1243</v>
      </c>
      <c r="E308" t="s">
        <v>1190</v>
      </c>
      <c r="F308" t="s">
        <v>2403</v>
      </c>
      <c r="G308">
        <v>2025</v>
      </c>
      <c r="H308" t="s">
        <v>1160</v>
      </c>
      <c r="I308" t="s">
        <v>143</v>
      </c>
      <c r="J308">
        <v>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Y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Y308">
        <v>5</v>
      </c>
      <c r="AZ308">
        <v>0</v>
      </c>
      <c r="BA308">
        <v>16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C308">
        <v>0</v>
      </c>
      <c r="DD308">
        <v>0</v>
      </c>
      <c r="DE308">
        <v>0</v>
      </c>
      <c r="DF308">
        <v>0</v>
      </c>
      <c r="DH308">
        <v>0</v>
      </c>
      <c r="DI308">
        <v>0</v>
      </c>
    </row>
    <row r="309" spans="1:113" ht="15" customHeight="1" x14ac:dyDescent="0.25">
      <c r="A309" t="s">
        <v>2404</v>
      </c>
      <c r="B309" t="s">
        <v>2405</v>
      </c>
      <c r="C309" t="s">
        <v>610</v>
      </c>
      <c r="D309" t="s">
        <v>439</v>
      </c>
      <c r="E309" t="s">
        <v>439</v>
      </c>
      <c r="F309" t="s">
        <v>2406</v>
      </c>
      <c r="G309">
        <v>2025</v>
      </c>
      <c r="H309" t="s">
        <v>1160</v>
      </c>
      <c r="I309" t="s">
        <v>131</v>
      </c>
      <c r="J309">
        <v>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Y309">
        <v>0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1</v>
      </c>
      <c r="AG309">
        <v>0.53909347538137797</v>
      </c>
      <c r="AH309">
        <v>0</v>
      </c>
      <c r="AI309">
        <v>7</v>
      </c>
      <c r="AJ309">
        <v>10</v>
      </c>
      <c r="AK309">
        <v>101</v>
      </c>
      <c r="AL309">
        <v>0</v>
      </c>
      <c r="AM309">
        <v>1</v>
      </c>
      <c r="AN309">
        <v>0</v>
      </c>
      <c r="AO309">
        <v>45</v>
      </c>
      <c r="AP309">
        <v>57</v>
      </c>
      <c r="AQ309">
        <v>3</v>
      </c>
      <c r="AR309">
        <v>-3.6796338687047401</v>
      </c>
      <c r="AS309">
        <v>0</v>
      </c>
      <c r="AT309">
        <v>2.24444444444444</v>
      </c>
      <c r="AU309">
        <v>1.8382352941176499E-2</v>
      </c>
      <c r="AV309">
        <v>9.8988121425428906E-3</v>
      </c>
      <c r="AW309">
        <v>3.45026979115447E-2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C309">
        <v>0</v>
      </c>
      <c r="DD309">
        <v>0</v>
      </c>
      <c r="DE309">
        <v>0</v>
      </c>
      <c r="DF309">
        <v>0</v>
      </c>
      <c r="DH309">
        <v>10.3</v>
      </c>
      <c r="DI309">
        <v>17.3</v>
      </c>
    </row>
    <row r="310" spans="1:113" ht="15" customHeight="1" x14ac:dyDescent="0.25">
      <c r="A310" t="s">
        <v>2407</v>
      </c>
      <c r="B310" t="s">
        <v>2408</v>
      </c>
      <c r="C310" t="s">
        <v>935</v>
      </c>
      <c r="D310" t="s">
        <v>10</v>
      </c>
      <c r="E310" t="s">
        <v>10</v>
      </c>
      <c r="F310" t="s">
        <v>2409</v>
      </c>
      <c r="G310">
        <v>2025</v>
      </c>
      <c r="H310" t="s">
        <v>1160</v>
      </c>
      <c r="I310" t="s">
        <v>103</v>
      </c>
      <c r="J310">
        <v>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Y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H310">
        <v>0</v>
      </c>
      <c r="AI310">
        <v>14</v>
      </c>
      <c r="AJ310">
        <v>29</v>
      </c>
      <c r="AK310">
        <v>120</v>
      </c>
      <c r="AL310">
        <v>1</v>
      </c>
      <c r="AM310">
        <v>1</v>
      </c>
      <c r="AN310">
        <v>0</v>
      </c>
      <c r="AO310">
        <v>354</v>
      </c>
      <c r="AP310">
        <v>28</v>
      </c>
      <c r="AQ310">
        <v>6</v>
      </c>
      <c r="AR310">
        <v>-3.0449687097139599</v>
      </c>
      <c r="AS310">
        <v>0</v>
      </c>
      <c r="AT310">
        <v>0.338983050847458</v>
      </c>
      <c r="AU310">
        <v>5.2727272727272699E-2</v>
      </c>
      <c r="AV310">
        <v>8.2402234636871505E-2</v>
      </c>
      <c r="AW310">
        <v>0.13677247333671899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1</v>
      </c>
      <c r="BU310">
        <v>10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C310">
        <v>0</v>
      </c>
      <c r="DD310">
        <v>0</v>
      </c>
      <c r="DE310">
        <v>0</v>
      </c>
      <c r="DF310">
        <v>0</v>
      </c>
      <c r="DH310">
        <v>18</v>
      </c>
      <c r="DI310">
        <v>32</v>
      </c>
    </row>
    <row r="311" spans="1:113" ht="15" customHeight="1" x14ac:dyDescent="0.25">
      <c r="A311" t="s">
        <v>2410</v>
      </c>
      <c r="B311" t="s">
        <v>2411</v>
      </c>
      <c r="C311" t="s">
        <v>2412</v>
      </c>
      <c r="D311" t="s">
        <v>1350</v>
      </c>
      <c r="E311" t="s">
        <v>1307</v>
      </c>
      <c r="F311" t="s">
        <v>2413</v>
      </c>
      <c r="G311">
        <v>2025</v>
      </c>
      <c r="H311" t="s">
        <v>1160</v>
      </c>
      <c r="I311" t="s">
        <v>120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Y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>
        <v>0</v>
      </c>
      <c r="AU311">
        <v>0</v>
      </c>
      <c r="AV311">
        <v>0</v>
      </c>
      <c r="AW311">
        <v>0</v>
      </c>
      <c r="AX311">
        <v>0</v>
      </c>
      <c r="AY311">
        <v>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10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C311">
        <v>0</v>
      </c>
      <c r="DD311">
        <v>0</v>
      </c>
      <c r="DE311">
        <v>0</v>
      </c>
      <c r="DF311">
        <v>0</v>
      </c>
      <c r="DH311">
        <v>0</v>
      </c>
      <c r="DI311">
        <v>0</v>
      </c>
    </row>
    <row r="312" spans="1:113" ht="15" customHeight="1" x14ac:dyDescent="0.25">
      <c r="A312" t="s">
        <v>2414</v>
      </c>
      <c r="B312" t="s">
        <v>2415</v>
      </c>
      <c r="C312" t="s">
        <v>2416</v>
      </c>
      <c r="D312" t="s">
        <v>1243</v>
      </c>
      <c r="E312" t="s">
        <v>1190</v>
      </c>
      <c r="F312" t="s">
        <v>2417</v>
      </c>
      <c r="G312">
        <v>2025</v>
      </c>
      <c r="H312" t="s">
        <v>1160</v>
      </c>
      <c r="I312" t="s">
        <v>121</v>
      </c>
      <c r="J312">
        <v>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Y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S312">
        <v>0</v>
      </c>
      <c r="AU312">
        <v>0</v>
      </c>
      <c r="AV312">
        <v>0</v>
      </c>
      <c r="AW312">
        <v>0</v>
      </c>
      <c r="AX312">
        <v>0</v>
      </c>
      <c r="AY312">
        <v>5</v>
      </c>
      <c r="AZ312">
        <v>0</v>
      </c>
      <c r="BA312">
        <v>3</v>
      </c>
      <c r="BB312">
        <v>1</v>
      </c>
      <c r="BC312">
        <v>8</v>
      </c>
      <c r="BD312">
        <v>0</v>
      </c>
      <c r="BE312">
        <v>1.5</v>
      </c>
      <c r="BF312">
        <v>10</v>
      </c>
      <c r="BG312">
        <v>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C312">
        <v>0</v>
      </c>
      <c r="DD312">
        <v>0</v>
      </c>
      <c r="DE312">
        <v>0</v>
      </c>
      <c r="DF312">
        <v>0</v>
      </c>
      <c r="DH312">
        <v>0</v>
      </c>
      <c r="DI312">
        <v>0</v>
      </c>
    </row>
    <row r="313" spans="1:113" ht="15" customHeight="1" x14ac:dyDescent="0.25">
      <c r="A313" t="s">
        <v>2418</v>
      </c>
      <c r="B313" t="s">
        <v>2419</v>
      </c>
      <c r="C313" t="s">
        <v>2420</v>
      </c>
      <c r="D313" t="s">
        <v>1684</v>
      </c>
      <c r="E313" t="s">
        <v>1307</v>
      </c>
      <c r="F313" t="s">
        <v>2421</v>
      </c>
      <c r="G313">
        <v>2025</v>
      </c>
      <c r="H313" t="s">
        <v>1160</v>
      </c>
      <c r="I313" t="s">
        <v>103</v>
      </c>
      <c r="J313">
        <v>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Y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S313">
        <v>0</v>
      </c>
      <c r="AU313">
        <v>0</v>
      </c>
      <c r="AV313">
        <v>0</v>
      </c>
      <c r="AW313">
        <v>0</v>
      </c>
      <c r="AX313">
        <v>0</v>
      </c>
      <c r="AY313">
        <v>20</v>
      </c>
      <c r="AZ313">
        <v>0</v>
      </c>
      <c r="BA313">
        <v>18</v>
      </c>
      <c r="BB313">
        <v>1</v>
      </c>
      <c r="BC313">
        <v>1</v>
      </c>
      <c r="BD313">
        <v>1</v>
      </c>
      <c r="BE313">
        <v>1</v>
      </c>
      <c r="BF313">
        <v>8</v>
      </c>
      <c r="BG313">
        <v>3</v>
      </c>
      <c r="BH313">
        <v>1</v>
      </c>
      <c r="BI313">
        <v>-4</v>
      </c>
      <c r="BJ313">
        <v>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</v>
      </c>
      <c r="BU313">
        <v>8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C313">
        <v>0</v>
      </c>
      <c r="DD313">
        <v>0</v>
      </c>
      <c r="DE313">
        <v>0</v>
      </c>
      <c r="DF313">
        <v>0</v>
      </c>
      <c r="DH313">
        <v>0</v>
      </c>
      <c r="DI313">
        <v>0</v>
      </c>
    </row>
    <row r="314" spans="1:113" ht="15" customHeight="1" x14ac:dyDescent="0.25">
      <c r="A314" t="s">
        <v>2422</v>
      </c>
      <c r="B314" t="s">
        <v>2423</v>
      </c>
      <c r="C314" t="s">
        <v>2424</v>
      </c>
      <c r="D314" t="s">
        <v>1350</v>
      </c>
      <c r="E314" t="s">
        <v>1307</v>
      </c>
      <c r="F314" t="s">
        <v>2425</v>
      </c>
      <c r="G314">
        <v>2025</v>
      </c>
      <c r="H314" t="s">
        <v>1160</v>
      </c>
      <c r="I314" t="s">
        <v>121</v>
      </c>
      <c r="J314">
        <v>15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Y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S314">
        <v>0</v>
      </c>
      <c r="AU314">
        <v>0</v>
      </c>
      <c r="AV314">
        <v>0</v>
      </c>
      <c r="AW314">
        <v>0</v>
      </c>
      <c r="AX314">
        <v>0</v>
      </c>
      <c r="AY314">
        <v>13</v>
      </c>
      <c r="AZ314">
        <v>0</v>
      </c>
      <c r="BA314">
        <v>10</v>
      </c>
      <c r="BB314">
        <v>1</v>
      </c>
      <c r="BC314">
        <v>2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2</v>
      </c>
      <c r="BU314">
        <v>20</v>
      </c>
      <c r="BV314">
        <v>0</v>
      </c>
      <c r="BW314">
        <v>0</v>
      </c>
      <c r="BX314">
        <v>18</v>
      </c>
      <c r="BY314">
        <v>435</v>
      </c>
      <c r="BZ314">
        <v>0</v>
      </c>
      <c r="CA314">
        <v>0</v>
      </c>
      <c r="CB314">
        <v>0</v>
      </c>
      <c r="CC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C314">
        <v>0</v>
      </c>
      <c r="DD314">
        <v>0</v>
      </c>
      <c r="DE314">
        <v>0</v>
      </c>
      <c r="DF314">
        <v>0</v>
      </c>
      <c r="DH314">
        <v>0</v>
      </c>
      <c r="DI314">
        <v>0</v>
      </c>
    </row>
    <row r="315" spans="1:113" ht="15" customHeight="1" x14ac:dyDescent="0.25">
      <c r="A315" t="s">
        <v>2426</v>
      </c>
      <c r="B315" t="s">
        <v>2427</v>
      </c>
      <c r="C315" t="s">
        <v>2428</v>
      </c>
      <c r="D315" t="s">
        <v>1655</v>
      </c>
      <c r="E315" t="s">
        <v>1220</v>
      </c>
      <c r="F315" t="s">
        <v>2429</v>
      </c>
      <c r="G315">
        <v>2025</v>
      </c>
      <c r="H315" t="s">
        <v>1160</v>
      </c>
      <c r="I315" t="s">
        <v>131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Y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S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</v>
      </c>
      <c r="BU315">
        <v>10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C315">
        <v>0</v>
      </c>
      <c r="DD315">
        <v>0</v>
      </c>
      <c r="DE315">
        <v>0</v>
      </c>
      <c r="DF315">
        <v>0</v>
      </c>
      <c r="DH315">
        <v>0</v>
      </c>
      <c r="DI315">
        <v>0</v>
      </c>
    </row>
    <row r="316" spans="1:113" ht="15" customHeight="1" x14ac:dyDescent="0.25">
      <c r="A316" t="s">
        <v>2430</v>
      </c>
      <c r="B316" t="s">
        <v>2431</v>
      </c>
      <c r="C316" t="s">
        <v>2432</v>
      </c>
      <c r="D316" t="s">
        <v>1243</v>
      </c>
      <c r="E316" t="s">
        <v>1190</v>
      </c>
      <c r="F316" t="s">
        <v>2433</v>
      </c>
      <c r="G316">
        <v>2025</v>
      </c>
      <c r="H316" t="s">
        <v>1160</v>
      </c>
      <c r="I316" t="s">
        <v>133</v>
      </c>
      <c r="J316">
        <v>17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Y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S316">
        <v>0</v>
      </c>
      <c r="AU316">
        <v>0</v>
      </c>
      <c r="AV316">
        <v>0</v>
      </c>
      <c r="AW316">
        <v>0</v>
      </c>
      <c r="AX316">
        <v>0</v>
      </c>
      <c r="AY316">
        <v>28</v>
      </c>
      <c r="AZ316">
        <v>1</v>
      </c>
      <c r="BA316">
        <v>18</v>
      </c>
      <c r="BB316">
        <v>10</v>
      </c>
      <c r="BC316">
        <v>36</v>
      </c>
      <c r="BD316">
        <v>0</v>
      </c>
      <c r="BE316">
        <v>5.5</v>
      </c>
      <c r="BF316">
        <v>29</v>
      </c>
      <c r="BG316">
        <v>9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1</v>
      </c>
      <c r="BS316">
        <v>0</v>
      </c>
      <c r="BT316">
        <v>4</v>
      </c>
      <c r="BU316">
        <v>40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C316">
        <v>0</v>
      </c>
      <c r="DD316">
        <v>0</v>
      </c>
      <c r="DE316">
        <v>0</v>
      </c>
      <c r="DF316">
        <v>0</v>
      </c>
      <c r="DH316">
        <v>0</v>
      </c>
      <c r="DI316">
        <v>0</v>
      </c>
    </row>
    <row r="317" spans="1:113" ht="15" customHeight="1" x14ac:dyDescent="0.25">
      <c r="A317" t="s">
        <v>2434</v>
      </c>
      <c r="B317" t="s">
        <v>2435</v>
      </c>
      <c r="C317" t="s">
        <v>2436</v>
      </c>
      <c r="D317" t="s">
        <v>1234</v>
      </c>
      <c r="E317" t="s">
        <v>1234</v>
      </c>
      <c r="F317" t="s">
        <v>2437</v>
      </c>
      <c r="G317">
        <v>2025</v>
      </c>
      <c r="H317" t="s">
        <v>1160</v>
      </c>
      <c r="I317" t="s">
        <v>143</v>
      </c>
      <c r="J317">
        <v>17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Y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>
        <v>0</v>
      </c>
      <c r="AU317">
        <v>0</v>
      </c>
      <c r="AV317">
        <v>0</v>
      </c>
      <c r="AW317">
        <v>0</v>
      </c>
      <c r="AX317">
        <v>0</v>
      </c>
      <c r="AY317">
        <v>40</v>
      </c>
      <c r="AZ317">
        <v>2</v>
      </c>
      <c r="BA317">
        <v>44</v>
      </c>
      <c r="BB317">
        <v>5</v>
      </c>
      <c r="BC317">
        <v>23</v>
      </c>
      <c r="BD317">
        <v>2</v>
      </c>
      <c r="BE317">
        <v>3</v>
      </c>
      <c r="BF317">
        <v>19</v>
      </c>
      <c r="BG317">
        <v>6</v>
      </c>
      <c r="BH317">
        <v>0</v>
      </c>
      <c r="BI317">
        <v>0</v>
      </c>
      <c r="BJ317">
        <v>6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15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C317">
        <v>0</v>
      </c>
      <c r="DD317">
        <v>0</v>
      </c>
      <c r="DE317">
        <v>0</v>
      </c>
      <c r="DF317">
        <v>0</v>
      </c>
      <c r="DH317">
        <v>0</v>
      </c>
      <c r="DI317">
        <v>0</v>
      </c>
    </row>
    <row r="318" spans="1:113" ht="15" customHeight="1" x14ac:dyDescent="0.25">
      <c r="A318" t="s">
        <v>2438</v>
      </c>
      <c r="B318" t="s">
        <v>2439</v>
      </c>
      <c r="C318" t="s">
        <v>2440</v>
      </c>
      <c r="D318" t="s">
        <v>1189</v>
      </c>
      <c r="E318" t="s">
        <v>1190</v>
      </c>
      <c r="F318" t="s">
        <v>2441</v>
      </c>
      <c r="G318">
        <v>2025</v>
      </c>
      <c r="H318" t="s">
        <v>1160</v>
      </c>
      <c r="I318" t="s">
        <v>93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Y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>
        <v>0</v>
      </c>
      <c r="AU318">
        <v>0</v>
      </c>
      <c r="AV318">
        <v>0</v>
      </c>
      <c r="AW318">
        <v>0</v>
      </c>
      <c r="AX318">
        <v>0</v>
      </c>
      <c r="AY318">
        <v>11</v>
      </c>
      <c r="AZ318">
        <v>0</v>
      </c>
      <c r="BA318">
        <v>10</v>
      </c>
      <c r="BB318">
        <v>3</v>
      </c>
      <c r="BC318">
        <v>15</v>
      </c>
      <c r="BD318">
        <v>0</v>
      </c>
      <c r="BE318">
        <v>2</v>
      </c>
      <c r="BF318">
        <v>12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C318">
        <v>0</v>
      </c>
      <c r="DD318">
        <v>0</v>
      </c>
      <c r="DE318">
        <v>0</v>
      </c>
      <c r="DF318">
        <v>0</v>
      </c>
      <c r="DH318">
        <v>0</v>
      </c>
      <c r="DI318">
        <v>0</v>
      </c>
    </row>
    <row r="319" spans="1:113" ht="15" customHeight="1" x14ac:dyDescent="0.25">
      <c r="A319" t="s">
        <v>2442</v>
      </c>
      <c r="B319" t="s">
        <v>2443</v>
      </c>
      <c r="C319" t="s">
        <v>2444</v>
      </c>
      <c r="D319" t="s">
        <v>1511</v>
      </c>
      <c r="E319" t="s">
        <v>1190</v>
      </c>
      <c r="F319" t="s">
        <v>2445</v>
      </c>
      <c r="G319">
        <v>2025</v>
      </c>
      <c r="H319" t="s">
        <v>1160</v>
      </c>
      <c r="I319" t="s">
        <v>143</v>
      </c>
      <c r="J319">
        <v>14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Y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S319">
        <v>0</v>
      </c>
      <c r="AU319">
        <v>0</v>
      </c>
      <c r="AV319">
        <v>0</v>
      </c>
      <c r="AW319">
        <v>0</v>
      </c>
      <c r="AX319">
        <v>0</v>
      </c>
      <c r="AY319">
        <v>19</v>
      </c>
      <c r="AZ319">
        <v>1</v>
      </c>
      <c r="BA319">
        <v>26</v>
      </c>
      <c r="BB319">
        <v>7</v>
      </c>
      <c r="BC319">
        <v>36</v>
      </c>
      <c r="BD319">
        <v>1</v>
      </c>
      <c r="BE319">
        <v>3</v>
      </c>
      <c r="BF319">
        <v>16</v>
      </c>
      <c r="BG319">
        <v>8</v>
      </c>
      <c r="BH319">
        <v>0</v>
      </c>
      <c r="BI319">
        <v>0</v>
      </c>
      <c r="BJ319">
        <v>5</v>
      </c>
      <c r="BK319">
        <v>0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C319">
        <v>0</v>
      </c>
      <c r="DD319">
        <v>0</v>
      </c>
      <c r="DE319">
        <v>0</v>
      </c>
      <c r="DF319">
        <v>0</v>
      </c>
      <c r="DH319">
        <v>0</v>
      </c>
      <c r="DI319">
        <v>0</v>
      </c>
    </row>
    <row r="320" spans="1:113" ht="15" customHeight="1" x14ac:dyDescent="0.25">
      <c r="A320" t="s">
        <v>2446</v>
      </c>
      <c r="B320" t="s">
        <v>2447</v>
      </c>
      <c r="C320" t="s">
        <v>2448</v>
      </c>
      <c r="D320" t="s">
        <v>1297</v>
      </c>
      <c r="E320" t="s">
        <v>1220</v>
      </c>
      <c r="F320" t="s">
        <v>2449</v>
      </c>
      <c r="G320">
        <v>2025</v>
      </c>
      <c r="H320" t="s">
        <v>1160</v>
      </c>
      <c r="I320" t="s">
        <v>124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Y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S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2</v>
      </c>
      <c r="BU320">
        <v>15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C320">
        <v>0</v>
      </c>
      <c r="DD320">
        <v>0</v>
      </c>
      <c r="DE320">
        <v>0</v>
      </c>
      <c r="DF320">
        <v>0</v>
      </c>
      <c r="DH320">
        <v>0</v>
      </c>
      <c r="DI320">
        <v>0</v>
      </c>
    </row>
    <row r="321" spans="1:113" ht="15" customHeight="1" x14ac:dyDescent="0.25">
      <c r="A321" t="s">
        <v>2450</v>
      </c>
      <c r="B321" t="s">
        <v>2451</v>
      </c>
      <c r="C321" t="s">
        <v>2452</v>
      </c>
      <c r="D321" t="s">
        <v>1189</v>
      </c>
      <c r="E321" t="s">
        <v>1190</v>
      </c>
      <c r="F321" t="s">
        <v>2453</v>
      </c>
      <c r="G321">
        <v>2025</v>
      </c>
      <c r="H321" t="s">
        <v>1160</v>
      </c>
      <c r="I321" t="s">
        <v>111</v>
      </c>
      <c r="J321">
        <v>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Y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S321">
        <v>0</v>
      </c>
      <c r="AU321">
        <v>0</v>
      </c>
      <c r="AV321">
        <v>0</v>
      </c>
      <c r="AW321">
        <v>0</v>
      </c>
      <c r="AX321">
        <v>0</v>
      </c>
      <c r="AY321">
        <v>5</v>
      </c>
      <c r="AZ321">
        <v>1</v>
      </c>
      <c r="BA321">
        <v>8</v>
      </c>
      <c r="BB321">
        <v>1</v>
      </c>
      <c r="BC321">
        <v>8</v>
      </c>
      <c r="BD321">
        <v>0</v>
      </c>
      <c r="BE321">
        <v>1</v>
      </c>
      <c r="BF321">
        <v>8</v>
      </c>
      <c r="BG321">
        <v>3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C321">
        <v>0</v>
      </c>
      <c r="DD321">
        <v>0</v>
      </c>
      <c r="DE321">
        <v>0</v>
      </c>
      <c r="DF321">
        <v>0</v>
      </c>
      <c r="DH321">
        <v>0</v>
      </c>
      <c r="DI321">
        <v>0</v>
      </c>
    </row>
    <row r="322" spans="1:113" ht="15" customHeight="1" x14ac:dyDescent="0.25">
      <c r="A322" t="s">
        <v>2454</v>
      </c>
      <c r="B322" t="s">
        <v>2455</v>
      </c>
      <c r="C322" t="s">
        <v>2456</v>
      </c>
      <c r="D322" t="s">
        <v>1297</v>
      </c>
      <c r="E322" t="s">
        <v>1220</v>
      </c>
      <c r="F322" t="s">
        <v>2457</v>
      </c>
      <c r="G322">
        <v>2025</v>
      </c>
      <c r="H322" t="s">
        <v>1160</v>
      </c>
      <c r="I322" t="s">
        <v>90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Y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S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</v>
      </c>
      <c r="BU322">
        <v>8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C322">
        <v>0</v>
      </c>
      <c r="DD322">
        <v>0</v>
      </c>
      <c r="DE322">
        <v>0</v>
      </c>
      <c r="DF322">
        <v>0</v>
      </c>
      <c r="DH322">
        <v>0</v>
      </c>
      <c r="DI322">
        <v>0</v>
      </c>
    </row>
    <row r="323" spans="1:113" ht="15" customHeight="1" x14ac:dyDescent="0.25">
      <c r="A323" t="s">
        <v>2458</v>
      </c>
      <c r="B323" t="s">
        <v>2459</v>
      </c>
      <c r="C323" t="s">
        <v>606</v>
      </c>
      <c r="D323" t="s">
        <v>10</v>
      </c>
      <c r="E323" t="s">
        <v>10</v>
      </c>
      <c r="F323" t="s">
        <v>2460</v>
      </c>
      <c r="G323">
        <v>2025</v>
      </c>
      <c r="H323" t="s">
        <v>1160</v>
      </c>
      <c r="I323" t="s">
        <v>115</v>
      </c>
      <c r="J323">
        <v>17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-5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-4.0317193613920299</v>
      </c>
      <c r="Y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H323">
        <v>0</v>
      </c>
      <c r="AI323">
        <v>74</v>
      </c>
      <c r="AJ323">
        <v>124</v>
      </c>
      <c r="AK323">
        <v>1017</v>
      </c>
      <c r="AL323">
        <v>7</v>
      </c>
      <c r="AM323">
        <v>0</v>
      </c>
      <c r="AN323">
        <v>0</v>
      </c>
      <c r="AO323">
        <v>1542</v>
      </c>
      <c r="AP323">
        <v>222</v>
      </c>
      <c r="AQ323">
        <v>52</v>
      </c>
      <c r="AR323">
        <v>45.593916971176803</v>
      </c>
      <c r="AS323">
        <v>1</v>
      </c>
      <c r="AT323">
        <v>0.65953307392996097</v>
      </c>
      <c r="AU323">
        <v>0.21232876712328799</v>
      </c>
      <c r="AV323">
        <v>0.34358288770053502</v>
      </c>
      <c r="AW323">
        <v>0.55900117207530597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C323">
        <v>0</v>
      </c>
      <c r="DD323">
        <v>0</v>
      </c>
      <c r="DE323">
        <v>0</v>
      </c>
      <c r="DF323">
        <v>0</v>
      </c>
      <c r="DH323">
        <v>145.69999999999999</v>
      </c>
      <c r="DI323">
        <v>219.7</v>
      </c>
    </row>
    <row r="324" spans="1:113" ht="15" customHeight="1" x14ac:dyDescent="0.25">
      <c r="A324" t="s">
        <v>2461</v>
      </c>
      <c r="B324" t="s">
        <v>2462</v>
      </c>
      <c r="C324" t="s">
        <v>2463</v>
      </c>
      <c r="D324" t="s">
        <v>1234</v>
      </c>
      <c r="E324" t="s">
        <v>1234</v>
      </c>
      <c r="F324" t="s">
        <v>2464</v>
      </c>
      <c r="G324">
        <v>2025</v>
      </c>
      <c r="H324" t="s">
        <v>1160</v>
      </c>
      <c r="I324" t="s">
        <v>140</v>
      </c>
      <c r="J324">
        <v>15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Y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S324">
        <v>0</v>
      </c>
      <c r="AU324">
        <v>0</v>
      </c>
      <c r="AV324">
        <v>0</v>
      </c>
      <c r="AW324">
        <v>0</v>
      </c>
      <c r="AX324">
        <v>0</v>
      </c>
      <c r="AY324">
        <v>15</v>
      </c>
      <c r="AZ324">
        <v>2</v>
      </c>
      <c r="BA324">
        <v>18</v>
      </c>
      <c r="BB324">
        <v>7</v>
      </c>
      <c r="BC324">
        <v>39</v>
      </c>
      <c r="BD324">
        <v>0</v>
      </c>
      <c r="BE324">
        <v>7</v>
      </c>
      <c r="BF324">
        <v>54.5</v>
      </c>
      <c r="BG324">
        <v>15</v>
      </c>
      <c r="BH324">
        <v>0</v>
      </c>
      <c r="BI324">
        <v>0</v>
      </c>
      <c r="BJ324">
        <v>3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</v>
      </c>
      <c r="BU324">
        <v>20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C324">
        <v>0</v>
      </c>
      <c r="DD324">
        <v>0</v>
      </c>
      <c r="DE324">
        <v>0</v>
      </c>
      <c r="DF324">
        <v>0</v>
      </c>
      <c r="DH324">
        <v>0</v>
      </c>
      <c r="DI324">
        <v>0</v>
      </c>
    </row>
    <row r="325" spans="1:113" ht="15" customHeight="1" x14ac:dyDescent="0.25">
      <c r="A325" t="s">
        <v>2465</v>
      </c>
      <c r="B325" t="s">
        <v>2466</v>
      </c>
      <c r="C325" t="s">
        <v>907</v>
      </c>
      <c r="D325" t="s">
        <v>439</v>
      </c>
      <c r="E325" t="s">
        <v>439</v>
      </c>
      <c r="F325" t="s">
        <v>2467</v>
      </c>
      <c r="G325">
        <v>2025</v>
      </c>
      <c r="H325" t="s">
        <v>1160</v>
      </c>
      <c r="I325" t="s">
        <v>120</v>
      </c>
      <c r="J325">
        <v>15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Y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H325">
        <v>0</v>
      </c>
      <c r="AI325">
        <v>60</v>
      </c>
      <c r="AJ325">
        <v>82</v>
      </c>
      <c r="AK325">
        <v>591</v>
      </c>
      <c r="AL325">
        <v>11</v>
      </c>
      <c r="AM325">
        <v>0</v>
      </c>
      <c r="AN325">
        <v>0</v>
      </c>
      <c r="AO325">
        <v>583</v>
      </c>
      <c r="AP325">
        <v>234</v>
      </c>
      <c r="AQ325">
        <v>34</v>
      </c>
      <c r="AR325">
        <v>36.1227757875291</v>
      </c>
      <c r="AS325">
        <v>0</v>
      </c>
      <c r="AT325">
        <v>1.0137221269296699</v>
      </c>
      <c r="AU325">
        <v>0.176724137931034</v>
      </c>
      <c r="AV325">
        <v>0.13004684363149699</v>
      </c>
      <c r="AW325">
        <v>0.35611899743859898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C325">
        <v>0</v>
      </c>
      <c r="DD325">
        <v>0</v>
      </c>
      <c r="DE325">
        <v>0</v>
      </c>
      <c r="DF325">
        <v>0</v>
      </c>
      <c r="DH325">
        <v>125.1</v>
      </c>
      <c r="DI325">
        <v>185.1</v>
      </c>
    </row>
    <row r="326" spans="1:113" ht="15" customHeight="1" x14ac:dyDescent="0.25">
      <c r="A326" t="s">
        <v>2468</v>
      </c>
      <c r="B326" t="s">
        <v>2469</v>
      </c>
      <c r="C326" t="s">
        <v>2470</v>
      </c>
      <c r="D326" t="s">
        <v>1684</v>
      </c>
      <c r="E326" t="s">
        <v>1307</v>
      </c>
      <c r="F326" t="s">
        <v>2471</v>
      </c>
      <c r="G326">
        <v>2025</v>
      </c>
      <c r="H326" t="s">
        <v>1160</v>
      </c>
      <c r="I326" t="s">
        <v>121</v>
      </c>
      <c r="J326">
        <v>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Y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>
        <v>0</v>
      </c>
      <c r="AU326">
        <v>0</v>
      </c>
      <c r="AV326">
        <v>0</v>
      </c>
      <c r="AW326">
        <v>0</v>
      </c>
      <c r="AX326">
        <v>0</v>
      </c>
      <c r="AY326">
        <v>15</v>
      </c>
      <c r="AZ326">
        <v>0</v>
      </c>
      <c r="BA326">
        <v>10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5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C326">
        <v>0</v>
      </c>
      <c r="DD326">
        <v>0</v>
      </c>
      <c r="DE326">
        <v>0</v>
      </c>
      <c r="DF326">
        <v>0</v>
      </c>
      <c r="DH326">
        <v>0</v>
      </c>
      <c r="DI326">
        <v>0</v>
      </c>
    </row>
    <row r="327" spans="1:113" ht="15" customHeight="1" x14ac:dyDescent="0.25">
      <c r="A327" t="s">
        <v>2472</v>
      </c>
      <c r="B327" t="s">
        <v>2473</v>
      </c>
      <c r="C327" t="s">
        <v>2474</v>
      </c>
      <c r="D327" t="s">
        <v>1350</v>
      </c>
      <c r="E327" t="s">
        <v>1307</v>
      </c>
      <c r="F327" t="s">
        <v>2475</v>
      </c>
      <c r="G327">
        <v>2025</v>
      </c>
      <c r="H327" t="s">
        <v>1160</v>
      </c>
      <c r="I327" t="s">
        <v>131</v>
      </c>
      <c r="J327">
        <v>15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Y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>
        <v>0</v>
      </c>
      <c r="AU327">
        <v>0</v>
      </c>
      <c r="AV327">
        <v>0</v>
      </c>
      <c r="AW327">
        <v>0</v>
      </c>
      <c r="AX327">
        <v>0</v>
      </c>
      <c r="AY327">
        <v>16</v>
      </c>
      <c r="AZ327">
        <v>0</v>
      </c>
      <c r="BA327">
        <v>8</v>
      </c>
      <c r="BB327">
        <v>1</v>
      </c>
      <c r="BC327">
        <v>4</v>
      </c>
      <c r="BD327">
        <v>0</v>
      </c>
      <c r="BE327">
        <v>0</v>
      </c>
      <c r="BF327">
        <v>0</v>
      </c>
      <c r="BG327">
        <v>0</v>
      </c>
      <c r="BH327">
        <v>4</v>
      </c>
      <c r="BI327">
        <v>27</v>
      </c>
      <c r="BJ327">
        <v>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C327">
        <v>0</v>
      </c>
      <c r="DD327">
        <v>0</v>
      </c>
      <c r="DE327">
        <v>0</v>
      </c>
      <c r="DF327">
        <v>0</v>
      </c>
      <c r="DH327">
        <v>0</v>
      </c>
      <c r="DI327">
        <v>0</v>
      </c>
    </row>
    <row r="328" spans="1:113" ht="15" customHeight="1" x14ac:dyDescent="0.25">
      <c r="A328" t="s">
        <v>2476</v>
      </c>
      <c r="B328" t="s">
        <v>2477</v>
      </c>
      <c r="C328" t="s">
        <v>2478</v>
      </c>
      <c r="D328" t="s">
        <v>1684</v>
      </c>
      <c r="E328" t="s">
        <v>1307</v>
      </c>
      <c r="F328" t="s">
        <v>2479</v>
      </c>
      <c r="G328">
        <v>2025</v>
      </c>
      <c r="H328" t="s">
        <v>1160</v>
      </c>
      <c r="I328" t="s">
        <v>101</v>
      </c>
      <c r="J328">
        <v>13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Y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S328">
        <v>0</v>
      </c>
      <c r="AU328">
        <v>0</v>
      </c>
      <c r="AV328">
        <v>0</v>
      </c>
      <c r="AW328">
        <v>0</v>
      </c>
      <c r="AX328">
        <v>0</v>
      </c>
      <c r="AY328">
        <v>29</v>
      </c>
      <c r="AZ328">
        <v>0</v>
      </c>
      <c r="BA328">
        <v>26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34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C328">
        <v>0</v>
      </c>
      <c r="DD328">
        <v>0</v>
      </c>
      <c r="DE328">
        <v>0</v>
      </c>
      <c r="DF328">
        <v>0</v>
      </c>
      <c r="DH328">
        <v>0</v>
      </c>
      <c r="DI328">
        <v>0</v>
      </c>
    </row>
    <row r="329" spans="1:113" ht="15" customHeight="1" x14ac:dyDescent="0.25">
      <c r="A329" t="s">
        <v>2480</v>
      </c>
      <c r="B329" t="s">
        <v>2481</v>
      </c>
      <c r="C329" t="s">
        <v>2482</v>
      </c>
      <c r="D329" t="s">
        <v>1189</v>
      </c>
      <c r="E329" t="s">
        <v>1190</v>
      </c>
      <c r="F329" t="s">
        <v>2483</v>
      </c>
      <c r="G329">
        <v>2025</v>
      </c>
      <c r="H329" t="s">
        <v>1160</v>
      </c>
      <c r="I329" t="s">
        <v>124</v>
      </c>
      <c r="J329">
        <v>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Y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S329">
        <v>0</v>
      </c>
      <c r="AU329">
        <v>0</v>
      </c>
      <c r="AV329">
        <v>0</v>
      </c>
      <c r="AW329">
        <v>0</v>
      </c>
      <c r="AX329">
        <v>0</v>
      </c>
      <c r="AY329">
        <v>4</v>
      </c>
      <c r="AZ329">
        <v>1</v>
      </c>
      <c r="BA329">
        <v>6</v>
      </c>
      <c r="BB329">
        <v>4</v>
      </c>
      <c r="BC329">
        <v>19</v>
      </c>
      <c r="BD329">
        <v>0</v>
      </c>
      <c r="BE329">
        <v>3</v>
      </c>
      <c r="BF329">
        <v>18</v>
      </c>
      <c r="BG329">
        <v>4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2</v>
      </c>
      <c r="BU329">
        <v>20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C329">
        <v>0</v>
      </c>
      <c r="DD329">
        <v>0</v>
      </c>
      <c r="DE329">
        <v>0</v>
      </c>
      <c r="DF329">
        <v>0</v>
      </c>
      <c r="DH329">
        <v>0</v>
      </c>
      <c r="DI329">
        <v>0</v>
      </c>
    </row>
    <row r="330" spans="1:113" ht="15" customHeight="1" x14ac:dyDescent="0.25">
      <c r="A330" t="s">
        <v>2484</v>
      </c>
      <c r="B330" t="s">
        <v>2485</v>
      </c>
      <c r="C330" t="s">
        <v>2486</v>
      </c>
      <c r="D330" t="s">
        <v>1375</v>
      </c>
      <c r="E330" t="s">
        <v>1307</v>
      </c>
      <c r="F330" t="s">
        <v>2487</v>
      </c>
      <c r="G330">
        <v>2025</v>
      </c>
      <c r="H330" t="s">
        <v>1160</v>
      </c>
      <c r="I330" t="s">
        <v>138</v>
      </c>
      <c r="J330">
        <v>15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Y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>
        <v>0</v>
      </c>
      <c r="AU330">
        <v>0</v>
      </c>
      <c r="AV330">
        <v>0</v>
      </c>
      <c r="AW330">
        <v>0</v>
      </c>
      <c r="AX330">
        <v>0</v>
      </c>
      <c r="AY330">
        <v>37</v>
      </c>
      <c r="AZ330">
        <v>0</v>
      </c>
      <c r="BA330">
        <v>35</v>
      </c>
      <c r="BB330">
        <v>2</v>
      </c>
      <c r="BC330">
        <v>3</v>
      </c>
      <c r="BD330">
        <v>0</v>
      </c>
      <c r="BE330">
        <v>0.5</v>
      </c>
      <c r="BF330">
        <v>5.5</v>
      </c>
      <c r="BG330">
        <v>1</v>
      </c>
      <c r="BH330">
        <v>1</v>
      </c>
      <c r="BI330">
        <v>49</v>
      </c>
      <c r="BJ330">
        <v>6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3</v>
      </c>
      <c r="BU330">
        <v>70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C330">
        <v>0</v>
      </c>
      <c r="DD330">
        <v>0</v>
      </c>
      <c r="DE330">
        <v>0</v>
      </c>
      <c r="DF330">
        <v>0</v>
      </c>
      <c r="DH330">
        <v>0</v>
      </c>
      <c r="DI330">
        <v>0</v>
      </c>
    </row>
    <row r="331" spans="1:113" ht="15" customHeight="1" x14ac:dyDescent="0.25">
      <c r="A331" t="s">
        <v>2488</v>
      </c>
      <c r="B331" t="s">
        <v>2489</v>
      </c>
      <c r="C331" t="s">
        <v>2490</v>
      </c>
      <c r="D331" t="s">
        <v>439</v>
      </c>
      <c r="E331" t="s">
        <v>439</v>
      </c>
      <c r="F331" t="s">
        <v>2491</v>
      </c>
      <c r="G331">
        <v>2025</v>
      </c>
      <c r="H331" t="s">
        <v>1160</v>
      </c>
      <c r="I331" t="s">
        <v>89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Y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H331">
        <v>0</v>
      </c>
      <c r="AI331">
        <v>13</v>
      </c>
      <c r="AJ331">
        <v>13</v>
      </c>
      <c r="AK331">
        <v>114</v>
      </c>
      <c r="AL331">
        <v>0</v>
      </c>
      <c r="AM331">
        <v>0</v>
      </c>
      <c r="AN331">
        <v>0</v>
      </c>
      <c r="AO331">
        <v>42</v>
      </c>
      <c r="AP331">
        <v>72</v>
      </c>
      <c r="AQ331">
        <v>5</v>
      </c>
      <c r="AR331">
        <v>5.0733459377661401</v>
      </c>
      <c r="AS331">
        <v>0</v>
      </c>
      <c r="AT331">
        <v>2.71428571428571</v>
      </c>
      <c r="AU331">
        <v>2.6315789473684199E-2</v>
      </c>
      <c r="AV331">
        <v>1.30922693266833E-2</v>
      </c>
      <c r="AW331">
        <v>4.8638272739204597E-2</v>
      </c>
      <c r="AX331">
        <v>0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C331">
        <v>0</v>
      </c>
      <c r="DD331">
        <v>0</v>
      </c>
      <c r="DE331">
        <v>0</v>
      </c>
      <c r="DF331">
        <v>0</v>
      </c>
      <c r="DH331">
        <v>11.4</v>
      </c>
      <c r="DI331">
        <v>24.4</v>
      </c>
    </row>
    <row r="332" spans="1:113" ht="15" customHeight="1" x14ac:dyDescent="0.25">
      <c r="A332" t="s">
        <v>2492</v>
      </c>
      <c r="B332" t="s">
        <v>2493</v>
      </c>
      <c r="C332" t="s">
        <v>2494</v>
      </c>
      <c r="D332" t="s">
        <v>431</v>
      </c>
      <c r="E332" t="s">
        <v>431</v>
      </c>
      <c r="F332" t="s">
        <v>2495</v>
      </c>
      <c r="G332">
        <v>2025</v>
      </c>
      <c r="H332" t="s">
        <v>1160</v>
      </c>
      <c r="I332" t="s">
        <v>138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Y332">
        <v>0</v>
      </c>
      <c r="AA332">
        <v>2</v>
      </c>
      <c r="AB332">
        <v>-2</v>
      </c>
      <c r="AC332">
        <v>0</v>
      </c>
      <c r="AD332">
        <v>0</v>
      </c>
      <c r="AE332">
        <v>0</v>
      </c>
      <c r="AF332">
        <v>0</v>
      </c>
      <c r="AG332">
        <v>-1.5138825021567801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S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11</v>
      </c>
      <c r="BX332">
        <v>7</v>
      </c>
      <c r="BY332">
        <v>195</v>
      </c>
      <c r="BZ332">
        <v>0</v>
      </c>
      <c r="CA332">
        <v>0</v>
      </c>
      <c r="CB332">
        <v>0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C332">
        <v>0</v>
      </c>
      <c r="DD332">
        <v>0</v>
      </c>
      <c r="DE332">
        <v>0</v>
      </c>
      <c r="DF332">
        <v>0</v>
      </c>
      <c r="DH332">
        <v>-0.2</v>
      </c>
      <c r="DI332">
        <v>-0.2</v>
      </c>
    </row>
    <row r="333" spans="1:113" ht="15" customHeight="1" x14ac:dyDescent="0.25">
      <c r="A333" t="s">
        <v>2496</v>
      </c>
      <c r="B333" t="s">
        <v>2497</v>
      </c>
      <c r="C333" t="s">
        <v>2498</v>
      </c>
      <c r="D333" t="s">
        <v>1189</v>
      </c>
      <c r="E333" t="s">
        <v>1190</v>
      </c>
      <c r="F333" t="s">
        <v>2499</v>
      </c>
      <c r="G333">
        <v>2025</v>
      </c>
      <c r="H333" t="s">
        <v>1160</v>
      </c>
      <c r="I333" t="s">
        <v>131</v>
      </c>
      <c r="J333">
        <v>13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Y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S333">
        <v>0</v>
      </c>
      <c r="AU333">
        <v>0</v>
      </c>
      <c r="AV333">
        <v>0</v>
      </c>
      <c r="AW333">
        <v>0</v>
      </c>
      <c r="AX333">
        <v>0</v>
      </c>
      <c r="AY333">
        <v>16</v>
      </c>
      <c r="AZ333">
        <v>2</v>
      </c>
      <c r="BA333">
        <v>11</v>
      </c>
      <c r="BB333">
        <v>5</v>
      </c>
      <c r="BC333">
        <v>8</v>
      </c>
      <c r="BD333">
        <v>0</v>
      </c>
      <c r="BE333">
        <v>1.5</v>
      </c>
      <c r="BF333">
        <v>5</v>
      </c>
      <c r="BG333">
        <v>5</v>
      </c>
      <c r="BH333">
        <v>1</v>
      </c>
      <c r="BI333">
        <v>7</v>
      </c>
      <c r="BJ333">
        <v>4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2</v>
      </c>
      <c r="BU333">
        <v>10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C333">
        <v>0</v>
      </c>
      <c r="DD333">
        <v>0</v>
      </c>
      <c r="DE333">
        <v>0</v>
      </c>
      <c r="DF333">
        <v>0</v>
      </c>
      <c r="DH333">
        <v>0</v>
      </c>
      <c r="DI333">
        <v>0</v>
      </c>
    </row>
    <row r="334" spans="1:113" ht="15" customHeight="1" x14ac:dyDescent="0.25">
      <c r="A334" t="s">
        <v>2500</v>
      </c>
      <c r="B334" t="s">
        <v>2501</v>
      </c>
      <c r="C334" t="s">
        <v>2502</v>
      </c>
      <c r="D334" t="s">
        <v>1189</v>
      </c>
      <c r="E334" t="s">
        <v>1190</v>
      </c>
      <c r="F334" t="s">
        <v>2503</v>
      </c>
      <c r="G334">
        <v>2025</v>
      </c>
      <c r="H334" t="s">
        <v>1160</v>
      </c>
      <c r="I334" t="s">
        <v>143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Y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S334">
        <v>0</v>
      </c>
      <c r="AU334">
        <v>0</v>
      </c>
      <c r="AV334">
        <v>0</v>
      </c>
      <c r="AW334">
        <v>0</v>
      </c>
      <c r="AX334">
        <v>0</v>
      </c>
      <c r="AY334">
        <v>15</v>
      </c>
      <c r="AZ334">
        <v>1</v>
      </c>
      <c r="BA334">
        <v>8</v>
      </c>
      <c r="BB334">
        <v>7</v>
      </c>
      <c r="BC334">
        <v>32</v>
      </c>
      <c r="BD334">
        <v>0</v>
      </c>
      <c r="BE334">
        <v>5.5</v>
      </c>
      <c r="BF334">
        <v>30.5</v>
      </c>
      <c r="BG334">
        <v>7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C334">
        <v>0</v>
      </c>
      <c r="DD334">
        <v>0</v>
      </c>
      <c r="DE334">
        <v>0</v>
      </c>
      <c r="DF334">
        <v>0</v>
      </c>
      <c r="DH334">
        <v>0</v>
      </c>
      <c r="DI334">
        <v>0</v>
      </c>
    </row>
    <row r="335" spans="1:113" ht="15" customHeight="1" x14ac:dyDescent="0.25">
      <c r="A335" t="s">
        <v>2504</v>
      </c>
      <c r="B335" t="s">
        <v>2505</v>
      </c>
      <c r="C335" t="s">
        <v>2506</v>
      </c>
      <c r="D335" t="s">
        <v>1233</v>
      </c>
      <c r="E335" t="s">
        <v>1234</v>
      </c>
      <c r="F335" t="s">
        <v>2507</v>
      </c>
      <c r="G335">
        <v>2025</v>
      </c>
      <c r="H335" t="s">
        <v>1160</v>
      </c>
      <c r="I335" t="s">
        <v>142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Y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S335">
        <v>0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5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C335">
        <v>0</v>
      </c>
      <c r="DD335">
        <v>0</v>
      </c>
      <c r="DE335">
        <v>0</v>
      </c>
      <c r="DF335">
        <v>0</v>
      </c>
      <c r="DH335">
        <v>0</v>
      </c>
      <c r="DI335">
        <v>0</v>
      </c>
    </row>
    <row r="336" spans="1:113" ht="15" customHeight="1" x14ac:dyDescent="0.25">
      <c r="A336" t="s">
        <v>2508</v>
      </c>
      <c r="B336" t="s">
        <v>2509</v>
      </c>
      <c r="C336" t="s">
        <v>2510</v>
      </c>
      <c r="D336" t="s">
        <v>1350</v>
      </c>
      <c r="E336" t="s">
        <v>1307</v>
      </c>
      <c r="F336" t="s">
        <v>2511</v>
      </c>
      <c r="G336">
        <v>2025</v>
      </c>
      <c r="H336" t="s">
        <v>1160</v>
      </c>
      <c r="I336" t="s">
        <v>99</v>
      </c>
      <c r="J336">
        <v>13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Y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>
        <v>0</v>
      </c>
      <c r="AU336">
        <v>0</v>
      </c>
      <c r="AV336">
        <v>0</v>
      </c>
      <c r="AW336">
        <v>0</v>
      </c>
      <c r="AX336">
        <v>0</v>
      </c>
      <c r="AY336">
        <v>34</v>
      </c>
      <c r="AZ336">
        <v>0</v>
      </c>
      <c r="BA336">
        <v>23</v>
      </c>
      <c r="BB336">
        <v>1</v>
      </c>
      <c r="BC336">
        <v>2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4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3</v>
      </c>
      <c r="BU336">
        <v>43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C336">
        <v>0</v>
      </c>
      <c r="DD336">
        <v>0</v>
      </c>
      <c r="DE336">
        <v>0</v>
      </c>
      <c r="DF336">
        <v>0</v>
      </c>
      <c r="DH336">
        <v>0</v>
      </c>
      <c r="DI336">
        <v>0</v>
      </c>
    </row>
    <row r="337" spans="1:113" ht="15" customHeight="1" x14ac:dyDescent="0.25">
      <c r="A337" t="s">
        <v>2512</v>
      </c>
      <c r="B337" t="s">
        <v>2513</v>
      </c>
      <c r="C337" t="s">
        <v>2514</v>
      </c>
      <c r="D337" t="s">
        <v>1350</v>
      </c>
      <c r="E337" t="s">
        <v>1307</v>
      </c>
      <c r="F337" t="s">
        <v>2515</v>
      </c>
      <c r="G337">
        <v>2025</v>
      </c>
      <c r="H337" t="s">
        <v>1160</v>
      </c>
      <c r="I337" t="s">
        <v>111</v>
      </c>
      <c r="J337">
        <v>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Y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>
        <v>0</v>
      </c>
      <c r="AU337">
        <v>0</v>
      </c>
      <c r="AV337">
        <v>0</v>
      </c>
      <c r="AW337">
        <v>0</v>
      </c>
      <c r="AX337">
        <v>0</v>
      </c>
      <c r="AY337">
        <v>23</v>
      </c>
      <c r="AZ337">
        <v>0</v>
      </c>
      <c r="BA337">
        <v>9</v>
      </c>
      <c r="BB337">
        <v>1</v>
      </c>
      <c r="BC337">
        <v>2</v>
      </c>
      <c r="BD337">
        <v>1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4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C337">
        <v>0</v>
      </c>
      <c r="DD337">
        <v>0</v>
      </c>
      <c r="DE337">
        <v>0</v>
      </c>
      <c r="DF337">
        <v>0</v>
      </c>
      <c r="DH337">
        <v>0</v>
      </c>
      <c r="DI337">
        <v>0</v>
      </c>
    </row>
    <row r="338" spans="1:113" ht="15" customHeight="1" x14ac:dyDescent="0.25">
      <c r="A338" t="s">
        <v>2516</v>
      </c>
      <c r="B338" t="s">
        <v>2517</v>
      </c>
      <c r="C338" t="s">
        <v>2518</v>
      </c>
      <c r="D338" t="s">
        <v>1233</v>
      </c>
      <c r="E338" t="s">
        <v>1234</v>
      </c>
      <c r="F338" t="s">
        <v>2519</v>
      </c>
      <c r="G338">
        <v>2025</v>
      </c>
      <c r="H338" t="s">
        <v>1160</v>
      </c>
      <c r="I338" t="s">
        <v>90</v>
      </c>
      <c r="J338">
        <v>16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Y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S338">
        <v>0</v>
      </c>
      <c r="AU338">
        <v>0</v>
      </c>
      <c r="AV338">
        <v>0</v>
      </c>
      <c r="AW338">
        <v>0</v>
      </c>
      <c r="AX338">
        <v>0</v>
      </c>
      <c r="AY338">
        <v>19</v>
      </c>
      <c r="AZ338">
        <v>1</v>
      </c>
      <c r="BA338">
        <v>10</v>
      </c>
      <c r="BB338">
        <v>13</v>
      </c>
      <c r="BC338">
        <v>81</v>
      </c>
      <c r="BD338">
        <v>4</v>
      </c>
      <c r="BE338">
        <v>12</v>
      </c>
      <c r="BF338">
        <v>81</v>
      </c>
      <c r="BG338">
        <v>17</v>
      </c>
      <c r="BH338">
        <v>0</v>
      </c>
      <c r="BI338">
        <v>0</v>
      </c>
      <c r="BJ338">
        <v>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1</v>
      </c>
      <c r="BS338">
        <v>0</v>
      </c>
      <c r="BT338">
        <v>2</v>
      </c>
      <c r="BU338">
        <v>20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C338">
        <v>0</v>
      </c>
      <c r="DD338">
        <v>0</v>
      </c>
      <c r="DE338">
        <v>0</v>
      </c>
      <c r="DF338">
        <v>0</v>
      </c>
      <c r="DH338">
        <v>0</v>
      </c>
      <c r="DI338">
        <v>0</v>
      </c>
    </row>
    <row r="339" spans="1:113" ht="15" customHeight="1" x14ac:dyDescent="0.25">
      <c r="A339" t="s">
        <v>2520</v>
      </c>
      <c r="B339" t="s">
        <v>2521</v>
      </c>
      <c r="C339" t="s">
        <v>664</v>
      </c>
      <c r="D339" t="s">
        <v>439</v>
      </c>
      <c r="E339" t="s">
        <v>439</v>
      </c>
      <c r="F339" t="s">
        <v>2522</v>
      </c>
      <c r="G339">
        <v>2025</v>
      </c>
      <c r="H339" t="s">
        <v>1160</v>
      </c>
      <c r="I339" t="s">
        <v>121</v>
      </c>
      <c r="J339">
        <v>17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Y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H339">
        <v>0</v>
      </c>
      <c r="AI339">
        <v>82</v>
      </c>
      <c r="AJ339">
        <v>106</v>
      </c>
      <c r="AK339">
        <v>777</v>
      </c>
      <c r="AL339">
        <v>3</v>
      </c>
      <c r="AM339">
        <v>1</v>
      </c>
      <c r="AN339">
        <v>0</v>
      </c>
      <c r="AO339">
        <v>659</v>
      </c>
      <c r="AP339">
        <v>358</v>
      </c>
      <c r="AQ339">
        <v>40</v>
      </c>
      <c r="AR339">
        <v>36.716140571652602</v>
      </c>
      <c r="AS339">
        <v>0</v>
      </c>
      <c r="AT339">
        <v>1.17905918057663</v>
      </c>
      <c r="AU339">
        <v>0.19168173598553301</v>
      </c>
      <c r="AV339">
        <v>0.13830010493179401</v>
      </c>
      <c r="AW339">
        <v>0.38433267743055599</v>
      </c>
      <c r="AX339">
        <v>0</v>
      </c>
      <c r="AY339">
        <v>1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5</v>
      </c>
      <c r="BU339">
        <v>40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C339">
        <v>0</v>
      </c>
      <c r="DD339">
        <v>0</v>
      </c>
      <c r="DE339">
        <v>0</v>
      </c>
      <c r="DF339">
        <v>0</v>
      </c>
      <c r="DH339">
        <v>95.7</v>
      </c>
      <c r="DI339">
        <v>177.7</v>
      </c>
    </row>
    <row r="340" spans="1:113" ht="15" customHeight="1" x14ac:dyDescent="0.25">
      <c r="A340" t="s">
        <v>2523</v>
      </c>
      <c r="B340" t="s">
        <v>2524</v>
      </c>
      <c r="C340" t="s">
        <v>2525</v>
      </c>
      <c r="D340" t="s">
        <v>1350</v>
      </c>
      <c r="E340" t="s">
        <v>1307</v>
      </c>
      <c r="F340" t="s">
        <v>2526</v>
      </c>
      <c r="G340">
        <v>2025</v>
      </c>
      <c r="H340" t="s">
        <v>1160</v>
      </c>
      <c r="I340" t="s">
        <v>111</v>
      </c>
      <c r="J340">
        <v>11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Y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>
        <v>0</v>
      </c>
      <c r="AU340">
        <v>0</v>
      </c>
      <c r="AV340">
        <v>0</v>
      </c>
      <c r="AW340">
        <v>0</v>
      </c>
      <c r="AX340">
        <v>0</v>
      </c>
      <c r="AY340">
        <v>36</v>
      </c>
      <c r="AZ340">
        <v>1</v>
      </c>
      <c r="BA340">
        <v>9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2</v>
      </c>
      <c r="BI340">
        <v>34</v>
      </c>
      <c r="BJ340">
        <v>7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1</v>
      </c>
      <c r="BS340">
        <v>0</v>
      </c>
      <c r="BT340">
        <v>3</v>
      </c>
      <c r="BU340">
        <v>11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C340">
        <v>0</v>
      </c>
      <c r="DD340">
        <v>0</v>
      </c>
      <c r="DE340">
        <v>0</v>
      </c>
      <c r="DF340">
        <v>0</v>
      </c>
      <c r="DH340">
        <v>0</v>
      </c>
      <c r="DI340">
        <v>0</v>
      </c>
    </row>
    <row r="341" spans="1:113" ht="15" customHeight="1" x14ac:dyDescent="0.25">
      <c r="A341" t="s">
        <v>2527</v>
      </c>
      <c r="B341" t="s">
        <v>2528</v>
      </c>
      <c r="C341" t="s">
        <v>666</v>
      </c>
      <c r="D341" t="s">
        <v>10</v>
      </c>
      <c r="E341" t="s">
        <v>10</v>
      </c>
      <c r="F341" t="s">
        <v>2529</v>
      </c>
      <c r="G341">
        <v>2025</v>
      </c>
      <c r="H341" t="s">
        <v>1160</v>
      </c>
      <c r="I341" t="s">
        <v>121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Y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H341">
        <v>0</v>
      </c>
      <c r="AI341">
        <v>3</v>
      </c>
      <c r="AJ341">
        <v>4</v>
      </c>
      <c r="AK341">
        <v>30</v>
      </c>
      <c r="AL341">
        <v>0</v>
      </c>
      <c r="AM341">
        <v>0</v>
      </c>
      <c r="AN341">
        <v>0</v>
      </c>
      <c r="AO341">
        <v>33</v>
      </c>
      <c r="AP341">
        <v>14</v>
      </c>
      <c r="AQ341">
        <v>1</v>
      </c>
      <c r="AR341">
        <v>1.35150229306779</v>
      </c>
      <c r="AS341">
        <v>0</v>
      </c>
      <c r="AT341">
        <v>0.90909090909090895</v>
      </c>
      <c r="AU341">
        <v>7.2332730560578703E-3</v>
      </c>
      <c r="AV341">
        <v>6.9254984260230896E-3</v>
      </c>
      <c r="AW341">
        <v>1.5697758482302999E-2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C341">
        <v>0</v>
      </c>
      <c r="DD341">
        <v>0</v>
      </c>
      <c r="DE341">
        <v>0</v>
      </c>
      <c r="DF341">
        <v>0</v>
      </c>
      <c r="DH341">
        <v>3</v>
      </c>
      <c r="DI341">
        <v>6</v>
      </c>
    </row>
    <row r="342" spans="1:113" ht="15" customHeight="1" x14ac:dyDescent="0.25">
      <c r="A342" t="s">
        <v>2530</v>
      </c>
      <c r="B342" t="s">
        <v>2531</v>
      </c>
      <c r="C342" t="s">
        <v>2532</v>
      </c>
      <c r="D342" t="s">
        <v>1243</v>
      </c>
      <c r="E342" t="s">
        <v>1190</v>
      </c>
      <c r="F342" t="s">
        <v>2533</v>
      </c>
      <c r="G342">
        <v>2025</v>
      </c>
      <c r="H342" t="s">
        <v>1160</v>
      </c>
      <c r="I342" t="s">
        <v>90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Y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S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C342">
        <v>0</v>
      </c>
      <c r="DD342">
        <v>0</v>
      </c>
      <c r="DE342">
        <v>0</v>
      </c>
      <c r="DF342">
        <v>0</v>
      </c>
      <c r="DH342">
        <v>0</v>
      </c>
      <c r="DI342">
        <v>0</v>
      </c>
    </row>
    <row r="343" spans="1:113" ht="15" customHeight="1" x14ac:dyDescent="0.25">
      <c r="A343" t="s">
        <v>2534</v>
      </c>
      <c r="B343" t="s">
        <v>2535</v>
      </c>
      <c r="C343" t="s">
        <v>2536</v>
      </c>
      <c r="D343" t="s">
        <v>1350</v>
      </c>
      <c r="E343" t="s">
        <v>1307</v>
      </c>
      <c r="F343" t="s">
        <v>2537</v>
      </c>
      <c r="G343">
        <v>2025</v>
      </c>
      <c r="H343" t="s">
        <v>1160</v>
      </c>
      <c r="I343" t="s">
        <v>141</v>
      </c>
      <c r="J343">
        <v>13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Y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S343">
        <v>0</v>
      </c>
      <c r="AU343">
        <v>0</v>
      </c>
      <c r="AV343">
        <v>0</v>
      </c>
      <c r="AW343">
        <v>0</v>
      </c>
      <c r="AX343">
        <v>0</v>
      </c>
      <c r="AY343">
        <v>6</v>
      </c>
      <c r="AZ343">
        <v>0</v>
      </c>
      <c r="BA343">
        <v>11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5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C343">
        <v>0</v>
      </c>
      <c r="DD343">
        <v>0</v>
      </c>
      <c r="DE343">
        <v>0</v>
      </c>
      <c r="DF343">
        <v>0</v>
      </c>
      <c r="DH343">
        <v>0</v>
      </c>
      <c r="DI343">
        <v>0</v>
      </c>
    </row>
    <row r="344" spans="1:113" ht="15" customHeight="1" x14ac:dyDescent="0.25">
      <c r="A344" t="s">
        <v>2538</v>
      </c>
      <c r="B344" t="s">
        <v>2539</v>
      </c>
      <c r="C344" t="s">
        <v>2540</v>
      </c>
      <c r="D344" t="s">
        <v>1243</v>
      </c>
      <c r="E344" t="s">
        <v>1190</v>
      </c>
      <c r="F344" t="s">
        <v>2541</v>
      </c>
      <c r="G344">
        <v>2025</v>
      </c>
      <c r="H344" t="s">
        <v>1160</v>
      </c>
      <c r="I344" t="s">
        <v>121</v>
      </c>
      <c r="J344">
        <v>10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Y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>
        <v>0</v>
      </c>
      <c r="AU344">
        <v>0</v>
      </c>
      <c r="AV344">
        <v>0</v>
      </c>
      <c r="AW344">
        <v>0</v>
      </c>
      <c r="AX344">
        <v>0</v>
      </c>
      <c r="AY344">
        <v>6</v>
      </c>
      <c r="AZ344">
        <v>0</v>
      </c>
      <c r="BA344">
        <v>9</v>
      </c>
      <c r="BB344">
        <v>3</v>
      </c>
      <c r="BC344">
        <v>8</v>
      </c>
      <c r="BD344">
        <v>0</v>
      </c>
      <c r="BE344">
        <v>1</v>
      </c>
      <c r="BF344">
        <v>5</v>
      </c>
      <c r="BG344">
        <v>1</v>
      </c>
      <c r="BH344">
        <v>0</v>
      </c>
      <c r="BI344">
        <v>0</v>
      </c>
      <c r="BJ344">
        <v>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2</v>
      </c>
      <c r="BU344">
        <v>30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C344">
        <v>0</v>
      </c>
      <c r="DD344">
        <v>0</v>
      </c>
      <c r="DE344">
        <v>0</v>
      </c>
      <c r="DF344">
        <v>0</v>
      </c>
      <c r="DH344">
        <v>0</v>
      </c>
      <c r="DI344">
        <v>0</v>
      </c>
    </row>
    <row r="345" spans="1:113" ht="15" customHeight="1" x14ac:dyDescent="0.25">
      <c r="A345" t="s">
        <v>2542</v>
      </c>
      <c r="B345" t="s">
        <v>2543</v>
      </c>
      <c r="C345" t="s">
        <v>2544</v>
      </c>
      <c r="D345" t="s">
        <v>1297</v>
      </c>
      <c r="E345" t="s">
        <v>1220</v>
      </c>
      <c r="F345" t="s">
        <v>2545</v>
      </c>
      <c r="G345">
        <v>2025</v>
      </c>
      <c r="H345" t="s">
        <v>1160</v>
      </c>
      <c r="I345" t="s">
        <v>109</v>
      </c>
      <c r="J345">
        <v>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Y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4</v>
      </c>
      <c r="BU345">
        <v>40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C345">
        <v>0</v>
      </c>
      <c r="DD345">
        <v>0</v>
      </c>
      <c r="DE345">
        <v>0</v>
      </c>
      <c r="DF345">
        <v>0</v>
      </c>
      <c r="DH345">
        <v>0</v>
      </c>
      <c r="DI345">
        <v>0</v>
      </c>
    </row>
    <row r="346" spans="1:113" ht="15" customHeight="1" x14ac:dyDescent="0.25">
      <c r="A346" t="s">
        <v>2546</v>
      </c>
      <c r="B346" t="s">
        <v>2547</v>
      </c>
      <c r="C346" t="s">
        <v>2548</v>
      </c>
      <c r="D346" t="s">
        <v>10</v>
      </c>
      <c r="E346" t="s">
        <v>10</v>
      </c>
      <c r="F346" t="s">
        <v>2549</v>
      </c>
      <c r="G346">
        <v>2025</v>
      </c>
      <c r="H346" t="s">
        <v>1160</v>
      </c>
      <c r="I346" t="s">
        <v>139</v>
      </c>
      <c r="J346">
        <v>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Y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H346">
        <v>0</v>
      </c>
      <c r="AI346">
        <v>7</v>
      </c>
      <c r="AJ346">
        <v>15</v>
      </c>
      <c r="AK346">
        <v>69</v>
      </c>
      <c r="AL346">
        <v>0</v>
      </c>
      <c r="AM346">
        <v>0</v>
      </c>
      <c r="AN346">
        <v>0</v>
      </c>
      <c r="AO346">
        <v>84</v>
      </c>
      <c r="AP346">
        <v>46</v>
      </c>
      <c r="AQ346">
        <v>4</v>
      </c>
      <c r="AR346">
        <v>-9.4519761969614304</v>
      </c>
      <c r="AS346">
        <v>0</v>
      </c>
      <c r="AT346">
        <v>0.82142857142857095</v>
      </c>
      <c r="AU346">
        <v>2.8901734104046201E-2</v>
      </c>
      <c r="AV346">
        <v>2.0143884892086301E-2</v>
      </c>
      <c r="AW346">
        <v>5.74533205805298E-2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2</v>
      </c>
      <c r="BU346">
        <v>15</v>
      </c>
      <c r="BV346">
        <v>2</v>
      </c>
      <c r="BW346">
        <v>0</v>
      </c>
      <c r="BX346">
        <v>4</v>
      </c>
      <c r="BY346">
        <v>91</v>
      </c>
      <c r="BZ346">
        <v>0</v>
      </c>
      <c r="CA346">
        <v>0</v>
      </c>
      <c r="CB346">
        <v>0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C346">
        <v>0</v>
      </c>
      <c r="DD346">
        <v>0</v>
      </c>
      <c r="DE346">
        <v>0</v>
      </c>
      <c r="DF346">
        <v>0</v>
      </c>
      <c r="DH346">
        <v>6.9</v>
      </c>
      <c r="DI346">
        <v>13.9</v>
      </c>
    </row>
    <row r="347" spans="1:113" ht="15" customHeight="1" x14ac:dyDescent="0.25">
      <c r="A347" t="s">
        <v>2550</v>
      </c>
      <c r="B347" t="s">
        <v>2551</v>
      </c>
      <c r="C347" t="s">
        <v>2552</v>
      </c>
      <c r="D347" t="s">
        <v>1234</v>
      </c>
      <c r="E347" t="s">
        <v>1234</v>
      </c>
      <c r="F347" t="s">
        <v>2553</v>
      </c>
      <c r="G347">
        <v>2025</v>
      </c>
      <c r="H347" t="s">
        <v>1160</v>
      </c>
      <c r="I347" t="s">
        <v>106</v>
      </c>
      <c r="J347">
        <v>17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Y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S347">
        <v>0</v>
      </c>
      <c r="AU347">
        <v>0</v>
      </c>
      <c r="AV347">
        <v>0</v>
      </c>
      <c r="AW347">
        <v>0</v>
      </c>
      <c r="AX347">
        <v>0</v>
      </c>
      <c r="AY347">
        <v>68</v>
      </c>
      <c r="AZ347">
        <v>1</v>
      </c>
      <c r="BA347">
        <v>74</v>
      </c>
      <c r="BB347">
        <v>5</v>
      </c>
      <c r="BC347">
        <v>14</v>
      </c>
      <c r="BD347">
        <v>2</v>
      </c>
      <c r="BE347">
        <v>1</v>
      </c>
      <c r="BF347">
        <v>3</v>
      </c>
      <c r="BG347">
        <v>2</v>
      </c>
      <c r="BH347">
        <v>1</v>
      </c>
      <c r="BI347">
        <v>0</v>
      </c>
      <c r="BJ347">
        <v>11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</v>
      </c>
      <c r="BR347">
        <v>1</v>
      </c>
      <c r="BS347">
        <v>0</v>
      </c>
      <c r="BT347">
        <v>1</v>
      </c>
      <c r="BU347">
        <v>5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C347">
        <v>0</v>
      </c>
      <c r="DD347">
        <v>0</v>
      </c>
      <c r="DE347">
        <v>0</v>
      </c>
      <c r="DF347">
        <v>0</v>
      </c>
      <c r="DH347">
        <v>0</v>
      </c>
      <c r="DI347">
        <v>0</v>
      </c>
    </row>
    <row r="348" spans="1:113" ht="15" customHeight="1" x14ac:dyDescent="0.25">
      <c r="A348" t="s">
        <v>2554</v>
      </c>
      <c r="B348" t="s">
        <v>2555</v>
      </c>
      <c r="C348" t="s">
        <v>795</v>
      </c>
      <c r="D348" t="s">
        <v>10</v>
      </c>
      <c r="E348" t="s">
        <v>10</v>
      </c>
      <c r="F348" t="s">
        <v>2556</v>
      </c>
      <c r="G348">
        <v>2025</v>
      </c>
      <c r="H348" t="s">
        <v>1160</v>
      </c>
      <c r="I348" t="s">
        <v>133</v>
      </c>
      <c r="J348">
        <v>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Y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H348">
        <v>0</v>
      </c>
      <c r="AI348">
        <v>5</v>
      </c>
      <c r="AJ348">
        <v>9</v>
      </c>
      <c r="AK348">
        <v>44</v>
      </c>
      <c r="AL348">
        <v>0</v>
      </c>
      <c r="AM348">
        <v>0</v>
      </c>
      <c r="AN348">
        <v>0</v>
      </c>
      <c r="AO348">
        <v>79</v>
      </c>
      <c r="AP348">
        <v>25</v>
      </c>
      <c r="AQ348">
        <v>3</v>
      </c>
      <c r="AR348">
        <v>-2.2143118286039698</v>
      </c>
      <c r="AS348">
        <v>0</v>
      </c>
      <c r="AT348">
        <v>0.556962025316456</v>
      </c>
      <c r="AU348">
        <v>1.9480519480519501E-2</v>
      </c>
      <c r="AV348">
        <v>2.34979179060083E-2</v>
      </c>
      <c r="AW348">
        <v>4.5669321754984997E-2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10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C348">
        <v>0</v>
      </c>
      <c r="DD348">
        <v>0</v>
      </c>
      <c r="DE348">
        <v>0</v>
      </c>
      <c r="DF348">
        <v>0</v>
      </c>
      <c r="DH348">
        <v>4.4000000000000004</v>
      </c>
      <c r="DI348">
        <v>9.4</v>
      </c>
    </row>
    <row r="349" spans="1:113" ht="15" customHeight="1" x14ac:dyDescent="0.25">
      <c r="A349" t="s">
        <v>2557</v>
      </c>
      <c r="B349" t="s">
        <v>2558</v>
      </c>
      <c r="C349" t="s">
        <v>2559</v>
      </c>
      <c r="D349" t="s">
        <v>10</v>
      </c>
      <c r="E349" t="s">
        <v>10</v>
      </c>
      <c r="F349" t="s">
        <v>2560</v>
      </c>
      <c r="G349">
        <v>2025</v>
      </c>
      <c r="H349" t="s">
        <v>1160</v>
      </c>
      <c r="I349" t="s">
        <v>121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Y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H349">
        <v>0</v>
      </c>
      <c r="AI349">
        <v>6</v>
      </c>
      <c r="AJ349">
        <v>8</v>
      </c>
      <c r="AK349">
        <v>37</v>
      </c>
      <c r="AL349">
        <v>0</v>
      </c>
      <c r="AM349">
        <v>0</v>
      </c>
      <c r="AN349">
        <v>0</v>
      </c>
      <c r="AO349">
        <v>24</v>
      </c>
      <c r="AP349">
        <v>18</v>
      </c>
      <c r="AQ349">
        <v>3</v>
      </c>
      <c r="AR349">
        <v>2.3596400750102502</v>
      </c>
      <c r="AS349">
        <v>0</v>
      </c>
      <c r="AT349">
        <v>1.5416666666666701</v>
      </c>
      <c r="AU349">
        <v>1.4466546112115701E-2</v>
      </c>
      <c r="AV349">
        <v>5.0367261280167899E-3</v>
      </c>
      <c r="AW349">
        <v>2.5225527457785401E-2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3</v>
      </c>
      <c r="BW349">
        <v>25</v>
      </c>
      <c r="BX349">
        <v>3</v>
      </c>
      <c r="BY349">
        <v>81</v>
      </c>
      <c r="BZ349">
        <v>0</v>
      </c>
      <c r="CA349">
        <v>0</v>
      </c>
      <c r="CB349">
        <v>0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C349">
        <v>0</v>
      </c>
      <c r="DD349">
        <v>0</v>
      </c>
      <c r="DE349">
        <v>0</v>
      </c>
      <c r="DF349">
        <v>0</v>
      </c>
      <c r="DH349">
        <v>3.7</v>
      </c>
      <c r="DI349">
        <v>9.6999999999999993</v>
      </c>
    </row>
    <row r="350" spans="1:113" ht="15" customHeight="1" x14ac:dyDescent="0.25">
      <c r="A350" t="s">
        <v>2561</v>
      </c>
      <c r="B350" t="s">
        <v>2562</v>
      </c>
      <c r="C350" t="s">
        <v>2563</v>
      </c>
      <c r="D350" t="s">
        <v>1219</v>
      </c>
      <c r="E350" t="s">
        <v>1220</v>
      </c>
      <c r="F350" t="s">
        <v>2564</v>
      </c>
      <c r="G350">
        <v>2025</v>
      </c>
      <c r="H350" t="s">
        <v>1160</v>
      </c>
      <c r="I350" t="s">
        <v>120</v>
      </c>
      <c r="J350">
        <v>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Y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S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6</v>
      </c>
      <c r="BU350">
        <v>45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C350">
        <v>0</v>
      </c>
      <c r="DD350">
        <v>0</v>
      </c>
      <c r="DE350">
        <v>0</v>
      </c>
      <c r="DF350">
        <v>0</v>
      </c>
      <c r="DH350">
        <v>0</v>
      </c>
      <c r="DI350">
        <v>0</v>
      </c>
    </row>
    <row r="351" spans="1:113" ht="15" customHeight="1" x14ac:dyDescent="0.25">
      <c r="A351" t="s">
        <v>2565</v>
      </c>
      <c r="B351" t="s">
        <v>2566</v>
      </c>
      <c r="C351" t="s">
        <v>2567</v>
      </c>
      <c r="D351" t="s">
        <v>1233</v>
      </c>
      <c r="E351" t="s">
        <v>1234</v>
      </c>
      <c r="F351" t="s">
        <v>2568</v>
      </c>
      <c r="G351">
        <v>2025</v>
      </c>
      <c r="H351" t="s">
        <v>1160</v>
      </c>
      <c r="I351" t="s">
        <v>124</v>
      </c>
      <c r="J351">
        <v>17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Y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>
        <v>0</v>
      </c>
      <c r="AU351">
        <v>0</v>
      </c>
      <c r="AV351">
        <v>0</v>
      </c>
      <c r="AW351">
        <v>0</v>
      </c>
      <c r="AX351">
        <v>0</v>
      </c>
      <c r="AY351">
        <v>60</v>
      </c>
      <c r="AZ351">
        <v>2</v>
      </c>
      <c r="BA351">
        <v>63</v>
      </c>
      <c r="BB351">
        <v>7</v>
      </c>
      <c r="BC351">
        <v>36</v>
      </c>
      <c r="BD351">
        <v>1</v>
      </c>
      <c r="BE351">
        <v>2</v>
      </c>
      <c r="BF351">
        <v>26</v>
      </c>
      <c r="BG351">
        <v>6</v>
      </c>
      <c r="BH351">
        <v>0</v>
      </c>
      <c r="BI351">
        <v>0</v>
      </c>
      <c r="BJ351">
        <v>5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3</v>
      </c>
      <c r="BU351">
        <v>36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C351">
        <v>0</v>
      </c>
      <c r="DD351">
        <v>0</v>
      </c>
      <c r="DE351">
        <v>0</v>
      </c>
      <c r="DF351">
        <v>0</v>
      </c>
      <c r="DH351">
        <v>0</v>
      </c>
      <c r="DI351">
        <v>0</v>
      </c>
    </row>
    <row r="352" spans="1:113" ht="15" customHeight="1" x14ac:dyDescent="0.25">
      <c r="A352" t="s">
        <v>2569</v>
      </c>
      <c r="B352" t="s">
        <v>2570</v>
      </c>
      <c r="C352" t="s">
        <v>2571</v>
      </c>
      <c r="D352" t="s">
        <v>1209</v>
      </c>
      <c r="E352" t="s">
        <v>1169</v>
      </c>
      <c r="F352" t="s">
        <v>2572</v>
      </c>
      <c r="G352">
        <v>2025</v>
      </c>
      <c r="H352" t="s">
        <v>1160</v>
      </c>
      <c r="I352" t="s">
        <v>106</v>
      </c>
      <c r="J352">
        <v>16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Y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C352">
        <v>0</v>
      </c>
      <c r="DD352">
        <v>0</v>
      </c>
      <c r="DE352">
        <v>0</v>
      </c>
      <c r="DF352">
        <v>0</v>
      </c>
      <c r="DH352">
        <v>0</v>
      </c>
      <c r="DI352">
        <v>0</v>
      </c>
    </row>
    <row r="353" spans="1:113" ht="15" customHeight="1" x14ac:dyDescent="0.25">
      <c r="A353" t="s">
        <v>2573</v>
      </c>
      <c r="B353" t="s">
        <v>2574</v>
      </c>
      <c r="C353" t="s">
        <v>2575</v>
      </c>
      <c r="D353" t="s">
        <v>1350</v>
      </c>
      <c r="E353" t="s">
        <v>1307</v>
      </c>
      <c r="F353" t="s">
        <v>2576</v>
      </c>
      <c r="G353">
        <v>2025</v>
      </c>
      <c r="H353" t="s">
        <v>1160</v>
      </c>
      <c r="I353" t="s">
        <v>107</v>
      </c>
      <c r="J353">
        <v>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Y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>
        <v>0</v>
      </c>
      <c r="AU353">
        <v>0</v>
      </c>
      <c r="AV353">
        <v>0</v>
      </c>
      <c r="AW353">
        <v>0</v>
      </c>
      <c r="AX353">
        <v>0</v>
      </c>
      <c r="AY353">
        <v>7</v>
      </c>
      <c r="AZ353">
        <v>0</v>
      </c>
      <c r="BA353">
        <v>13</v>
      </c>
      <c r="BB353">
        <v>2</v>
      </c>
      <c r="BC353">
        <v>13</v>
      </c>
      <c r="BD353">
        <v>1</v>
      </c>
      <c r="BE353">
        <v>1</v>
      </c>
      <c r="BF353">
        <v>9</v>
      </c>
      <c r="BG353">
        <v>2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5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C353">
        <v>0</v>
      </c>
      <c r="DD353">
        <v>0</v>
      </c>
      <c r="DE353">
        <v>0</v>
      </c>
      <c r="DF353">
        <v>0</v>
      </c>
      <c r="DH353">
        <v>0</v>
      </c>
      <c r="DI353">
        <v>0</v>
      </c>
    </row>
    <row r="354" spans="1:113" ht="15" customHeight="1" x14ac:dyDescent="0.25">
      <c r="A354" t="s">
        <v>2577</v>
      </c>
      <c r="B354" t="s">
        <v>2578</v>
      </c>
      <c r="C354" t="s">
        <v>2579</v>
      </c>
      <c r="D354" t="s">
        <v>1684</v>
      </c>
      <c r="E354" t="s">
        <v>1307</v>
      </c>
      <c r="F354" t="s">
        <v>2580</v>
      </c>
      <c r="G354">
        <v>2025</v>
      </c>
      <c r="H354" t="s">
        <v>1160</v>
      </c>
      <c r="I354" t="s">
        <v>143</v>
      </c>
      <c r="J354">
        <v>17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Y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53</v>
      </c>
      <c r="AZ354">
        <v>4</v>
      </c>
      <c r="BA354">
        <v>34</v>
      </c>
      <c r="BB354">
        <v>5</v>
      </c>
      <c r="BC354">
        <v>10</v>
      </c>
      <c r="BD354">
        <v>0</v>
      </c>
      <c r="BE354">
        <v>1</v>
      </c>
      <c r="BF354">
        <v>2</v>
      </c>
      <c r="BG354">
        <v>2</v>
      </c>
      <c r="BH354">
        <v>1</v>
      </c>
      <c r="BI354">
        <v>28</v>
      </c>
      <c r="BJ354">
        <v>7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2</v>
      </c>
      <c r="BU354">
        <v>13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C354">
        <v>0</v>
      </c>
      <c r="DD354">
        <v>0</v>
      </c>
      <c r="DE354">
        <v>0</v>
      </c>
      <c r="DF354">
        <v>0</v>
      </c>
      <c r="DH354">
        <v>0</v>
      </c>
      <c r="DI354">
        <v>0</v>
      </c>
    </row>
    <row r="355" spans="1:113" ht="15" customHeight="1" x14ac:dyDescent="0.25">
      <c r="A355" t="s">
        <v>2581</v>
      </c>
      <c r="B355" t="s">
        <v>2582</v>
      </c>
      <c r="C355" t="s">
        <v>2583</v>
      </c>
      <c r="D355" t="s">
        <v>1234</v>
      </c>
      <c r="E355" t="s">
        <v>1234</v>
      </c>
      <c r="F355" t="s">
        <v>2584</v>
      </c>
      <c r="G355">
        <v>2025</v>
      </c>
      <c r="H355" t="s">
        <v>1160</v>
      </c>
      <c r="I355" t="s">
        <v>106</v>
      </c>
      <c r="J355">
        <v>15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Y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27</v>
      </c>
      <c r="AZ355">
        <v>1</v>
      </c>
      <c r="BA355">
        <v>20</v>
      </c>
      <c r="BB355">
        <v>6</v>
      </c>
      <c r="BC355">
        <v>20</v>
      </c>
      <c r="BD355">
        <v>1</v>
      </c>
      <c r="BE355">
        <v>2.5</v>
      </c>
      <c r="BF355">
        <v>20.5</v>
      </c>
      <c r="BG355">
        <v>9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4</v>
      </c>
      <c r="BU355">
        <v>15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C355">
        <v>0</v>
      </c>
      <c r="DD355">
        <v>0</v>
      </c>
      <c r="DE355">
        <v>0</v>
      </c>
      <c r="DF355">
        <v>0</v>
      </c>
      <c r="DH355">
        <v>0</v>
      </c>
      <c r="DI355">
        <v>0</v>
      </c>
    </row>
    <row r="356" spans="1:113" ht="15" customHeight="1" x14ac:dyDescent="0.25">
      <c r="A356" t="s">
        <v>2585</v>
      </c>
      <c r="B356" t="s">
        <v>2586</v>
      </c>
      <c r="C356" t="s">
        <v>2587</v>
      </c>
      <c r="D356" t="s">
        <v>1307</v>
      </c>
      <c r="E356" t="s">
        <v>1307</v>
      </c>
      <c r="F356" t="s">
        <v>2588</v>
      </c>
      <c r="G356">
        <v>2025</v>
      </c>
      <c r="H356" t="s">
        <v>1160</v>
      </c>
      <c r="I356" t="s">
        <v>104</v>
      </c>
      <c r="J356">
        <v>13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Y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Y356">
        <v>9</v>
      </c>
      <c r="AZ356">
        <v>0</v>
      </c>
      <c r="BA356">
        <v>10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C356">
        <v>0</v>
      </c>
      <c r="DD356">
        <v>0</v>
      </c>
      <c r="DE356">
        <v>0</v>
      </c>
      <c r="DF356">
        <v>0</v>
      </c>
      <c r="DH356">
        <v>0</v>
      </c>
      <c r="DI356">
        <v>0</v>
      </c>
    </row>
    <row r="357" spans="1:113" ht="15" customHeight="1" x14ac:dyDescent="0.25">
      <c r="A357" t="s">
        <v>2589</v>
      </c>
      <c r="B357" t="s">
        <v>2590</v>
      </c>
      <c r="C357" t="s">
        <v>2591</v>
      </c>
      <c r="D357" t="s">
        <v>10</v>
      </c>
      <c r="E357" t="s">
        <v>10</v>
      </c>
      <c r="F357" t="s">
        <v>2592</v>
      </c>
      <c r="G357">
        <v>2025</v>
      </c>
      <c r="H357" t="s">
        <v>1160</v>
      </c>
      <c r="I357" t="s">
        <v>90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Y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H357">
        <v>0</v>
      </c>
      <c r="AI357">
        <v>3</v>
      </c>
      <c r="AJ357">
        <v>5</v>
      </c>
      <c r="AK357">
        <v>21</v>
      </c>
      <c r="AL357">
        <v>0</v>
      </c>
      <c r="AM357">
        <v>0</v>
      </c>
      <c r="AN357">
        <v>0</v>
      </c>
      <c r="AO357">
        <v>45</v>
      </c>
      <c r="AP357">
        <v>14</v>
      </c>
      <c r="AQ357">
        <v>1</v>
      </c>
      <c r="AR357">
        <v>-0.85467459616484098</v>
      </c>
      <c r="AS357">
        <v>0</v>
      </c>
      <c r="AT357">
        <v>0.46666666666666701</v>
      </c>
      <c r="AU357">
        <v>8.5616438356164396E-3</v>
      </c>
      <c r="AV357">
        <v>1.0026737967914401E-2</v>
      </c>
      <c r="AW357">
        <v>1.9861182330964799E-2</v>
      </c>
      <c r="AX357">
        <v>0</v>
      </c>
      <c r="AY357">
        <v>3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3</v>
      </c>
      <c r="BU357">
        <v>30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C357">
        <v>0</v>
      </c>
      <c r="DD357">
        <v>0</v>
      </c>
      <c r="DE357">
        <v>0</v>
      </c>
      <c r="DF357">
        <v>0</v>
      </c>
      <c r="DH357">
        <v>2.1</v>
      </c>
      <c r="DI357">
        <v>5.0999999999999996</v>
      </c>
    </row>
    <row r="358" spans="1:113" ht="15" customHeight="1" x14ac:dyDescent="0.25">
      <c r="A358" t="s">
        <v>2593</v>
      </c>
      <c r="B358" t="s">
        <v>2594</v>
      </c>
      <c r="C358" t="s">
        <v>2595</v>
      </c>
      <c r="D358" t="s">
        <v>1684</v>
      </c>
      <c r="E358" t="s">
        <v>1307</v>
      </c>
      <c r="F358" t="s">
        <v>2596</v>
      </c>
      <c r="G358">
        <v>2025</v>
      </c>
      <c r="H358" t="s">
        <v>1160</v>
      </c>
      <c r="I358" t="s">
        <v>137</v>
      </c>
      <c r="J358">
        <v>14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Y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S358">
        <v>0</v>
      </c>
      <c r="AU358">
        <v>0</v>
      </c>
      <c r="AV358">
        <v>0</v>
      </c>
      <c r="AW358">
        <v>0</v>
      </c>
      <c r="AX358">
        <v>0</v>
      </c>
      <c r="AY358">
        <v>11</v>
      </c>
      <c r="AZ358">
        <v>0</v>
      </c>
      <c r="BA358">
        <v>12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</v>
      </c>
      <c r="BU358">
        <v>50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C358">
        <v>0</v>
      </c>
      <c r="DD358">
        <v>0</v>
      </c>
      <c r="DE358">
        <v>0</v>
      </c>
      <c r="DF358">
        <v>0</v>
      </c>
      <c r="DH358">
        <v>0</v>
      </c>
      <c r="DI358">
        <v>0</v>
      </c>
    </row>
    <row r="359" spans="1:113" ht="15" customHeight="1" x14ac:dyDescent="0.25">
      <c r="A359" t="s">
        <v>2597</v>
      </c>
      <c r="B359" t="s">
        <v>2598</v>
      </c>
      <c r="C359" t="s">
        <v>2599</v>
      </c>
      <c r="D359" t="s">
        <v>1297</v>
      </c>
      <c r="E359" t="s">
        <v>1220</v>
      </c>
      <c r="F359" t="s">
        <v>2600</v>
      </c>
      <c r="G359">
        <v>2025</v>
      </c>
      <c r="H359" t="s">
        <v>1160</v>
      </c>
      <c r="I359" t="s">
        <v>90</v>
      </c>
      <c r="J359">
        <v>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Y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4</v>
      </c>
      <c r="BU359">
        <v>28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C359">
        <v>0</v>
      </c>
      <c r="DD359">
        <v>0</v>
      </c>
      <c r="DE359">
        <v>0</v>
      </c>
      <c r="DF359">
        <v>0</v>
      </c>
      <c r="DH359">
        <v>0</v>
      </c>
      <c r="DI359">
        <v>0</v>
      </c>
    </row>
    <row r="360" spans="1:113" ht="15" customHeight="1" x14ac:dyDescent="0.25">
      <c r="A360" t="s">
        <v>2601</v>
      </c>
      <c r="B360" t="s">
        <v>2602</v>
      </c>
      <c r="C360" t="s">
        <v>2603</v>
      </c>
      <c r="D360" t="s">
        <v>10</v>
      </c>
      <c r="E360" t="s">
        <v>10</v>
      </c>
      <c r="F360" t="s">
        <v>2604</v>
      </c>
      <c r="G360">
        <v>2025</v>
      </c>
      <c r="H360" t="s">
        <v>1160</v>
      </c>
      <c r="I360" t="s">
        <v>101</v>
      </c>
      <c r="J360">
        <v>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Y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H360">
        <v>0</v>
      </c>
      <c r="AI360">
        <v>10</v>
      </c>
      <c r="AJ360">
        <v>18</v>
      </c>
      <c r="AK360">
        <v>70</v>
      </c>
      <c r="AL360">
        <v>1</v>
      </c>
      <c r="AM360">
        <v>0</v>
      </c>
      <c r="AN360">
        <v>0</v>
      </c>
      <c r="AO360">
        <v>142</v>
      </c>
      <c r="AP360">
        <v>33</v>
      </c>
      <c r="AQ360">
        <v>4</v>
      </c>
      <c r="AR360">
        <v>-9.6573881845688394</v>
      </c>
      <c r="AS360">
        <v>0</v>
      </c>
      <c r="AT360">
        <v>0.49295774647887303</v>
      </c>
      <c r="AU360">
        <v>3.8135593220338999E-2</v>
      </c>
      <c r="AV360">
        <v>4.1715628672150402E-2</v>
      </c>
      <c r="AW360">
        <v>8.6404329901013793E-2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5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C360">
        <v>0</v>
      </c>
      <c r="DD360">
        <v>0</v>
      </c>
      <c r="DE360">
        <v>0</v>
      </c>
      <c r="DF360">
        <v>0</v>
      </c>
      <c r="DH360">
        <v>13</v>
      </c>
      <c r="DI360">
        <v>23</v>
      </c>
    </row>
    <row r="361" spans="1:113" ht="15" customHeight="1" x14ac:dyDescent="0.25">
      <c r="A361" t="s">
        <v>2605</v>
      </c>
      <c r="B361" t="s">
        <v>2606</v>
      </c>
      <c r="C361" t="s">
        <v>2607</v>
      </c>
      <c r="D361" t="s">
        <v>1219</v>
      </c>
      <c r="E361" t="s">
        <v>1220</v>
      </c>
      <c r="F361" t="s">
        <v>2608</v>
      </c>
      <c r="G361">
        <v>2025</v>
      </c>
      <c r="H361" t="s">
        <v>1160</v>
      </c>
      <c r="I361" t="s">
        <v>143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Y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S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5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C361">
        <v>0</v>
      </c>
      <c r="DD361">
        <v>0</v>
      </c>
      <c r="DE361">
        <v>0</v>
      </c>
      <c r="DF361">
        <v>0</v>
      </c>
      <c r="DH361">
        <v>0</v>
      </c>
      <c r="DI361">
        <v>0</v>
      </c>
    </row>
    <row r="362" spans="1:113" ht="15" customHeight="1" x14ac:dyDescent="0.25">
      <c r="A362" t="s">
        <v>2609</v>
      </c>
      <c r="B362" t="s">
        <v>2610</v>
      </c>
      <c r="C362" t="s">
        <v>2611</v>
      </c>
      <c r="D362" t="s">
        <v>1350</v>
      </c>
      <c r="E362" t="s">
        <v>1307</v>
      </c>
      <c r="F362" t="s">
        <v>2612</v>
      </c>
      <c r="G362">
        <v>2025</v>
      </c>
      <c r="H362" t="s">
        <v>1160</v>
      </c>
      <c r="I362" t="s">
        <v>124</v>
      </c>
      <c r="J362">
        <v>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Y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>
        <v>0</v>
      </c>
      <c r="AU362">
        <v>0</v>
      </c>
      <c r="AV362">
        <v>0</v>
      </c>
      <c r="AW362">
        <v>0</v>
      </c>
      <c r="AX362">
        <v>0</v>
      </c>
      <c r="AY362">
        <v>17</v>
      </c>
      <c r="AZ362">
        <v>0</v>
      </c>
      <c r="BA362">
        <v>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7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1</v>
      </c>
      <c r="BS362">
        <v>0</v>
      </c>
      <c r="BT362">
        <v>2</v>
      </c>
      <c r="BU362">
        <v>17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C362">
        <v>0</v>
      </c>
      <c r="DD362">
        <v>0</v>
      </c>
      <c r="DE362">
        <v>0</v>
      </c>
      <c r="DF362">
        <v>0</v>
      </c>
      <c r="DH362">
        <v>0</v>
      </c>
      <c r="DI362">
        <v>0</v>
      </c>
    </row>
    <row r="363" spans="1:113" ht="15" customHeight="1" x14ac:dyDescent="0.25">
      <c r="A363" t="s">
        <v>2613</v>
      </c>
      <c r="B363" t="s">
        <v>1369</v>
      </c>
      <c r="C363" t="s">
        <v>2614</v>
      </c>
      <c r="D363" t="s">
        <v>1158</v>
      </c>
      <c r="E363" t="s">
        <v>1158</v>
      </c>
      <c r="F363" t="s">
        <v>2615</v>
      </c>
      <c r="G363">
        <v>2025</v>
      </c>
      <c r="H363" t="s">
        <v>1160</v>
      </c>
      <c r="I363" t="s">
        <v>111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</v>
      </c>
      <c r="U363">
        <v>0</v>
      </c>
      <c r="V363">
        <v>0</v>
      </c>
      <c r="W363">
        <v>-1.35526536774439</v>
      </c>
      <c r="X363">
        <v>-63.749358057975797</v>
      </c>
      <c r="Y363">
        <v>0</v>
      </c>
      <c r="Z363">
        <v>0</v>
      </c>
      <c r="AA363">
        <v>3</v>
      </c>
      <c r="AB363">
        <v>-3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C363">
        <v>0</v>
      </c>
      <c r="DD363">
        <v>0</v>
      </c>
      <c r="DE363">
        <v>0</v>
      </c>
      <c r="DF363">
        <v>0</v>
      </c>
      <c r="DH363">
        <v>-0.3</v>
      </c>
      <c r="DI363">
        <v>-0.3</v>
      </c>
    </row>
    <row r="364" spans="1:113" ht="15" customHeight="1" x14ac:dyDescent="0.25">
      <c r="A364" t="s">
        <v>2616</v>
      </c>
      <c r="B364" t="s">
        <v>2617</v>
      </c>
      <c r="C364" t="s">
        <v>544</v>
      </c>
      <c r="D364" t="s">
        <v>439</v>
      </c>
      <c r="E364" t="s">
        <v>439</v>
      </c>
      <c r="F364" t="s">
        <v>2618</v>
      </c>
      <c r="G364">
        <v>2025</v>
      </c>
      <c r="H364" t="s">
        <v>1160</v>
      </c>
      <c r="I364" t="s">
        <v>107</v>
      </c>
      <c r="J364">
        <v>10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Y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H364">
        <v>0</v>
      </c>
      <c r="AI364">
        <v>19</v>
      </c>
      <c r="AJ364">
        <v>24</v>
      </c>
      <c r="AK364">
        <v>168</v>
      </c>
      <c r="AL364">
        <v>2</v>
      </c>
      <c r="AM364">
        <v>0</v>
      </c>
      <c r="AN364">
        <v>0</v>
      </c>
      <c r="AO364">
        <v>119</v>
      </c>
      <c r="AP364">
        <v>83</v>
      </c>
      <c r="AQ364">
        <v>8</v>
      </c>
      <c r="AR364">
        <v>0.56614770069751297</v>
      </c>
      <c r="AS364">
        <v>0</v>
      </c>
      <c r="AT364">
        <v>1.4117647058823499</v>
      </c>
      <c r="AU364">
        <v>3.94736842105263E-2</v>
      </c>
      <c r="AV364">
        <v>2.5281495644784401E-2</v>
      </c>
      <c r="AW364">
        <v>7.6907573267138499E-2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10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C364">
        <v>0</v>
      </c>
      <c r="DD364">
        <v>0</v>
      </c>
      <c r="DE364">
        <v>0</v>
      </c>
      <c r="DF364">
        <v>0</v>
      </c>
      <c r="DH364">
        <v>28.8</v>
      </c>
      <c r="DI364">
        <v>47.8</v>
      </c>
    </row>
    <row r="365" spans="1:113" ht="15" customHeight="1" x14ac:dyDescent="0.25">
      <c r="A365" t="s">
        <v>2619</v>
      </c>
      <c r="B365" t="s">
        <v>2620</v>
      </c>
      <c r="C365" t="s">
        <v>2621</v>
      </c>
      <c r="D365" t="s">
        <v>1350</v>
      </c>
      <c r="E365" t="s">
        <v>1307</v>
      </c>
      <c r="F365" t="s">
        <v>2622</v>
      </c>
      <c r="G365">
        <v>2025</v>
      </c>
      <c r="H365" t="s">
        <v>1160</v>
      </c>
      <c r="I365" t="s">
        <v>93</v>
      </c>
      <c r="J365">
        <v>10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Y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S365">
        <v>0</v>
      </c>
      <c r="AU365">
        <v>0</v>
      </c>
      <c r="AV365">
        <v>0</v>
      </c>
      <c r="AW365">
        <v>0</v>
      </c>
      <c r="AX365">
        <v>0</v>
      </c>
      <c r="AY365">
        <v>12</v>
      </c>
      <c r="AZ365">
        <v>0</v>
      </c>
      <c r="BA365">
        <v>7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0</v>
      </c>
      <c r="BT365">
        <v>1</v>
      </c>
      <c r="BU365">
        <v>10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C365">
        <v>0</v>
      </c>
      <c r="DD365">
        <v>0</v>
      </c>
      <c r="DE365">
        <v>0</v>
      </c>
      <c r="DF365">
        <v>0</v>
      </c>
      <c r="DH365">
        <v>0</v>
      </c>
      <c r="DI365">
        <v>0</v>
      </c>
    </row>
    <row r="366" spans="1:113" ht="15" customHeight="1" x14ac:dyDescent="0.25">
      <c r="A366" t="s">
        <v>2623</v>
      </c>
      <c r="B366" t="s">
        <v>2624</v>
      </c>
      <c r="C366" t="s">
        <v>2625</v>
      </c>
      <c r="D366" t="s">
        <v>1189</v>
      </c>
      <c r="E366" t="s">
        <v>1190</v>
      </c>
      <c r="F366" t="s">
        <v>2626</v>
      </c>
      <c r="G366">
        <v>2025</v>
      </c>
      <c r="H366" t="s">
        <v>1160</v>
      </c>
      <c r="I366" t="s">
        <v>106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8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2</v>
      </c>
      <c r="BH366">
        <v>0</v>
      </c>
      <c r="BI366">
        <v>0</v>
      </c>
      <c r="BJ366">
        <v>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</v>
      </c>
      <c r="BU366">
        <v>5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C366">
        <v>0</v>
      </c>
      <c r="DD366">
        <v>0</v>
      </c>
      <c r="DE366">
        <v>0</v>
      </c>
      <c r="DF366">
        <v>0</v>
      </c>
      <c r="DH366">
        <v>0</v>
      </c>
      <c r="DI366">
        <v>0</v>
      </c>
    </row>
    <row r="367" spans="1:113" ht="15" customHeight="1" x14ac:dyDescent="0.25">
      <c r="A367" t="s">
        <v>2627</v>
      </c>
      <c r="B367" t="s">
        <v>2628</v>
      </c>
      <c r="C367" t="s">
        <v>2629</v>
      </c>
      <c r="D367" t="s">
        <v>1297</v>
      </c>
      <c r="E367" t="s">
        <v>1220</v>
      </c>
      <c r="F367" t="s">
        <v>2630</v>
      </c>
      <c r="G367">
        <v>2025</v>
      </c>
      <c r="H367" t="s">
        <v>1160</v>
      </c>
      <c r="I367" t="s">
        <v>139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2</v>
      </c>
      <c r="BU367">
        <v>15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C367">
        <v>0</v>
      </c>
      <c r="DD367">
        <v>0</v>
      </c>
      <c r="DE367">
        <v>0</v>
      </c>
      <c r="DF367">
        <v>0</v>
      </c>
      <c r="DH367">
        <v>0</v>
      </c>
      <c r="DI367">
        <v>0</v>
      </c>
    </row>
    <row r="368" spans="1:113" ht="15" customHeight="1" x14ac:dyDescent="0.25">
      <c r="A368" t="s">
        <v>2631</v>
      </c>
      <c r="B368" t="s">
        <v>2632</v>
      </c>
      <c r="C368" t="s">
        <v>2633</v>
      </c>
      <c r="D368" t="s">
        <v>1280</v>
      </c>
      <c r="E368" t="s">
        <v>1234</v>
      </c>
      <c r="F368" t="s">
        <v>2634</v>
      </c>
      <c r="G368">
        <v>2025</v>
      </c>
      <c r="H368" t="s">
        <v>1160</v>
      </c>
      <c r="I368" t="s">
        <v>104</v>
      </c>
      <c r="J368">
        <v>13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Y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Y368">
        <v>57</v>
      </c>
      <c r="AZ368">
        <v>4</v>
      </c>
      <c r="BA368">
        <v>51</v>
      </c>
      <c r="BB368">
        <v>3</v>
      </c>
      <c r="BC368">
        <v>23</v>
      </c>
      <c r="BD368">
        <v>0</v>
      </c>
      <c r="BE368">
        <v>1</v>
      </c>
      <c r="BF368">
        <v>10</v>
      </c>
      <c r="BG368">
        <v>3</v>
      </c>
      <c r="BH368">
        <v>4</v>
      </c>
      <c r="BI368">
        <v>10</v>
      </c>
      <c r="BJ368">
        <v>9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1</v>
      </c>
      <c r="BS368">
        <v>0</v>
      </c>
      <c r="BT368">
        <v>1</v>
      </c>
      <c r="BU368">
        <v>22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C368">
        <v>0</v>
      </c>
      <c r="DD368">
        <v>0</v>
      </c>
      <c r="DE368">
        <v>0</v>
      </c>
      <c r="DF368">
        <v>0</v>
      </c>
      <c r="DH368">
        <v>0</v>
      </c>
      <c r="DI368">
        <v>0</v>
      </c>
    </row>
    <row r="369" spans="1:113" ht="15" customHeight="1" x14ac:dyDescent="0.25">
      <c r="A369" t="s">
        <v>2635</v>
      </c>
      <c r="B369" t="s">
        <v>2636</v>
      </c>
      <c r="C369" t="s">
        <v>2637</v>
      </c>
      <c r="D369" t="s">
        <v>1306</v>
      </c>
      <c r="E369" t="s">
        <v>1307</v>
      </c>
      <c r="F369" t="s">
        <v>2638</v>
      </c>
      <c r="G369">
        <v>2025</v>
      </c>
      <c r="H369" t="s">
        <v>1160</v>
      </c>
      <c r="I369" t="s">
        <v>93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Y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Y369">
        <v>56</v>
      </c>
      <c r="AZ369">
        <v>1</v>
      </c>
      <c r="BA369">
        <v>41</v>
      </c>
      <c r="BB369">
        <v>1</v>
      </c>
      <c r="BC369">
        <v>1</v>
      </c>
      <c r="BD369">
        <v>1</v>
      </c>
      <c r="BE369">
        <v>0</v>
      </c>
      <c r="BF369">
        <v>0</v>
      </c>
      <c r="BG369">
        <v>2</v>
      </c>
      <c r="BH369">
        <v>3</v>
      </c>
      <c r="BI369">
        <v>54</v>
      </c>
      <c r="BJ369">
        <v>6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</v>
      </c>
      <c r="BU369">
        <v>15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C369">
        <v>0</v>
      </c>
      <c r="DD369">
        <v>0</v>
      </c>
      <c r="DE369">
        <v>0</v>
      </c>
      <c r="DF369">
        <v>0</v>
      </c>
      <c r="DH369">
        <v>0</v>
      </c>
      <c r="DI369">
        <v>0</v>
      </c>
    </row>
    <row r="370" spans="1:113" ht="15" customHeight="1" x14ac:dyDescent="0.25">
      <c r="A370" t="s">
        <v>2639</v>
      </c>
      <c r="B370" t="s">
        <v>2640</v>
      </c>
      <c r="C370" t="s">
        <v>2641</v>
      </c>
      <c r="D370" t="s">
        <v>1297</v>
      </c>
      <c r="E370" t="s">
        <v>1220</v>
      </c>
      <c r="F370" t="s">
        <v>2642</v>
      </c>
      <c r="G370">
        <v>2025</v>
      </c>
      <c r="H370" t="s">
        <v>1160</v>
      </c>
      <c r="I370" t="s">
        <v>89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Y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2</v>
      </c>
      <c r="AP370">
        <v>0</v>
      </c>
      <c r="AQ370">
        <v>0</v>
      </c>
      <c r="AR370">
        <v>-0.339787038916256</v>
      </c>
      <c r="AS370">
        <v>0</v>
      </c>
      <c r="AT370">
        <v>0</v>
      </c>
      <c r="AU370">
        <v>2.0242914979757098E-3</v>
      </c>
      <c r="AV370">
        <v>6.2344139650872795E-4</v>
      </c>
      <c r="AW370">
        <v>3.4728462245196701E-3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3</v>
      </c>
      <c r="BU370">
        <v>20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C370">
        <v>0</v>
      </c>
      <c r="DD370">
        <v>0</v>
      </c>
      <c r="DE370">
        <v>0</v>
      </c>
      <c r="DF370">
        <v>0</v>
      </c>
      <c r="DH370">
        <v>0</v>
      </c>
      <c r="DI370">
        <v>0</v>
      </c>
    </row>
    <row r="371" spans="1:113" ht="15" customHeight="1" x14ac:dyDescent="0.25">
      <c r="A371" t="s">
        <v>2643</v>
      </c>
      <c r="B371" t="s">
        <v>2644</v>
      </c>
      <c r="C371" t="s">
        <v>1025</v>
      </c>
      <c r="D371" t="s">
        <v>431</v>
      </c>
      <c r="E371" t="s">
        <v>431</v>
      </c>
      <c r="F371" t="s">
        <v>2645</v>
      </c>
      <c r="G371">
        <v>2025</v>
      </c>
      <c r="H371" t="s">
        <v>1160</v>
      </c>
      <c r="I371" t="s">
        <v>143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Y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S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11</v>
      </c>
      <c r="BY371">
        <v>242</v>
      </c>
      <c r="BZ371">
        <v>0</v>
      </c>
      <c r="CA371">
        <v>0</v>
      </c>
      <c r="CB371">
        <v>0</v>
      </c>
      <c r="CC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C371">
        <v>0</v>
      </c>
      <c r="DD371">
        <v>0</v>
      </c>
      <c r="DE371">
        <v>0</v>
      </c>
      <c r="DF371">
        <v>0</v>
      </c>
      <c r="DH371">
        <v>0</v>
      </c>
      <c r="DI371">
        <v>0</v>
      </c>
    </row>
    <row r="372" spans="1:113" ht="15" customHeight="1" x14ac:dyDescent="0.25">
      <c r="A372" t="s">
        <v>2646</v>
      </c>
      <c r="B372" t="s">
        <v>2647</v>
      </c>
      <c r="C372" t="s">
        <v>2648</v>
      </c>
      <c r="D372" t="s">
        <v>1234</v>
      </c>
      <c r="E372" t="s">
        <v>1234</v>
      </c>
      <c r="F372" t="s">
        <v>2649</v>
      </c>
      <c r="G372">
        <v>2025</v>
      </c>
      <c r="H372" t="s">
        <v>1160</v>
      </c>
      <c r="I372" t="s">
        <v>114</v>
      </c>
      <c r="J372">
        <v>13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Y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0</v>
      </c>
      <c r="AU372">
        <v>0</v>
      </c>
      <c r="AV372">
        <v>0</v>
      </c>
      <c r="AW372">
        <v>0</v>
      </c>
      <c r="AX372">
        <v>0</v>
      </c>
      <c r="AY372">
        <v>47</v>
      </c>
      <c r="AZ372">
        <v>1</v>
      </c>
      <c r="BA372">
        <v>49</v>
      </c>
      <c r="BB372">
        <v>4</v>
      </c>
      <c r="BC372">
        <v>12</v>
      </c>
      <c r="BD372">
        <v>1</v>
      </c>
      <c r="BE372">
        <v>1</v>
      </c>
      <c r="BF372">
        <v>0</v>
      </c>
      <c r="BG372">
        <v>0</v>
      </c>
      <c r="BH372">
        <v>2</v>
      </c>
      <c r="BI372">
        <v>70</v>
      </c>
      <c r="BJ372">
        <v>5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C372">
        <v>0</v>
      </c>
      <c r="DD372">
        <v>0</v>
      </c>
      <c r="DE372">
        <v>0</v>
      </c>
      <c r="DF372">
        <v>0</v>
      </c>
      <c r="DH372">
        <v>0</v>
      </c>
      <c r="DI372">
        <v>0</v>
      </c>
    </row>
    <row r="373" spans="1:113" ht="15" customHeight="1" x14ac:dyDescent="0.25">
      <c r="A373" t="s">
        <v>2650</v>
      </c>
      <c r="B373" t="s">
        <v>2651</v>
      </c>
      <c r="C373" t="s">
        <v>2652</v>
      </c>
      <c r="D373" t="s">
        <v>1209</v>
      </c>
      <c r="E373" t="s">
        <v>1169</v>
      </c>
      <c r="F373" t="s">
        <v>2653</v>
      </c>
      <c r="G373">
        <v>2025</v>
      </c>
      <c r="H373" t="s">
        <v>1160</v>
      </c>
      <c r="I373" t="s">
        <v>109</v>
      </c>
      <c r="J373">
        <v>17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15</v>
      </c>
      <c r="U373">
        <v>0</v>
      </c>
      <c r="V373">
        <v>0</v>
      </c>
      <c r="W373">
        <v>-1.80454133736203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S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C373">
        <v>0</v>
      </c>
      <c r="DD373">
        <v>0</v>
      </c>
      <c r="DE373">
        <v>0</v>
      </c>
      <c r="DF373">
        <v>0</v>
      </c>
      <c r="DH373">
        <v>0</v>
      </c>
      <c r="DI373">
        <v>0</v>
      </c>
    </row>
    <row r="374" spans="1:113" ht="15" customHeight="1" x14ac:dyDescent="0.25">
      <c r="A374" t="s">
        <v>2654</v>
      </c>
      <c r="B374" t="s">
        <v>2655</v>
      </c>
      <c r="C374" t="s">
        <v>2656</v>
      </c>
      <c r="D374" t="s">
        <v>1350</v>
      </c>
      <c r="E374" t="s">
        <v>1307</v>
      </c>
      <c r="F374" t="s">
        <v>2657</v>
      </c>
      <c r="G374">
        <v>2025</v>
      </c>
      <c r="H374" t="s">
        <v>1160</v>
      </c>
      <c r="I374" t="s">
        <v>97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Y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4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27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C374">
        <v>0</v>
      </c>
      <c r="DD374">
        <v>0</v>
      </c>
      <c r="DE374">
        <v>0</v>
      </c>
      <c r="DF374">
        <v>0</v>
      </c>
      <c r="DH374">
        <v>0</v>
      </c>
      <c r="DI374">
        <v>0</v>
      </c>
    </row>
    <row r="375" spans="1:113" ht="15" customHeight="1" x14ac:dyDescent="0.25">
      <c r="A375" t="s">
        <v>2658</v>
      </c>
      <c r="B375" t="s">
        <v>2659</v>
      </c>
      <c r="C375" t="s">
        <v>2660</v>
      </c>
      <c r="D375" t="s">
        <v>1243</v>
      </c>
      <c r="E375" t="s">
        <v>1190</v>
      </c>
      <c r="F375" t="s">
        <v>2661</v>
      </c>
      <c r="G375">
        <v>2025</v>
      </c>
      <c r="H375" t="s">
        <v>1160</v>
      </c>
      <c r="I375" t="s">
        <v>109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Y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C375">
        <v>0</v>
      </c>
      <c r="DD375">
        <v>0</v>
      </c>
      <c r="DE375">
        <v>0</v>
      </c>
      <c r="DF375">
        <v>0</v>
      </c>
      <c r="DH375">
        <v>0</v>
      </c>
      <c r="DI375">
        <v>0</v>
      </c>
    </row>
    <row r="376" spans="1:113" ht="15" customHeight="1" x14ac:dyDescent="0.25">
      <c r="A376" t="s">
        <v>2662</v>
      </c>
      <c r="B376" t="s">
        <v>2663</v>
      </c>
      <c r="C376" t="s">
        <v>2664</v>
      </c>
      <c r="D376" t="s">
        <v>1219</v>
      </c>
      <c r="E376" t="s">
        <v>1220</v>
      </c>
      <c r="F376" t="s">
        <v>2665</v>
      </c>
      <c r="G376">
        <v>2025</v>
      </c>
      <c r="H376" t="s">
        <v>1160</v>
      </c>
      <c r="I376" t="s">
        <v>107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Y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10</v>
      </c>
      <c r="BU376">
        <v>70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C376">
        <v>0</v>
      </c>
      <c r="DD376">
        <v>0</v>
      </c>
      <c r="DE376">
        <v>0</v>
      </c>
      <c r="DF376">
        <v>0</v>
      </c>
      <c r="DH376">
        <v>0</v>
      </c>
      <c r="DI376">
        <v>0</v>
      </c>
    </row>
    <row r="377" spans="1:113" ht="15" customHeight="1" x14ac:dyDescent="0.25">
      <c r="A377" t="s">
        <v>2666</v>
      </c>
      <c r="B377" t="s">
        <v>2667</v>
      </c>
      <c r="C377" t="s">
        <v>472</v>
      </c>
      <c r="D377" t="s">
        <v>439</v>
      </c>
      <c r="E377" t="s">
        <v>439</v>
      </c>
      <c r="F377" t="s">
        <v>2668</v>
      </c>
      <c r="G377">
        <v>2025</v>
      </c>
      <c r="H377" t="s">
        <v>1160</v>
      </c>
      <c r="I377" t="s">
        <v>97</v>
      </c>
      <c r="J377">
        <v>17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Y377">
        <v>0</v>
      </c>
      <c r="AA377">
        <v>10</v>
      </c>
      <c r="AB377">
        <v>48</v>
      </c>
      <c r="AC377">
        <v>1</v>
      </c>
      <c r="AD377">
        <v>0</v>
      </c>
      <c r="AE377">
        <v>0</v>
      </c>
      <c r="AF377">
        <v>7</v>
      </c>
      <c r="AG377">
        <v>6.5207395466277402</v>
      </c>
      <c r="AH377">
        <v>0</v>
      </c>
      <c r="AI377">
        <v>48</v>
      </c>
      <c r="AJ377">
        <v>70</v>
      </c>
      <c r="AK377">
        <v>422</v>
      </c>
      <c r="AL377">
        <v>5</v>
      </c>
      <c r="AM377">
        <v>1</v>
      </c>
      <c r="AN377">
        <v>0</v>
      </c>
      <c r="AO377">
        <v>508</v>
      </c>
      <c r="AP377">
        <v>101</v>
      </c>
      <c r="AQ377">
        <v>24</v>
      </c>
      <c r="AR377">
        <v>1.5476467463453001</v>
      </c>
      <c r="AS377">
        <v>0</v>
      </c>
      <c r="AT377">
        <v>0.83070866141732302</v>
      </c>
      <c r="AU377">
        <v>0.171990171990172</v>
      </c>
      <c r="AV377">
        <v>0.148451198129749</v>
      </c>
      <c r="AW377">
        <v>0.361901096676082</v>
      </c>
      <c r="AX377">
        <v>0</v>
      </c>
      <c r="AY377">
        <v>2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5</v>
      </c>
      <c r="BU377">
        <v>40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C377">
        <v>0</v>
      </c>
      <c r="DD377">
        <v>0</v>
      </c>
      <c r="DE377">
        <v>0</v>
      </c>
      <c r="DF377">
        <v>0</v>
      </c>
      <c r="DH377">
        <v>83</v>
      </c>
      <c r="DI377">
        <v>131</v>
      </c>
    </row>
    <row r="378" spans="1:113" ht="15" customHeight="1" x14ac:dyDescent="0.25">
      <c r="A378" t="s">
        <v>2669</v>
      </c>
      <c r="B378" t="s">
        <v>2670</v>
      </c>
      <c r="C378" t="s">
        <v>2671</v>
      </c>
      <c r="D378" t="s">
        <v>2018</v>
      </c>
      <c r="E378" t="s">
        <v>1234</v>
      </c>
      <c r="F378" t="s">
        <v>2672</v>
      </c>
      <c r="G378">
        <v>2025</v>
      </c>
      <c r="H378" t="s">
        <v>1160</v>
      </c>
      <c r="I378" t="s">
        <v>107</v>
      </c>
      <c r="J378">
        <v>17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Y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S378">
        <v>0</v>
      </c>
      <c r="AU378">
        <v>0</v>
      </c>
      <c r="AV378">
        <v>0</v>
      </c>
      <c r="AW378">
        <v>0</v>
      </c>
      <c r="AX378">
        <v>0</v>
      </c>
      <c r="AY378">
        <v>17</v>
      </c>
      <c r="AZ378">
        <v>0</v>
      </c>
      <c r="BA378">
        <v>31</v>
      </c>
      <c r="BB378">
        <v>1</v>
      </c>
      <c r="BC378">
        <v>3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1</v>
      </c>
      <c r="BS378">
        <v>0</v>
      </c>
      <c r="BT378">
        <v>1</v>
      </c>
      <c r="BU378">
        <v>5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C378">
        <v>0</v>
      </c>
      <c r="DD378">
        <v>0</v>
      </c>
      <c r="DE378">
        <v>0</v>
      </c>
      <c r="DF378">
        <v>0</v>
      </c>
      <c r="DH378">
        <v>0</v>
      </c>
      <c r="DI378">
        <v>0</v>
      </c>
    </row>
    <row r="379" spans="1:113" ht="15" customHeight="1" x14ac:dyDescent="0.25">
      <c r="A379" t="s">
        <v>2673</v>
      </c>
      <c r="B379" t="s">
        <v>2674</v>
      </c>
      <c r="C379" t="s">
        <v>2675</v>
      </c>
      <c r="D379" t="s">
        <v>1243</v>
      </c>
      <c r="E379" t="s">
        <v>1190</v>
      </c>
      <c r="F379" t="s">
        <v>2676</v>
      </c>
      <c r="G379">
        <v>2025</v>
      </c>
      <c r="H379" t="s">
        <v>1160</v>
      </c>
      <c r="I379" t="s">
        <v>138</v>
      </c>
      <c r="J379">
        <v>16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Y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S379">
        <v>0</v>
      </c>
      <c r="AU379">
        <v>0</v>
      </c>
      <c r="AV379">
        <v>0</v>
      </c>
      <c r="AW379">
        <v>0</v>
      </c>
      <c r="AX379">
        <v>0</v>
      </c>
      <c r="AY379">
        <v>22</v>
      </c>
      <c r="AZ379">
        <v>1</v>
      </c>
      <c r="BA379">
        <v>24</v>
      </c>
      <c r="BB379">
        <v>4</v>
      </c>
      <c r="BC379">
        <v>30</v>
      </c>
      <c r="BD379">
        <v>1</v>
      </c>
      <c r="BE379">
        <v>3</v>
      </c>
      <c r="BF379">
        <v>28</v>
      </c>
      <c r="BG379">
        <v>13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3</v>
      </c>
      <c r="BU379">
        <v>25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C379">
        <v>0</v>
      </c>
      <c r="DD379">
        <v>0</v>
      </c>
      <c r="DE379">
        <v>0</v>
      </c>
      <c r="DF379">
        <v>0</v>
      </c>
      <c r="DH379">
        <v>0</v>
      </c>
      <c r="DI379">
        <v>0</v>
      </c>
    </row>
    <row r="380" spans="1:113" ht="15" customHeight="1" x14ac:dyDescent="0.25">
      <c r="A380" t="s">
        <v>2677</v>
      </c>
      <c r="B380" t="s">
        <v>2678</v>
      </c>
      <c r="C380" t="s">
        <v>2679</v>
      </c>
      <c r="D380" t="s">
        <v>1158</v>
      </c>
      <c r="E380" t="s">
        <v>1158</v>
      </c>
      <c r="F380" t="s">
        <v>2680</v>
      </c>
      <c r="G380">
        <v>2025</v>
      </c>
      <c r="H380" t="s">
        <v>1160</v>
      </c>
      <c r="I380" t="s">
        <v>103</v>
      </c>
      <c r="J380">
        <v>5</v>
      </c>
      <c r="K380">
        <v>38</v>
      </c>
      <c r="L380">
        <v>52</v>
      </c>
      <c r="M380">
        <v>310</v>
      </c>
      <c r="N380">
        <v>2</v>
      </c>
      <c r="O380">
        <v>2</v>
      </c>
      <c r="P380">
        <v>2</v>
      </c>
      <c r="Q380">
        <v>-12</v>
      </c>
      <c r="R380">
        <v>1</v>
      </c>
      <c r="S380">
        <v>1</v>
      </c>
      <c r="T380">
        <v>272</v>
      </c>
      <c r="U380">
        <v>254</v>
      </c>
      <c r="V380">
        <v>17</v>
      </c>
      <c r="W380">
        <v>2.50336368704777</v>
      </c>
      <c r="X380">
        <v>5.7623397707939201</v>
      </c>
      <c r="Y380">
        <v>0</v>
      </c>
      <c r="Z380">
        <v>1.13970588235294</v>
      </c>
      <c r="AA380">
        <v>7</v>
      </c>
      <c r="AB380">
        <v>6</v>
      </c>
      <c r="AC380">
        <v>0</v>
      </c>
      <c r="AD380">
        <v>0</v>
      </c>
      <c r="AE380">
        <v>0</v>
      </c>
      <c r="AF380">
        <v>2</v>
      </c>
      <c r="AG380">
        <v>1.3411726071499299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S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C380">
        <v>0</v>
      </c>
      <c r="DD380">
        <v>0</v>
      </c>
      <c r="DE380">
        <v>0</v>
      </c>
      <c r="DF380">
        <v>0</v>
      </c>
      <c r="DH380">
        <v>15</v>
      </c>
      <c r="DI380">
        <v>15</v>
      </c>
    </row>
    <row r="381" spans="1:113" ht="15" customHeight="1" x14ac:dyDescent="0.25">
      <c r="A381" t="s">
        <v>2681</v>
      </c>
      <c r="B381" t="s">
        <v>2682</v>
      </c>
      <c r="C381" t="s">
        <v>2683</v>
      </c>
      <c r="D381" t="s">
        <v>1243</v>
      </c>
      <c r="E381" t="s">
        <v>1190</v>
      </c>
      <c r="F381" t="s">
        <v>2684</v>
      </c>
      <c r="G381">
        <v>2025</v>
      </c>
      <c r="H381" t="s">
        <v>1160</v>
      </c>
      <c r="I381" t="s">
        <v>126</v>
      </c>
      <c r="J381">
        <v>14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Y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S381">
        <v>0</v>
      </c>
      <c r="AU381">
        <v>0</v>
      </c>
      <c r="AV381">
        <v>0</v>
      </c>
      <c r="AW381">
        <v>0</v>
      </c>
      <c r="AX381">
        <v>0</v>
      </c>
      <c r="AY381">
        <v>15</v>
      </c>
      <c r="AZ381">
        <v>1</v>
      </c>
      <c r="BA381">
        <v>18</v>
      </c>
      <c r="BB381">
        <v>7</v>
      </c>
      <c r="BC381">
        <v>42</v>
      </c>
      <c r="BD381">
        <v>0</v>
      </c>
      <c r="BE381">
        <v>4.5</v>
      </c>
      <c r="BF381">
        <v>38</v>
      </c>
      <c r="BG381">
        <v>13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0</v>
      </c>
      <c r="BT381">
        <v>3</v>
      </c>
      <c r="BU381">
        <v>25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C381">
        <v>0</v>
      </c>
      <c r="DD381">
        <v>0</v>
      </c>
      <c r="DE381">
        <v>0</v>
      </c>
      <c r="DF381">
        <v>0</v>
      </c>
      <c r="DH381">
        <v>0</v>
      </c>
      <c r="DI381">
        <v>0</v>
      </c>
    </row>
    <row r="382" spans="1:113" ht="15" customHeight="1" x14ac:dyDescent="0.25">
      <c r="A382" t="s">
        <v>2685</v>
      </c>
      <c r="B382" t="s">
        <v>2686</v>
      </c>
      <c r="C382" t="s">
        <v>968</v>
      </c>
      <c r="D382" t="s">
        <v>10</v>
      </c>
      <c r="E382" t="s">
        <v>10</v>
      </c>
      <c r="F382" t="s">
        <v>2687</v>
      </c>
      <c r="G382">
        <v>2025</v>
      </c>
      <c r="H382" t="s">
        <v>1160</v>
      </c>
      <c r="I382" t="s">
        <v>121</v>
      </c>
      <c r="J382">
        <v>11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Y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H382">
        <v>0</v>
      </c>
      <c r="AI382">
        <v>28</v>
      </c>
      <c r="AJ382">
        <v>52</v>
      </c>
      <c r="AK382">
        <v>239</v>
      </c>
      <c r="AL382">
        <v>1</v>
      </c>
      <c r="AM382">
        <v>0</v>
      </c>
      <c r="AN382">
        <v>0</v>
      </c>
      <c r="AO382">
        <v>365</v>
      </c>
      <c r="AP382">
        <v>115</v>
      </c>
      <c r="AQ382">
        <v>12</v>
      </c>
      <c r="AR382">
        <v>-21.167927348362898</v>
      </c>
      <c r="AS382">
        <v>0</v>
      </c>
      <c r="AT382">
        <v>0.65479452054794496</v>
      </c>
      <c r="AU382">
        <v>9.4032549728752302E-2</v>
      </c>
      <c r="AV382">
        <v>7.6600209863588703E-2</v>
      </c>
      <c r="AW382">
        <v>0.19466897149764001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C382">
        <v>0</v>
      </c>
      <c r="DD382">
        <v>0</v>
      </c>
      <c r="DE382">
        <v>0</v>
      </c>
      <c r="DF382">
        <v>0</v>
      </c>
      <c r="DH382">
        <v>29.9</v>
      </c>
      <c r="DI382">
        <v>57.9</v>
      </c>
    </row>
    <row r="383" spans="1:113" ht="15" customHeight="1" x14ac:dyDescent="0.25">
      <c r="A383" t="s">
        <v>2688</v>
      </c>
      <c r="B383" t="s">
        <v>2689</v>
      </c>
      <c r="C383" t="s">
        <v>2690</v>
      </c>
      <c r="D383" t="s">
        <v>1350</v>
      </c>
      <c r="E383" t="s">
        <v>1307</v>
      </c>
      <c r="F383" t="s">
        <v>2691</v>
      </c>
      <c r="G383">
        <v>2025</v>
      </c>
      <c r="H383" t="s">
        <v>1160</v>
      </c>
      <c r="I383" t="s">
        <v>114</v>
      </c>
      <c r="J383">
        <v>17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Y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S383">
        <v>0</v>
      </c>
      <c r="AU383">
        <v>0</v>
      </c>
      <c r="AV383">
        <v>0</v>
      </c>
      <c r="AW383">
        <v>0</v>
      </c>
      <c r="AX383">
        <v>0</v>
      </c>
      <c r="AY383">
        <v>38</v>
      </c>
      <c r="AZ383">
        <v>1</v>
      </c>
      <c r="BA383">
        <v>30</v>
      </c>
      <c r="BB383">
        <v>3</v>
      </c>
      <c r="BC383">
        <v>9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10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9</v>
      </c>
      <c r="BU383">
        <v>117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C383">
        <v>0</v>
      </c>
      <c r="DD383">
        <v>0</v>
      </c>
      <c r="DE383">
        <v>0</v>
      </c>
      <c r="DF383">
        <v>0</v>
      </c>
      <c r="DH383">
        <v>0</v>
      </c>
      <c r="DI383">
        <v>0</v>
      </c>
    </row>
    <row r="384" spans="1:113" ht="15" customHeight="1" x14ac:dyDescent="0.25">
      <c r="A384" t="s">
        <v>2692</v>
      </c>
      <c r="B384" t="s">
        <v>2693</v>
      </c>
      <c r="C384" t="s">
        <v>2694</v>
      </c>
      <c r="D384" t="s">
        <v>1234</v>
      </c>
      <c r="E384" t="s">
        <v>1234</v>
      </c>
      <c r="F384" t="s">
        <v>2695</v>
      </c>
      <c r="G384">
        <v>2025</v>
      </c>
      <c r="H384" t="s">
        <v>1160</v>
      </c>
      <c r="I384" t="s">
        <v>93</v>
      </c>
      <c r="J384">
        <v>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Y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S384">
        <v>0</v>
      </c>
      <c r="AU384">
        <v>0</v>
      </c>
      <c r="AV384">
        <v>0</v>
      </c>
      <c r="AW384">
        <v>0</v>
      </c>
      <c r="AX384">
        <v>0</v>
      </c>
      <c r="AY384">
        <v>20</v>
      </c>
      <c r="AZ384">
        <v>0</v>
      </c>
      <c r="BA384">
        <v>9</v>
      </c>
      <c r="BB384">
        <v>2</v>
      </c>
      <c r="BC384">
        <v>13</v>
      </c>
      <c r="BD384">
        <v>0</v>
      </c>
      <c r="BE384">
        <v>2</v>
      </c>
      <c r="BF384">
        <v>13</v>
      </c>
      <c r="BG384">
        <v>3</v>
      </c>
      <c r="BH384">
        <v>0</v>
      </c>
      <c r="BI384">
        <v>0</v>
      </c>
      <c r="BJ384">
        <v>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5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C384">
        <v>0</v>
      </c>
      <c r="DD384">
        <v>0</v>
      </c>
      <c r="DE384">
        <v>0</v>
      </c>
      <c r="DF384">
        <v>0</v>
      </c>
      <c r="DH384">
        <v>0</v>
      </c>
      <c r="DI384">
        <v>0</v>
      </c>
    </row>
    <row r="385" spans="1:113" ht="15" customHeight="1" x14ac:dyDescent="0.25">
      <c r="A385" t="s">
        <v>2696</v>
      </c>
      <c r="B385" t="s">
        <v>2697</v>
      </c>
      <c r="C385" t="s">
        <v>2698</v>
      </c>
      <c r="D385" t="s">
        <v>1350</v>
      </c>
      <c r="E385" t="s">
        <v>1307</v>
      </c>
      <c r="F385" t="s">
        <v>2699</v>
      </c>
      <c r="G385">
        <v>2025</v>
      </c>
      <c r="H385" t="s">
        <v>1160</v>
      </c>
      <c r="I385" t="s">
        <v>138</v>
      </c>
      <c r="J385">
        <v>11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Y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S385">
        <v>0</v>
      </c>
      <c r="AU385">
        <v>0</v>
      </c>
      <c r="AV385">
        <v>0</v>
      </c>
      <c r="AW385">
        <v>0</v>
      </c>
      <c r="AX385">
        <v>0</v>
      </c>
      <c r="AY385">
        <v>18</v>
      </c>
      <c r="AZ385">
        <v>1</v>
      </c>
      <c r="BA385">
        <v>7</v>
      </c>
      <c r="BB385">
        <v>1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2</v>
      </c>
      <c r="BU385">
        <v>20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C385">
        <v>0</v>
      </c>
      <c r="DD385">
        <v>0</v>
      </c>
      <c r="DE385">
        <v>0</v>
      </c>
      <c r="DF385">
        <v>0</v>
      </c>
      <c r="DH385">
        <v>0</v>
      </c>
      <c r="DI385">
        <v>0</v>
      </c>
    </row>
    <row r="386" spans="1:113" ht="15" customHeight="1" x14ac:dyDescent="0.25">
      <c r="A386" t="s">
        <v>2700</v>
      </c>
      <c r="B386" t="s">
        <v>2701</v>
      </c>
      <c r="C386" t="s">
        <v>2702</v>
      </c>
      <c r="D386" t="s">
        <v>1243</v>
      </c>
      <c r="E386" t="s">
        <v>1190</v>
      </c>
      <c r="F386" t="s">
        <v>2703</v>
      </c>
      <c r="G386">
        <v>2025</v>
      </c>
      <c r="H386" t="s">
        <v>1160</v>
      </c>
      <c r="I386" t="s">
        <v>101</v>
      </c>
      <c r="J386">
        <v>17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Y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S386">
        <v>0</v>
      </c>
      <c r="AU386">
        <v>0</v>
      </c>
      <c r="AV386">
        <v>0</v>
      </c>
      <c r="AW386">
        <v>0</v>
      </c>
      <c r="AX386">
        <v>0</v>
      </c>
      <c r="AY386">
        <v>22</v>
      </c>
      <c r="AZ386">
        <v>0</v>
      </c>
      <c r="BA386">
        <v>38</v>
      </c>
      <c r="BB386">
        <v>5</v>
      </c>
      <c r="BC386">
        <v>6</v>
      </c>
      <c r="BD386">
        <v>1</v>
      </c>
      <c r="BE386">
        <v>0.5</v>
      </c>
      <c r="BF386">
        <v>4</v>
      </c>
      <c r="BG386">
        <v>1</v>
      </c>
      <c r="BH386">
        <v>0</v>
      </c>
      <c r="BI386">
        <v>0</v>
      </c>
      <c r="BJ386">
        <v>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C386">
        <v>0</v>
      </c>
      <c r="DD386">
        <v>0</v>
      </c>
      <c r="DE386">
        <v>0</v>
      </c>
      <c r="DF386">
        <v>0</v>
      </c>
      <c r="DH386">
        <v>0</v>
      </c>
      <c r="DI386">
        <v>0</v>
      </c>
    </row>
    <row r="387" spans="1:113" ht="15" customHeight="1" x14ac:dyDescent="0.25">
      <c r="A387" t="s">
        <v>2704</v>
      </c>
      <c r="B387" t="s">
        <v>2705</v>
      </c>
      <c r="C387" t="s">
        <v>2706</v>
      </c>
      <c r="D387" t="s">
        <v>1234</v>
      </c>
      <c r="E387" t="s">
        <v>1234</v>
      </c>
      <c r="F387" t="s">
        <v>2707</v>
      </c>
      <c r="G387">
        <v>2025</v>
      </c>
      <c r="H387" t="s">
        <v>1160</v>
      </c>
      <c r="I387" t="s">
        <v>139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Y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S387">
        <v>0</v>
      </c>
      <c r="AU387">
        <v>0</v>
      </c>
      <c r="AV387">
        <v>0</v>
      </c>
      <c r="AW387">
        <v>0</v>
      </c>
      <c r="AX387">
        <v>0</v>
      </c>
      <c r="AY387">
        <v>2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C387">
        <v>0</v>
      </c>
      <c r="DD387">
        <v>0</v>
      </c>
      <c r="DE387">
        <v>0</v>
      </c>
      <c r="DF387">
        <v>0</v>
      </c>
      <c r="DH387">
        <v>0</v>
      </c>
      <c r="DI387">
        <v>0</v>
      </c>
    </row>
    <row r="388" spans="1:113" ht="15" customHeight="1" x14ac:dyDescent="0.25">
      <c r="A388" t="s">
        <v>2708</v>
      </c>
      <c r="B388" t="s">
        <v>2709</v>
      </c>
      <c r="C388" t="s">
        <v>2710</v>
      </c>
      <c r="D388" t="s">
        <v>1306</v>
      </c>
      <c r="E388" t="s">
        <v>1307</v>
      </c>
      <c r="F388" t="s">
        <v>2711</v>
      </c>
      <c r="G388">
        <v>2025</v>
      </c>
      <c r="H388" t="s">
        <v>1160</v>
      </c>
      <c r="I388" t="s">
        <v>133</v>
      </c>
      <c r="J388">
        <v>14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Y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S388">
        <v>0</v>
      </c>
      <c r="AU388">
        <v>0</v>
      </c>
      <c r="AV388">
        <v>0</v>
      </c>
      <c r="AW388">
        <v>0</v>
      </c>
      <c r="AX388">
        <v>0</v>
      </c>
      <c r="AY388">
        <v>57</v>
      </c>
      <c r="AZ388">
        <v>2</v>
      </c>
      <c r="BA388">
        <v>23</v>
      </c>
      <c r="BB388">
        <v>4</v>
      </c>
      <c r="BC388">
        <v>15</v>
      </c>
      <c r="BD388">
        <v>1</v>
      </c>
      <c r="BE388">
        <v>1</v>
      </c>
      <c r="BF388">
        <v>9</v>
      </c>
      <c r="BG388">
        <v>2</v>
      </c>
      <c r="BH388">
        <v>1</v>
      </c>
      <c r="BI388">
        <v>7</v>
      </c>
      <c r="BJ388">
        <v>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2</v>
      </c>
      <c r="BR388">
        <v>2</v>
      </c>
      <c r="BS388">
        <v>0</v>
      </c>
      <c r="BT388">
        <v>4</v>
      </c>
      <c r="BU388">
        <v>73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C388">
        <v>0</v>
      </c>
      <c r="DD388">
        <v>0</v>
      </c>
      <c r="DE388">
        <v>0</v>
      </c>
      <c r="DF388">
        <v>0</v>
      </c>
      <c r="DH388">
        <v>0</v>
      </c>
      <c r="DI388">
        <v>0</v>
      </c>
    </row>
    <row r="389" spans="1:113" ht="15" customHeight="1" x14ac:dyDescent="0.25">
      <c r="A389" t="s">
        <v>2712</v>
      </c>
      <c r="B389" t="s">
        <v>2713</v>
      </c>
      <c r="C389" t="s">
        <v>2714</v>
      </c>
      <c r="D389" t="s">
        <v>1306</v>
      </c>
      <c r="E389" t="s">
        <v>1307</v>
      </c>
      <c r="F389" t="s">
        <v>2715</v>
      </c>
      <c r="G389">
        <v>2025</v>
      </c>
      <c r="H389" t="s">
        <v>1160</v>
      </c>
      <c r="I389" t="s">
        <v>131</v>
      </c>
      <c r="J389">
        <v>15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Y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S389">
        <v>0</v>
      </c>
      <c r="AU389">
        <v>0</v>
      </c>
      <c r="AV389">
        <v>0</v>
      </c>
      <c r="AW389">
        <v>0</v>
      </c>
      <c r="AX389">
        <v>0</v>
      </c>
      <c r="AY389">
        <v>49</v>
      </c>
      <c r="AZ389">
        <v>1</v>
      </c>
      <c r="BA389">
        <v>44</v>
      </c>
      <c r="BB389">
        <v>6</v>
      </c>
      <c r="BC389">
        <v>16</v>
      </c>
      <c r="BD389">
        <v>1</v>
      </c>
      <c r="BE389">
        <v>2</v>
      </c>
      <c r="BF389">
        <v>13.5</v>
      </c>
      <c r="BG389">
        <v>8</v>
      </c>
      <c r="BH389">
        <v>3</v>
      </c>
      <c r="BI389">
        <v>28</v>
      </c>
      <c r="BJ389">
        <v>7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3</v>
      </c>
      <c r="BU389">
        <v>24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C389">
        <v>0</v>
      </c>
      <c r="DD389">
        <v>0</v>
      </c>
      <c r="DE389">
        <v>0</v>
      </c>
      <c r="DF389">
        <v>0</v>
      </c>
      <c r="DH389">
        <v>0</v>
      </c>
      <c r="DI389">
        <v>0</v>
      </c>
    </row>
    <row r="390" spans="1:113" ht="15" customHeight="1" x14ac:dyDescent="0.25">
      <c r="A390" t="s">
        <v>2716</v>
      </c>
      <c r="B390" t="s">
        <v>2717</v>
      </c>
      <c r="C390" t="s">
        <v>2718</v>
      </c>
      <c r="D390" t="s">
        <v>431</v>
      </c>
      <c r="E390" t="s">
        <v>431</v>
      </c>
      <c r="F390" t="s">
        <v>2719</v>
      </c>
      <c r="G390">
        <v>2025</v>
      </c>
      <c r="H390" t="s">
        <v>1160</v>
      </c>
      <c r="I390" t="s">
        <v>121</v>
      </c>
      <c r="J390">
        <v>15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Y390">
        <v>0</v>
      </c>
      <c r="AA390">
        <v>122</v>
      </c>
      <c r="AB390">
        <v>506</v>
      </c>
      <c r="AC390">
        <v>3</v>
      </c>
      <c r="AD390">
        <v>0</v>
      </c>
      <c r="AE390">
        <v>0</v>
      </c>
      <c r="AF390">
        <v>22</v>
      </c>
      <c r="AG390">
        <v>-13.610680025783299</v>
      </c>
      <c r="AH390">
        <v>0</v>
      </c>
      <c r="AI390">
        <v>13</v>
      </c>
      <c r="AJ390">
        <v>20</v>
      </c>
      <c r="AK390">
        <v>67</v>
      </c>
      <c r="AL390">
        <v>0</v>
      </c>
      <c r="AM390">
        <v>0</v>
      </c>
      <c r="AN390">
        <v>0</v>
      </c>
      <c r="AO390">
        <v>15</v>
      </c>
      <c r="AP390">
        <v>63</v>
      </c>
      <c r="AQ390">
        <v>1</v>
      </c>
      <c r="AR390">
        <v>-2.4318653126247201</v>
      </c>
      <c r="AS390">
        <v>0</v>
      </c>
      <c r="AT390">
        <v>4.4666666666666703</v>
      </c>
      <c r="AU390">
        <v>3.6166365280289298E-2</v>
      </c>
      <c r="AV390">
        <v>3.1479538300104898E-3</v>
      </c>
      <c r="AW390">
        <v>5.6453115601441402E-2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C390">
        <v>0</v>
      </c>
      <c r="DD390">
        <v>0</v>
      </c>
      <c r="DE390">
        <v>0</v>
      </c>
      <c r="DF390">
        <v>0</v>
      </c>
      <c r="DH390">
        <v>75.3</v>
      </c>
      <c r="DI390">
        <v>88.3</v>
      </c>
    </row>
    <row r="391" spans="1:113" ht="15" customHeight="1" x14ac:dyDescent="0.25">
      <c r="A391" t="s">
        <v>2720</v>
      </c>
      <c r="B391" t="s">
        <v>2721</v>
      </c>
      <c r="C391" t="s">
        <v>2722</v>
      </c>
      <c r="D391" t="s">
        <v>1307</v>
      </c>
      <c r="E391" t="s">
        <v>1307</v>
      </c>
      <c r="F391" t="s">
        <v>2723</v>
      </c>
      <c r="G391">
        <v>2025</v>
      </c>
      <c r="H391" t="s">
        <v>1160</v>
      </c>
      <c r="I391" t="s">
        <v>133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Y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S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C391">
        <v>0</v>
      </c>
      <c r="DD391">
        <v>0</v>
      </c>
      <c r="DE391">
        <v>0</v>
      </c>
      <c r="DF391">
        <v>0</v>
      </c>
      <c r="DH391">
        <v>0</v>
      </c>
      <c r="DI391">
        <v>0</v>
      </c>
    </row>
    <row r="392" spans="1:113" ht="15" customHeight="1" x14ac:dyDescent="0.25">
      <c r="A392" t="s">
        <v>2724</v>
      </c>
      <c r="B392" t="s">
        <v>2725</v>
      </c>
      <c r="C392" t="s">
        <v>2726</v>
      </c>
      <c r="D392" t="s">
        <v>1158</v>
      </c>
      <c r="E392" t="s">
        <v>1158</v>
      </c>
      <c r="F392" t="s">
        <v>2727</v>
      </c>
      <c r="G392">
        <v>2025</v>
      </c>
      <c r="H392" t="s">
        <v>1160</v>
      </c>
      <c r="I392" t="s">
        <v>97</v>
      </c>
      <c r="J392">
        <v>13</v>
      </c>
      <c r="K392">
        <v>192</v>
      </c>
      <c r="L392">
        <v>302</v>
      </c>
      <c r="M392">
        <v>2549</v>
      </c>
      <c r="N392">
        <v>21</v>
      </c>
      <c r="O392">
        <v>7</v>
      </c>
      <c r="P392">
        <v>36</v>
      </c>
      <c r="Q392">
        <v>-239</v>
      </c>
      <c r="R392">
        <v>5</v>
      </c>
      <c r="S392">
        <v>3</v>
      </c>
      <c r="T392">
        <v>2648</v>
      </c>
      <c r="U392">
        <v>1064</v>
      </c>
      <c r="V392">
        <v>110</v>
      </c>
      <c r="W392">
        <v>18.1570221709542</v>
      </c>
      <c r="X392">
        <v>1.75868267129208</v>
      </c>
      <c r="Y392">
        <v>1</v>
      </c>
      <c r="Z392">
        <v>0.96261329305136001</v>
      </c>
      <c r="AA392">
        <v>67</v>
      </c>
      <c r="AB392">
        <v>349</v>
      </c>
      <c r="AC392">
        <v>2</v>
      </c>
      <c r="AD392">
        <v>0</v>
      </c>
      <c r="AE392">
        <v>0</v>
      </c>
      <c r="AF392">
        <v>25</v>
      </c>
      <c r="AG392">
        <v>20.6087183911207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S392">
        <v>0</v>
      </c>
      <c r="AU392">
        <v>0</v>
      </c>
      <c r="AV392">
        <v>0</v>
      </c>
      <c r="AW392">
        <v>0</v>
      </c>
      <c r="AX392">
        <v>0</v>
      </c>
      <c r="AY392">
        <v>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3</v>
      </c>
      <c r="BP392">
        <v>3</v>
      </c>
      <c r="BQ392">
        <v>0</v>
      </c>
      <c r="BR392">
        <v>0</v>
      </c>
      <c r="BS392">
        <v>0</v>
      </c>
      <c r="BT392">
        <v>1</v>
      </c>
      <c r="BU392">
        <v>16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C392">
        <v>0</v>
      </c>
      <c r="DD392">
        <v>0</v>
      </c>
      <c r="DE392">
        <v>0</v>
      </c>
      <c r="DF392">
        <v>0</v>
      </c>
      <c r="DH392">
        <v>214.86</v>
      </c>
      <c r="DI392">
        <v>214.86</v>
      </c>
    </row>
    <row r="393" spans="1:113" ht="15" customHeight="1" x14ac:dyDescent="0.25">
      <c r="A393" t="s">
        <v>2728</v>
      </c>
      <c r="B393" t="s">
        <v>2729</v>
      </c>
      <c r="C393" t="s">
        <v>2730</v>
      </c>
      <c r="D393" t="s">
        <v>1233</v>
      </c>
      <c r="E393" t="s">
        <v>1234</v>
      </c>
      <c r="F393" t="s">
        <v>2731</v>
      </c>
      <c r="G393">
        <v>2025</v>
      </c>
      <c r="H393" t="s">
        <v>1160</v>
      </c>
      <c r="I393" t="s">
        <v>109</v>
      </c>
      <c r="J393">
        <v>16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Y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Y393">
        <v>10</v>
      </c>
      <c r="AZ393">
        <v>1</v>
      </c>
      <c r="BA393">
        <v>29</v>
      </c>
      <c r="BB393">
        <v>3</v>
      </c>
      <c r="BC393">
        <v>22</v>
      </c>
      <c r="BD393">
        <v>2</v>
      </c>
      <c r="BE393">
        <v>1.5</v>
      </c>
      <c r="BF393">
        <v>11.5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2</v>
      </c>
      <c r="BU393">
        <v>20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C393">
        <v>0</v>
      </c>
      <c r="DD393">
        <v>0</v>
      </c>
      <c r="DE393">
        <v>0</v>
      </c>
      <c r="DF393">
        <v>0</v>
      </c>
      <c r="DH393">
        <v>0</v>
      </c>
      <c r="DI393">
        <v>0</v>
      </c>
    </row>
    <row r="394" spans="1:113" ht="15" customHeight="1" x14ac:dyDescent="0.25">
      <c r="A394" t="s">
        <v>2732</v>
      </c>
      <c r="B394" t="s">
        <v>2733</v>
      </c>
      <c r="C394" t="s">
        <v>478</v>
      </c>
      <c r="D394" t="s">
        <v>439</v>
      </c>
      <c r="E394" t="s">
        <v>439</v>
      </c>
      <c r="F394" t="s">
        <v>2734</v>
      </c>
      <c r="G394">
        <v>2025</v>
      </c>
      <c r="H394" t="s">
        <v>1160</v>
      </c>
      <c r="I394" t="s">
        <v>104</v>
      </c>
      <c r="J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Y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H394">
        <v>0</v>
      </c>
      <c r="AI394">
        <v>4</v>
      </c>
      <c r="AJ394">
        <v>6</v>
      </c>
      <c r="AK394">
        <v>25</v>
      </c>
      <c r="AL394">
        <v>0</v>
      </c>
      <c r="AM394">
        <v>0</v>
      </c>
      <c r="AN394">
        <v>0</v>
      </c>
      <c r="AO394">
        <v>24</v>
      </c>
      <c r="AP394">
        <v>15</v>
      </c>
      <c r="AQ394">
        <v>1</v>
      </c>
      <c r="AR394">
        <v>-0.25380354910157599</v>
      </c>
      <c r="AS394">
        <v>0</v>
      </c>
      <c r="AT394">
        <v>1.0416666666666701</v>
      </c>
      <c r="AU394">
        <v>1.12781954887218E-2</v>
      </c>
      <c r="AV394">
        <v>4.8543689320388397E-3</v>
      </c>
      <c r="AW394">
        <v>2.0315351485509898E-2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3</v>
      </c>
      <c r="BU394">
        <v>25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C394">
        <v>0</v>
      </c>
      <c r="DD394">
        <v>0</v>
      </c>
      <c r="DE394">
        <v>0</v>
      </c>
      <c r="DF394">
        <v>0</v>
      </c>
      <c r="DH394">
        <v>2.5</v>
      </c>
      <c r="DI394">
        <v>6.5</v>
      </c>
    </row>
    <row r="395" spans="1:113" ht="15" customHeight="1" x14ac:dyDescent="0.25">
      <c r="A395" t="s">
        <v>2735</v>
      </c>
      <c r="B395" t="s">
        <v>2736</v>
      </c>
      <c r="C395" t="s">
        <v>2737</v>
      </c>
      <c r="D395" t="s">
        <v>1189</v>
      </c>
      <c r="E395" t="s">
        <v>1190</v>
      </c>
      <c r="F395" t="s">
        <v>2738</v>
      </c>
      <c r="G395">
        <v>2025</v>
      </c>
      <c r="H395" t="s">
        <v>1160</v>
      </c>
      <c r="I395" t="s">
        <v>107</v>
      </c>
      <c r="J395">
        <v>17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Y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0</v>
      </c>
      <c r="AU395">
        <v>0</v>
      </c>
      <c r="AV395">
        <v>0</v>
      </c>
      <c r="AW395">
        <v>0</v>
      </c>
      <c r="AX395">
        <v>0</v>
      </c>
      <c r="AY395">
        <v>29</v>
      </c>
      <c r="AZ395">
        <v>0</v>
      </c>
      <c r="BA395">
        <v>37</v>
      </c>
      <c r="BB395">
        <v>5</v>
      </c>
      <c r="BC395">
        <v>34</v>
      </c>
      <c r="BD395">
        <v>0</v>
      </c>
      <c r="BE395">
        <v>4</v>
      </c>
      <c r="BF395">
        <v>32</v>
      </c>
      <c r="BG395">
        <v>9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2</v>
      </c>
      <c r="BU395">
        <v>10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C395">
        <v>0</v>
      </c>
      <c r="DD395">
        <v>0</v>
      </c>
      <c r="DE395">
        <v>0</v>
      </c>
      <c r="DF395">
        <v>0</v>
      </c>
      <c r="DH395">
        <v>0</v>
      </c>
      <c r="DI395">
        <v>0</v>
      </c>
    </row>
    <row r="396" spans="1:113" ht="15" customHeight="1" x14ac:dyDescent="0.25">
      <c r="A396" t="s">
        <v>2739</v>
      </c>
      <c r="B396" t="s">
        <v>2740</v>
      </c>
      <c r="C396" t="s">
        <v>2741</v>
      </c>
      <c r="D396" t="s">
        <v>1234</v>
      </c>
      <c r="E396" t="s">
        <v>1234</v>
      </c>
      <c r="F396" t="s">
        <v>2742</v>
      </c>
      <c r="G396">
        <v>2025</v>
      </c>
      <c r="H396" t="s">
        <v>1160</v>
      </c>
      <c r="I396" t="s">
        <v>93</v>
      </c>
      <c r="J396">
        <v>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Y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S396">
        <v>0</v>
      </c>
      <c r="AU396">
        <v>0</v>
      </c>
      <c r="AV396">
        <v>0</v>
      </c>
      <c r="AW396">
        <v>0</v>
      </c>
      <c r="AX396">
        <v>0</v>
      </c>
      <c r="AY396">
        <v>8</v>
      </c>
      <c r="AZ396">
        <v>0</v>
      </c>
      <c r="BA396">
        <v>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C396">
        <v>0</v>
      </c>
      <c r="DD396">
        <v>0</v>
      </c>
      <c r="DE396">
        <v>0</v>
      </c>
      <c r="DF396">
        <v>0</v>
      </c>
      <c r="DH396">
        <v>0</v>
      </c>
      <c r="DI396">
        <v>0</v>
      </c>
    </row>
    <row r="397" spans="1:113" ht="15" customHeight="1" x14ac:dyDescent="0.25">
      <c r="A397" t="s">
        <v>2743</v>
      </c>
      <c r="B397" t="s">
        <v>2744</v>
      </c>
      <c r="C397" t="s">
        <v>2745</v>
      </c>
      <c r="D397" t="s">
        <v>1219</v>
      </c>
      <c r="E397" t="s">
        <v>1220</v>
      </c>
      <c r="F397" t="s">
        <v>2746</v>
      </c>
      <c r="G397">
        <v>2025</v>
      </c>
      <c r="H397" t="s">
        <v>1160</v>
      </c>
      <c r="I397" t="s">
        <v>97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Y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C397">
        <v>0</v>
      </c>
      <c r="DD397">
        <v>0</v>
      </c>
      <c r="DE397">
        <v>0</v>
      </c>
      <c r="DF397">
        <v>0</v>
      </c>
      <c r="DH397">
        <v>0</v>
      </c>
      <c r="DI397">
        <v>0</v>
      </c>
    </row>
    <row r="398" spans="1:113" ht="15" customHeight="1" x14ac:dyDescent="0.25">
      <c r="A398" t="s">
        <v>2747</v>
      </c>
      <c r="B398" t="s">
        <v>2748</v>
      </c>
      <c r="C398" t="s">
        <v>2749</v>
      </c>
      <c r="D398" t="s">
        <v>1189</v>
      </c>
      <c r="E398" t="s">
        <v>1190</v>
      </c>
      <c r="F398" t="s">
        <v>2750</v>
      </c>
      <c r="G398">
        <v>2025</v>
      </c>
      <c r="H398" t="s">
        <v>1160</v>
      </c>
      <c r="I398" t="s">
        <v>115</v>
      </c>
      <c r="J398">
        <v>13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Y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>
        <v>0</v>
      </c>
      <c r="AU398">
        <v>0</v>
      </c>
      <c r="AV398">
        <v>0</v>
      </c>
      <c r="AW398">
        <v>0</v>
      </c>
      <c r="AX398">
        <v>0</v>
      </c>
      <c r="AY398">
        <v>12</v>
      </c>
      <c r="AZ398">
        <v>0</v>
      </c>
      <c r="BA398">
        <v>13</v>
      </c>
      <c r="BB398">
        <v>6</v>
      </c>
      <c r="BC398">
        <v>37</v>
      </c>
      <c r="BD398">
        <v>0</v>
      </c>
      <c r="BE398">
        <v>7.5</v>
      </c>
      <c r="BF398">
        <v>35.5</v>
      </c>
      <c r="BG398">
        <v>15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5</v>
      </c>
      <c r="BU398">
        <v>40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C398">
        <v>0</v>
      </c>
      <c r="DD398">
        <v>0</v>
      </c>
      <c r="DE398">
        <v>0</v>
      </c>
      <c r="DF398">
        <v>0</v>
      </c>
      <c r="DH398">
        <v>0</v>
      </c>
      <c r="DI398">
        <v>0</v>
      </c>
    </row>
    <row r="399" spans="1:113" ht="15" customHeight="1" x14ac:dyDescent="0.25">
      <c r="A399" t="s">
        <v>2751</v>
      </c>
      <c r="B399" t="s">
        <v>2752</v>
      </c>
      <c r="C399" t="s">
        <v>2753</v>
      </c>
      <c r="D399" t="s">
        <v>1189</v>
      </c>
      <c r="E399" t="s">
        <v>1190</v>
      </c>
      <c r="F399" t="s">
        <v>2754</v>
      </c>
      <c r="G399">
        <v>2025</v>
      </c>
      <c r="H399" t="s">
        <v>1160</v>
      </c>
      <c r="I399" t="s">
        <v>142</v>
      </c>
      <c r="J399">
        <v>15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Y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S399">
        <v>0</v>
      </c>
      <c r="AU399">
        <v>0</v>
      </c>
      <c r="AV399">
        <v>0</v>
      </c>
      <c r="AW399">
        <v>0</v>
      </c>
      <c r="AX399">
        <v>0</v>
      </c>
      <c r="AY399">
        <v>18</v>
      </c>
      <c r="AZ399">
        <v>4</v>
      </c>
      <c r="BA399">
        <v>19</v>
      </c>
      <c r="BB399">
        <v>6</v>
      </c>
      <c r="BC399">
        <v>26</v>
      </c>
      <c r="BD399">
        <v>0</v>
      </c>
      <c r="BE399">
        <v>2</v>
      </c>
      <c r="BF399">
        <v>19</v>
      </c>
      <c r="BG399">
        <v>6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1</v>
      </c>
      <c r="BS399">
        <v>0</v>
      </c>
      <c r="BT399">
        <v>1</v>
      </c>
      <c r="BU399">
        <v>5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C399">
        <v>0</v>
      </c>
      <c r="DD399">
        <v>0</v>
      </c>
      <c r="DE399">
        <v>0</v>
      </c>
      <c r="DF399">
        <v>0</v>
      </c>
      <c r="DH399">
        <v>0</v>
      </c>
      <c r="DI399">
        <v>0</v>
      </c>
    </row>
    <row r="400" spans="1:113" ht="15" customHeight="1" x14ac:dyDescent="0.25">
      <c r="A400" t="s">
        <v>2755</v>
      </c>
      <c r="B400" t="s">
        <v>2756</v>
      </c>
      <c r="C400" t="s">
        <v>2757</v>
      </c>
      <c r="D400" t="s">
        <v>1280</v>
      </c>
      <c r="E400" t="s">
        <v>1234</v>
      </c>
      <c r="F400" t="s">
        <v>2758</v>
      </c>
      <c r="G400">
        <v>2025</v>
      </c>
      <c r="H400" t="s">
        <v>1160</v>
      </c>
      <c r="I400" t="s">
        <v>141</v>
      </c>
      <c r="J400">
        <v>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Y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>
        <v>0</v>
      </c>
      <c r="AU400">
        <v>0</v>
      </c>
      <c r="AV400">
        <v>0</v>
      </c>
      <c r="AW400">
        <v>0</v>
      </c>
      <c r="AX400">
        <v>0</v>
      </c>
      <c r="AY400">
        <v>27</v>
      </c>
      <c r="AZ400">
        <v>1</v>
      </c>
      <c r="BA400">
        <v>23</v>
      </c>
      <c r="BB400">
        <v>2</v>
      </c>
      <c r="BC400">
        <v>2</v>
      </c>
      <c r="BD400">
        <v>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3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C400">
        <v>0</v>
      </c>
      <c r="DD400">
        <v>0</v>
      </c>
      <c r="DE400">
        <v>0</v>
      </c>
      <c r="DF400">
        <v>0</v>
      </c>
      <c r="DH400">
        <v>0</v>
      </c>
      <c r="DI400">
        <v>0</v>
      </c>
    </row>
    <row r="401" spans="1:113" ht="15" customHeight="1" x14ac:dyDescent="0.25">
      <c r="A401" t="s">
        <v>2759</v>
      </c>
      <c r="B401" t="s">
        <v>2760</v>
      </c>
      <c r="C401" t="s">
        <v>2761</v>
      </c>
      <c r="D401" t="s">
        <v>1511</v>
      </c>
      <c r="E401" t="s">
        <v>1190</v>
      </c>
      <c r="F401" t="s">
        <v>2762</v>
      </c>
      <c r="G401">
        <v>2025</v>
      </c>
      <c r="H401" t="s">
        <v>1160</v>
      </c>
      <c r="I401" t="s">
        <v>123</v>
      </c>
      <c r="J401">
        <v>10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Y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0</v>
      </c>
      <c r="AU401">
        <v>0</v>
      </c>
      <c r="AV401">
        <v>0</v>
      </c>
      <c r="AW401">
        <v>0</v>
      </c>
      <c r="AX401">
        <v>0</v>
      </c>
      <c r="AY401">
        <v>10</v>
      </c>
      <c r="AZ401">
        <v>0</v>
      </c>
      <c r="BA401">
        <v>6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5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C401">
        <v>0</v>
      </c>
      <c r="DD401">
        <v>0</v>
      </c>
      <c r="DE401">
        <v>0</v>
      </c>
      <c r="DF401">
        <v>0</v>
      </c>
      <c r="DH401">
        <v>0</v>
      </c>
      <c r="DI401">
        <v>0</v>
      </c>
    </row>
    <row r="402" spans="1:113" ht="15" customHeight="1" x14ac:dyDescent="0.25">
      <c r="A402" t="s">
        <v>2763</v>
      </c>
      <c r="B402" t="s">
        <v>2764</v>
      </c>
      <c r="C402" t="s">
        <v>2765</v>
      </c>
      <c r="D402" t="s">
        <v>1234</v>
      </c>
      <c r="E402" t="s">
        <v>1234</v>
      </c>
      <c r="F402" t="s">
        <v>2766</v>
      </c>
      <c r="G402">
        <v>2025</v>
      </c>
      <c r="H402" t="s">
        <v>1160</v>
      </c>
      <c r="I402" t="s">
        <v>142</v>
      </c>
      <c r="J402">
        <v>12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Y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S402">
        <v>0</v>
      </c>
      <c r="AU402">
        <v>0</v>
      </c>
      <c r="AV402">
        <v>0</v>
      </c>
      <c r="AW402">
        <v>0</v>
      </c>
      <c r="AX402">
        <v>0</v>
      </c>
      <c r="AY402">
        <v>9</v>
      </c>
      <c r="AZ402">
        <v>0</v>
      </c>
      <c r="BA402">
        <v>13</v>
      </c>
      <c r="BB402">
        <v>6</v>
      </c>
      <c r="BC402">
        <v>30</v>
      </c>
      <c r="BD402">
        <v>0</v>
      </c>
      <c r="BE402">
        <v>4</v>
      </c>
      <c r="BF402">
        <v>26</v>
      </c>
      <c r="BG402">
        <v>11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3</v>
      </c>
      <c r="BU402">
        <v>21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C402">
        <v>0</v>
      </c>
      <c r="DD402">
        <v>0</v>
      </c>
      <c r="DE402">
        <v>0</v>
      </c>
      <c r="DF402">
        <v>0</v>
      </c>
      <c r="DH402">
        <v>0</v>
      </c>
      <c r="DI402">
        <v>0</v>
      </c>
    </row>
    <row r="403" spans="1:113" ht="15" customHeight="1" x14ac:dyDescent="0.25">
      <c r="A403" t="s">
        <v>2767</v>
      </c>
      <c r="B403" t="s">
        <v>2054</v>
      </c>
      <c r="C403" t="s">
        <v>493</v>
      </c>
      <c r="D403" t="s">
        <v>10</v>
      </c>
      <c r="E403" t="s">
        <v>10</v>
      </c>
      <c r="F403" t="s">
        <v>2768</v>
      </c>
      <c r="G403">
        <v>2025</v>
      </c>
      <c r="H403" t="s">
        <v>1160</v>
      </c>
      <c r="I403" t="s">
        <v>104</v>
      </c>
      <c r="J403">
        <v>17</v>
      </c>
      <c r="K403">
        <v>1</v>
      </c>
      <c r="L403">
        <v>1</v>
      </c>
      <c r="M403">
        <v>2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1</v>
      </c>
      <c r="W403">
        <v>3.86819368979195</v>
      </c>
      <c r="X403">
        <v>46.214199066162102</v>
      </c>
      <c r="Y403">
        <v>0</v>
      </c>
      <c r="Z403">
        <v>1</v>
      </c>
      <c r="AA403">
        <v>15</v>
      </c>
      <c r="AB403">
        <v>79</v>
      </c>
      <c r="AC403">
        <v>1</v>
      </c>
      <c r="AD403">
        <v>0</v>
      </c>
      <c r="AE403">
        <v>0</v>
      </c>
      <c r="AF403">
        <v>5</v>
      </c>
      <c r="AG403">
        <v>4.1728322813287404</v>
      </c>
      <c r="AH403">
        <v>0</v>
      </c>
      <c r="AI403">
        <v>50</v>
      </c>
      <c r="AJ403">
        <v>85</v>
      </c>
      <c r="AK403">
        <v>682</v>
      </c>
      <c r="AL403">
        <v>6</v>
      </c>
      <c r="AM403">
        <v>0</v>
      </c>
      <c r="AN403">
        <v>0</v>
      </c>
      <c r="AO403">
        <v>988</v>
      </c>
      <c r="AP403">
        <v>222</v>
      </c>
      <c r="AQ403">
        <v>32</v>
      </c>
      <c r="AR403">
        <v>13.623197492486501</v>
      </c>
      <c r="AS403">
        <v>0</v>
      </c>
      <c r="AT403">
        <v>0.69028340080971695</v>
      </c>
      <c r="AU403">
        <v>0.15977443609022601</v>
      </c>
      <c r="AV403">
        <v>0.199838187702265</v>
      </c>
      <c r="AW403">
        <v>0.37954838552692399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6</v>
      </c>
      <c r="BU403">
        <v>39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C403">
        <v>0</v>
      </c>
      <c r="DD403">
        <v>0</v>
      </c>
      <c r="DE403">
        <v>0</v>
      </c>
      <c r="DF403">
        <v>0</v>
      </c>
      <c r="DH403">
        <v>122.18</v>
      </c>
      <c r="DI403">
        <v>172.18</v>
      </c>
    </row>
    <row r="404" spans="1:113" ht="15" customHeight="1" x14ac:dyDescent="0.25">
      <c r="A404" t="s">
        <v>2769</v>
      </c>
      <c r="B404" t="s">
        <v>2770</v>
      </c>
      <c r="C404" t="s">
        <v>2771</v>
      </c>
      <c r="D404" t="s">
        <v>1234</v>
      </c>
      <c r="E404" t="s">
        <v>1234</v>
      </c>
      <c r="F404" t="s">
        <v>2772</v>
      </c>
      <c r="G404">
        <v>2025</v>
      </c>
      <c r="H404" t="s">
        <v>1160</v>
      </c>
      <c r="I404" t="s">
        <v>114</v>
      </c>
      <c r="J404">
        <v>14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Y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S404">
        <v>0</v>
      </c>
      <c r="AU404">
        <v>0</v>
      </c>
      <c r="AV404">
        <v>0</v>
      </c>
      <c r="AW404">
        <v>0</v>
      </c>
      <c r="AX404">
        <v>0</v>
      </c>
      <c r="AY404">
        <v>26</v>
      </c>
      <c r="AZ404">
        <v>1</v>
      </c>
      <c r="BA404">
        <v>21</v>
      </c>
      <c r="BB404">
        <v>10</v>
      </c>
      <c r="BC404">
        <v>50</v>
      </c>
      <c r="BD404">
        <v>1</v>
      </c>
      <c r="BE404">
        <v>8.5</v>
      </c>
      <c r="BF404">
        <v>50</v>
      </c>
      <c r="BG404">
        <v>19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3</v>
      </c>
      <c r="BU404">
        <v>15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C404">
        <v>0</v>
      </c>
      <c r="DD404">
        <v>0</v>
      </c>
      <c r="DE404">
        <v>0</v>
      </c>
      <c r="DF404">
        <v>0</v>
      </c>
      <c r="DH404">
        <v>0</v>
      </c>
      <c r="DI404">
        <v>0</v>
      </c>
    </row>
    <row r="405" spans="1:113" ht="15" customHeight="1" x14ac:dyDescent="0.25">
      <c r="A405" t="s">
        <v>2773</v>
      </c>
      <c r="B405" t="s">
        <v>2774</v>
      </c>
      <c r="C405" t="s">
        <v>541</v>
      </c>
      <c r="D405" t="s">
        <v>439</v>
      </c>
      <c r="E405" t="s">
        <v>439</v>
      </c>
      <c r="F405" t="s">
        <v>2775</v>
      </c>
      <c r="G405">
        <v>2025</v>
      </c>
      <c r="H405" t="s">
        <v>1160</v>
      </c>
      <c r="I405" t="s">
        <v>107</v>
      </c>
      <c r="J405">
        <v>12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Y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H405">
        <v>0</v>
      </c>
      <c r="AI405">
        <v>28</v>
      </c>
      <c r="AJ405">
        <v>42</v>
      </c>
      <c r="AK405">
        <v>307</v>
      </c>
      <c r="AL405">
        <v>2</v>
      </c>
      <c r="AM405">
        <v>0</v>
      </c>
      <c r="AN405">
        <v>0</v>
      </c>
      <c r="AO405">
        <v>418</v>
      </c>
      <c r="AP405">
        <v>63</v>
      </c>
      <c r="AQ405">
        <v>19</v>
      </c>
      <c r="AR405">
        <v>4.3847002061812699</v>
      </c>
      <c r="AS405">
        <v>0</v>
      </c>
      <c r="AT405">
        <v>0.73444976076555002</v>
      </c>
      <c r="AU405">
        <v>6.9078947368421101E-2</v>
      </c>
      <c r="AV405">
        <v>8.8803909071595494E-2</v>
      </c>
      <c r="AW405">
        <v>0.16578115740274799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</v>
      </c>
      <c r="BU405">
        <v>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C405">
        <v>0</v>
      </c>
      <c r="DD405">
        <v>0</v>
      </c>
      <c r="DE405">
        <v>0</v>
      </c>
      <c r="DF405">
        <v>0</v>
      </c>
      <c r="DH405">
        <v>42.7</v>
      </c>
      <c r="DI405">
        <v>70.7</v>
      </c>
    </row>
    <row r="406" spans="1:113" ht="15" customHeight="1" x14ac:dyDescent="0.25">
      <c r="A406" t="s">
        <v>2776</v>
      </c>
      <c r="B406" t="s">
        <v>2777</v>
      </c>
      <c r="C406" t="s">
        <v>2778</v>
      </c>
      <c r="D406" t="s">
        <v>1233</v>
      </c>
      <c r="E406" t="s">
        <v>1234</v>
      </c>
      <c r="F406" t="s">
        <v>2779</v>
      </c>
      <c r="G406">
        <v>2025</v>
      </c>
      <c r="H406" t="s">
        <v>1160</v>
      </c>
      <c r="I406" t="s">
        <v>133</v>
      </c>
      <c r="J406">
        <v>17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Y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S406">
        <v>0</v>
      </c>
      <c r="AU406">
        <v>0</v>
      </c>
      <c r="AV406">
        <v>0</v>
      </c>
      <c r="AW406">
        <v>0</v>
      </c>
      <c r="AX406">
        <v>0</v>
      </c>
      <c r="AY406">
        <v>24</v>
      </c>
      <c r="AZ406">
        <v>0</v>
      </c>
      <c r="BA406">
        <v>23</v>
      </c>
      <c r="BB406">
        <v>8</v>
      </c>
      <c r="BC406">
        <v>54</v>
      </c>
      <c r="BD406">
        <v>2</v>
      </c>
      <c r="BE406">
        <v>8.5</v>
      </c>
      <c r="BF406">
        <v>59</v>
      </c>
      <c r="BG406">
        <v>20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1</v>
      </c>
      <c r="BS406">
        <v>0</v>
      </c>
      <c r="BT406">
        <v>3</v>
      </c>
      <c r="BU406">
        <v>25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C406">
        <v>0</v>
      </c>
      <c r="DD406">
        <v>0</v>
      </c>
      <c r="DE406">
        <v>0</v>
      </c>
      <c r="DF406">
        <v>0</v>
      </c>
      <c r="DH406">
        <v>0</v>
      </c>
      <c r="DI406">
        <v>0</v>
      </c>
    </row>
    <row r="407" spans="1:113" ht="15" customHeight="1" x14ac:dyDescent="0.25">
      <c r="A407" t="s">
        <v>2780</v>
      </c>
      <c r="B407" t="s">
        <v>2781</v>
      </c>
      <c r="C407" t="s">
        <v>2782</v>
      </c>
      <c r="D407" t="s">
        <v>1219</v>
      </c>
      <c r="E407" t="s">
        <v>1220</v>
      </c>
      <c r="F407" t="s">
        <v>2783</v>
      </c>
      <c r="G407">
        <v>2025</v>
      </c>
      <c r="H407" t="s">
        <v>1160</v>
      </c>
      <c r="I407" t="s">
        <v>124</v>
      </c>
      <c r="J407">
        <v>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Y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5</v>
      </c>
      <c r="BU407">
        <v>35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C407">
        <v>0</v>
      </c>
      <c r="DD407">
        <v>0</v>
      </c>
      <c r="DE407">
        <v>0</v>
      </c>
      <c r="DF407">
        <v>0</v>
      </c>
      <c r="DH407">
        <v>0</v>
      </c>
      <c r="DI407">
        <v>0</v>
      </c>
    </row>
    <row r="408" spans="1:113" ht="15" customHeight="1" x14ac:dyDescent="0.25">
      <c r="A408" t="s">
        <v>2784</v>
      </c>
      <c r="B408" t="s">
        <v>2785</v>
      </c>
      <c r="C408" t="s">
        <v>1013</v>
      </c>
      <c r="D408" t="s">
        <v>10</v>
      </c>
      <c r="E408" t="s">
        <v>10</v>
      </c>
      <c r="F408" t="s">
        <v>2786</v>
      </c>
      <c r="G408">
        <v>2025</v>
      </c>
      <c r="H408" t="s">
        <v>1160</v>
      </c>
      <c r="I408" t="s">
        <v>142</v>
      </c>
      <c r="J408">
        <v>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Y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H408">
        <v>0</v>
      </c>
      <c r="AI408">
        <v>17</v>
      </c>
      <c r="AJ408">
        <v>36</v>
      </c>
      <c r="AK408">
        <v>303</v>
      </c>
      <c r="AL408">
        <v>0</v>
      </c>
      <c r="AM408">
        <v>0</v>
      </c>
      <c r="AN408">
        <v>0</v>
      </c>
      <c r="AO408">
        <v>453</v>
      </c>
      <c r="AP408">
        <v>84</v>
      </c>
      <c r="AQ408">
        <v>13</v>
      </c>
      <c r="AR408">
        <v>12.2212250318653</v>
      </c>
      <c r="AS408">
        <v>0</v>
      </c>
      <c r="AT408">
        <v>0.66887417218543099</v>
      </c>
      <c r="AU408">
        <v>6.7924528301886805E-2</v>
      </c>
      <c r="AV408">
        <v>0.112855007473842</v>
      </c>
      <c r="AW408">
        <v>0.180885297684519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C408">
        <v>0</v>
      </c>
      <c r="DD408">
        <v>0</v>
      </c>
      <c r="DE408">
        <v>0</v>
      </c>
      <c r="DF408">
        <v>0</v>
      </c>
      <c r="DH408">
        <v>30.3</v>
      </c>
      <c r="DI408">
        <v>47.3</v>
      </c>
    </row>
    <row r="409" spans="1:113" ht="15" customHeight="1" x14ac:dyDescent="0.25">
      <c r="A409" t="s">
        <v>2787</v>
      </c>
      <c r="B409" t="s">
        <v>2788</v>
      </c>
      <c r="C409" t="s">
        <v>2789</v>
      </c>
      <c r="D409" t="s">
        <v>1243</v>
      </c>
      <c r="E409" t="s">
        <v>1190</v>
      </c>
      <c r="F409" t="s">
        <v>2790</v>
      </c>
      <c r="G409">
        <v>2025</v>
      </c>
      <c r="H409" t="s">
        <v>1160</v>
      </c>
      <c r="I409" t="s">
        <v>97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Y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0.5</v>
      </c>
      <c r="BF409">
        <v>4</v>
      </c>
      <c r="BG409">
        <v>2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C409">
        <v>0</v>
      </c>
      <c r="DD409">
        <v>0</v>
      </c>
      <c r="DE409">
        <v>0</v>
      </c>
      <c r="DF409">
        <v>0</v>
      </c>
      <c r="DH409">
        <v>0</v>
      </c>
      <c r="DI409">
        <v>0</v>
      </c>
    </row>
    <row r="410" spans="1:113" ht="15" customHeight="1" x14ac:dyDescent="0.25">
      <c r="A410" t="s">
        <v>2791</v>
      </c>
      <c r="B410" t="s">
        <v>2792</v>
      </c>
      <c r="C410" t="s">
        <v>2793</v>
      </c>
      <c r="D410" t="s">
        <v>1350</v>
      </c>
      <c r="E410" t="s">
        <v>1307</v>
      </c>
      <c r="F410" t="s">
        <v>2794</v>
      </c>
      <c r="G410">
        <v>2025</v>
      </c>
      <c r="H410" t="s">
        <v>1160</v>
      </c>
      <c r="I410" t="s">
        <v>93</v>
      </c>
      <c r="J410">
        <v>11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Y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38</v>
      </c>
      <c r="AZ410">
        <v>2</v>
      </c>
      <c r="BA410">
        <v>11</v>
      </c>
      <c r="BB410">
        <v>2</v>
      </c>
      <c r="BC410">
        <v>6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6</v>
      </c>
      <c r="BJ410">
        <v>7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</v>
      </c>
      <c r="BU410">
        <v>26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C410">
        <v>0</v>
      </c>
      <c r="DD410">
        <v>0</v>
      </c>
      <c r="DE410">
        <v>0</v>
      </c>
      <c r="DF410">
        <v>0</v>
      </c>
      <c r="DH410">
        <v>0</v>
      </c>
      <c r="DI410">
        <v>0</v>
      </c>
    </row>
    <row r="411" spans="1:113" ht="15" customHeight="1" x14ac:dyDescent="0.25">
      <c r="A411" t="s">
        <v>2795</v>
      </c>
      <c r="B411" t="s">
        <v>2796</v>
      </c>
      <c r="C411" t="s">
        <v>899</v>
      </c>
      <c r="D411" t="s">
        <v>431</v>
      </c>
      <c r="E411" t="s">
        <v>431</v>
      </c>
      <c r="F411" t="s">
        <v>2797</v>
      </c>
      <c r="G411">
        <v>2025</v>
      </c>
      <c r="H411" t="s">
        <v>1160</v>
      </c>
      <c r="I411" t="s">
        <v>120</v>
      </c>
      <c r="J411">
        <v>16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Y411">
        <v>0</v>
      </c>
      <c r="AA411">
        <v>280</v>
      </c>
      <c r="AB411">
        <v>1140</v>
      </c>
      <c r="AC411">
        <v>7</v>
      </c>
      <c r="AD411">
        <v>0</v>
      </c>
      <c r="AE411">
        <v>0</v>
      </c>
      <c r="AF411">
        <v>50</v>
      </c>
      <c r="AG411">
        <v>-24.0965797156755</v>
      </c>
      <c r="AH411">
        <v>1</v>
      </c>
      <c r="AI411">
        <v>37</v>
      </c>
      <c r="AJ411">
        <v>50</v>
      </c>
      <c r="AK411">
        <v>273</v>
      </c>
      <c r="AL411">
        <v>2</v>
      </c>
      <c r="AM411">
        <v>1</v>
      </c>
      <c r="AN411">
        <v>1</v>
      </c>
      <c r="AO411">
        <v>31</v>
      </c>
      <c r="AP411">
        <v>296</v>
      </c>
      <c r="AQ411">
        <v>11</v>
      </c>
      <c r="AR411">
        <v>-4.9713026454700202</v>
      </c>
      <c r="AS411">
        <v>0</v>
      </c>
      <c r="AT411">
        <v>8.8064516129032295</v>
      </c>
      <c r="AU411">
        <v>0.107758620689655</v>
      </c>
      <c r="AV411">
        <v>6.9150122685701504E-3</v>
      </c>
      <c r="AW411">
        <v>0.16647843962248199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1</v>
      </c>
      <c r="BU411">
        <v>4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C411">
        <v>0</v>
      </c>
      <c r="DD411">
        <v>0</v>
      </c>
      <c r="DE411">
        <v>0</v>
      </c>
      <c r="DF411">
        <v>0</v>
      </c>
      <c r="DH411">
        <v>195.3</v>
      </c>
      <c r="DI411">
        <v>232.3</v>
      </c>
    </row>
    <row r="412" spans="1:113" ht="15" customHeight="1" x14ac:dyDescent="0.25">
      <c r="A412" t="s">
        <v>2798</v>
      </c>
      <c r="B412" t="s">
        <v>2799</v>
      </c>
      <c r="C412" t="s">
        <v>2800</v>
      </c>
      <c r="D412" t="s">
        <v>1219</v>
      </c>
      <c r="E412" t="s">
        <v>1220</v>
      </c>
      <c r="F412" t="s">
        <v>2801</v>
      </c>
      <c r="G412">
        <v>2025</v>
      </c>
      <c r="H412" t="s">
        <v>1160</v>
      </c>
      <c r="I412" t="s">
        <v>115</v>
      </c>
      <c r="J412">
        <v>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Y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S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6</v>
      </c>
      <c r="BU412">
        <v>40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C412">
        <v>0</v>
      </c>
      <c r="DD412">
        <v>0</v>
      </c>
      <c r="DE412">
        <v>0</v>
      </c>
      <c r="DF412">
        <v>0</v>
      </c>
      <c r="DH412">
        <v>0</v>
      </c>
      <c r="DI412">
        <v>0</v>
      </c>
    </row>
    <row r="413" spans="1:113" ht="15" customHeight="1" x14ac:dyDescent="0.25">
      <c r="A413" t="s">
        <v>2802</v>
      </c>
      <c r="B413" t="s">
        <v>2803</v>
      </c>
      <c r="C413" t="s">
        <v>2804</v>
      </c>
      <c r="D413" t="s">
        <v>10</v>
      </c>
      <c r="E413" t="s">
        <v>10</v>
      </c>
      <c r="F413" t="s">
        <v>2805</v>
      </c>
      <c r="G413">
        <v>2025</v>
      </c>
      <c r="H413" t="s">
        <v>1160</v>
      </c>
      <c r="I413" t="s">
        <v>93</v>
      </c>
      <c r="J413">
        <v>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Y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H413">
        <v>0</v>
      </c>
      <c r="AI413">
        <v>3</v>
      </c>
      <c r="AJ413">
        <v>10</v>
      </c>
      <c r="AK413">
        <v>31</v>
      </c>
      <c r="AL413">
        <v>0</v>
      </c>
      <c r="AM413">
        <v>0</v>
      </c>
      <c r="AN413">
        <v>0</v>
      </c>
      <c r="AO413">
        <v>150</v>
      </c>
      <c r="AP413">
        <v>9</v>
      </c>
      <c r="AQ413">
        <v>2</v>
      </c>
      <c r="AR413">
        <v>-2.7921620294217502</v>
      </c>
      <c r="AS413">
        <v>0</v>
      </c>
      <c r="AT413">
        <v>0.206666666666667</v>
      </c>
      <c r="AU413">
        <v>1.9267822736030799E-2</v>
      </c>
      <c r="AV413">
        <v>3.5971223021582698E-2</v>
      </c>
      <c r="AW413">
        <v>5.4081590219154201E-2</v>
      </c>
      <c r="AX413">
        <v>0</v>
      </c>
      <c r="AY413">
        <v>4</v>
      </c>
      <c r="AZ413">
        <v>0</v>
      </c>
      <c r="BA413">
        <v>5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C413">
        <v>0</v>
      </c>
      <c r="DD413">
        <v>0</v>
      </c>
      <c r="DE413">
        <v>0</v>
      </c>
      <c r="DF413">
        <v>0</v>
      </c>
      <c r="DH413">
        <v>3.1</v>
      </c>
      <c r="DI413">
        <v>6.1</v>
      </c>
    </row>
    <row r="414" spans="1:113" ht="15" customHeight="1" x14ac:dyDescent="0.25">
      <c r="A414" t="s">
        <v>2806</v>
      </c>
      <c r="B414" t="s">
        <v>2807</v>
      </c>
      <c r="C414" t="s">
        <v>2808</v>
      </c>
      <c r="D414" t="s">
        <v>1158</v>
      </c>
      <c r="E414" t="s">
        <v>1158</v>
      </c>
      <c r="F414" t="s">
        <v>2809</v>
      </c>
      <c r="G414">
        <v>2025</v>
      </c>
      <c r="H414" t="s">
        <v>1160</v>
      </c>
      <c r="I414" t="s">
        <v>126</v>
      </c>
      <c r="J414">
        <v>17</v>
      </c>
      <c r="K414">
        <v>343</v>
      </c>
      <c r="L414">
        <v>543</v>
      </c>
      <c r="M414">
        <v>3693</v>
      </c>
      <c r="N414">
        <v>26</v>
      </c>
      <c r="O414">
        <v>11</v>
      </c>
      <c r="P414">
        <v>36</v>
      </c>
      <c r="Q414">
        <v>-234</v>
      </c>
      <c r="R414">
        <v>10</v>
      </c>
      <c r="S414">
        <v>3</v>
      </c>
      <c r="T414">
        <v>4406</v>
      </c>
      <c r="U414">
        <v>1923</v>
      </c>
      <c r="V414">
        <v>172</v>
      </c>
      <c r="W414">
        <v>0.67755082727532201</v>
      </c>
      <c r="X414">
        <v>-2.1161465592809598</v>
      </c>
      <c r="Y414">
        <v>2</v>
      </c>
      <c r="Z414">
        <v>0.83817521561507002</v>
      </c>
      <c r="AA414">
        <v>55</v>
      </c>
      <c r="AB414">
        <v>382</v>
      </c>
      <c r="AC414">
        <v>1</v>
      </c>
      <c r="AD414">
        <v>1</v>
      </c>
      <c r="AE414">
        <v>0</v>
      </c>
      <c r="AF414">
        <v>29</v>
      </c>
      <c r="AG414">
        <v>35.721468872510798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S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</v>
      </c>
      <c r="BP414">
        <v>4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C414">
        <v>0</v>
      </c>
      <c r="DD414">
        <v>0</v>
      </c>
      <c r="DE414">
        <v>0</v>
      </c>
      <c r="DF414">
        <v>0</v>
      </c>
      <c r="DH414">
        <v>271.92</v>
      </c>
      <c r="DI414">
        <v>271.92</v>
      </c>
    </row>
    <row r="415" spans="1:113" ht="15" customHeight="1" x14ac:dyDescent="0.25">
      <c r="A415" t="s">
        <v>2810</v>
      </c>
      <c r="B415" t="s">
        <v>2811</v>
      </c>
      <c r="C415" t="s">
        <v>2812</v>
      </c>
      <c r="D415" t="s">
        <v>1350</v>
      </c>
      <c r="E415" t="s">
        <v>1307</v>
      </c>
      <c r="F415" t="s">
        <v>2813</v>
      </c>
      <c r="G415">
        <v>2025</v>
      </c>
      <c r="H415" t="s">
        <v>1160</v>
      </c>
      <c r="I415" t="s">
        <v>109</v>
      </c>
      <c r="J415">
        <v>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Y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U415">
        <v>0</v>
      </c>
      <c r="AV415">
        <v>0</v>
      </c>
      <c r="AW415">
        <v>0</v>
      </c>
      <c r="AX415">
        <v>0</v>
      </c>
      <c r="AY415">
        <v>27</v>
      </c>
      <c r="AZ415">
        <v>2</v>
      </c>
      <c r="BA415">
        <v>10</v>
      </c>
      <c r="BB415">
        <v>2</v>
      </c>
      <c r="BC415">
        <v>6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13</v>
      </c>
      <c r="BJ415">
        <v>9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3</v>
      </c>
      <c r="BU415">
        <v>31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C415">
        <v>0</v>
      </c>
      <c r="DD415">
        <v>0</v>
      </c>
      <c r="DE415">
        <v>0</v>
      </c>
      <c r="DF415">
        <v>0</v>
      </c>
      <c r="DH415">
        <v>0</v>
      </c>
      <c r="DI415">
        <v>0</v>
      </c>
    </row>
    <row r="416" spans="1:113" ht="15" customHeight="1" x14ac:dyDescent="0.25">
      <c r="A416" t="s">
        <v>2814</v>
      </c>
      <c r="B416" t="s">
        <v>2001</v>
      </c>
      <c r="C416" t="s">
        <v>2815</v>
      </c>
      <c r="D416" t="s">
        <v>1158</v>
      </c>
      <c r="E416" t="s">
        <v>1158</v>
      </c>
      <c r="F416" t="s">
        <v>2816</v>
      </c>
      <c r="G416">
        <v>2025</v>
      </c>
      <c r="H416" t="s">
        <v>1160</v>
      </c>
      <c r="I416" t="s">
        <v>99</v>
      </c>
      <c r="J416">
        <v>16</v>
      </c>
      <c r="K416">
        <v>319</v>
      </c>
      <c r="L416">
        <v>460</v>
      </c>
      <c r="M416">
        <v>3668</v>
      </c>
      <c r="N416">
        <v>25</v>
      </c>
      <c r="O416">
        <v>10</v>
      </c>
      <c r="P416">
        <v>40</v>
      </c>
      <c r="Q416">
        <v>-298</v>
      </c>
      <c r="R416">
        <v>1</v>
      </c>
      <c r="S416">
        <v>1</v>
      </c>
      <c r="T416">
        <v>3359</v>
      </c>
      <c r="U416">
        <v>1962</v>
      </c>
      <c r="V416">
        <v>178</v>
      </c>
      <c r="W416">
        <v>71.326336457535106</v>
      </c>
      <c r="X416">
        <v>3.5148585914226098</v>
      </c>
      <c r="Y416">
        <v>1</v>
      </c>
      <c r="Z416">
        <v>1.0919916641857701</v>
      </c>
      <c r="AA416">
        <v>112</v>
      </c>
      <c r="AB416">
        <v>579</v>
      </c>
      <c r="AC416">
        <v>14</v>
      </c>
      <c r="AD416">
        <v>6</v>
      </c>
      <c r="AE416">
        <v>2</v>
      </c>
      <c r="AF416">
        <v>51</v>
      </c>
      <c r="AG416">
        <v>38.772568229397102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2</v>
      </c>
      <c r="BP416">
        <v>6</v>
      </c>
      <c r="BQ416">
        <v>0</v>
      </c>
      <c r="BR416">
        <v>0</v>
      </c>
      <c r="BS416">
        <v>0</v>
      </c>
      <c r="BT416">
        <v>3</v>
      </c>
      <c r="BU416">
        <v>29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C416">
        <v>0</v>
      </c>
      <c r="DD416">
        <v>0</v>
      </c>
      <c r="DE416">
        <v>0</v>
      </c>
      <c r="DF416">
        <v>0</v>
      </c>
      <c r="DH416">
        <v>364.62</v>
      </c>
      <c r="DI416">
        <v>364.62</v>
      </c>
    </row>
    <row r="417" spans="1:113" ht="15" customHeight="1" x14ac:dyDescent="0.25">
      <c r="A417" t="s">
        <v>2817</v>
      </c>
      <c r="B417" t="s">
        <v>2818</v>
      </c>
      <c r="C417" t="s">
        <v>850</v>
      </c>
      <c r="D417" t="s">
        <v>10</v>
      </c>
      <c r="E417" t="s">
        <v>10</v>
      </c>
      <c r="F417" t="s">
        <v>2819</v>
      </c>
      <c r="G417">
        <v>2025</v>
      </c>
      <c r="H417" t="s">
        <v>1160</v>
      </c>
      <c r="I417" t="s">
        <v>138</v>
      </c>
      <c r="J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Y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H417">
        <v>0</v>
      </c>
      <c r="AI417">
        <v>9</v>
      </c>
      <c r="AJ417">
        <v>11</v>
      </c>
      <c r="AK417">
        <v>127</v>
      </c>
      <c r="AL417">
        <v>0</v>
      </c>
      <c r="AM417">
        <v>1</v>
      </c>
      <c r="AN417">
        <v>1</v>
      </c>
      <c r="AO417">
        <v>105</v>
      </c>
      <c r="AP417">
        <v>86</v>
      </c>
      <c r="AQ417">
        <v>4</v>
      </c>
      <c r="AR417">
        <v>-4.0326483579700803</v>
      </c>
      <c r="AS417">
        <v>0</v>
      </c>
      <c r="AT417">
        <v>1.2095238095238099</v>
      </c>
      <c r="AU417">
        <v>1.9469026548672601E-2</v>
      </c>
      <c r="AV417">
        <v>2.19344056820556E-2</v>
      </c>
      <c r="AW417">
        <v>4.4557623800447699E-2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2</v>
      </c>
      <c r="BU417">
        <v>15</v>
      </c>
      <c r="BV417">
        <v>13</v>
      </c>
      <c r="BW417">
        <v>79</v>
      </c>
      <c r="BX417">
        <v>15</v>
      </c>
      <c r="BY417">
        <v>351</v>
      </c>
      <c r="BZ417">
        <v>0</v>
      </c>
      <c r="CA417">
        <v>0</v>
      </c>
      <c r="CB417">
        <v>0</v>
      </c>
      <c r="CC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C417">
        <v>0</v>
      </c>
      <c r="DD417">
        <v>0</v>
      </c>
      <c r="DE417">
        <v>0</v>
      </c>
      <c r="DF417">
        <v>0</v>
      </c>
      <c r="DH417">
        <v>10.7</v>
      </c>
      <c r="DI417">
        <v>19.7</v>
      </c>
    </row>
    <row r="418" spans="1:113" ht="15" customHeight="1" x14ac:dyDescent="0.25">
      <c r="A418" t="s">
        <v>2820</v>
      </c>
      <c r="B418" t="s">
        <v>2821</v>
      </c>
      <c r="C418" t="s">
        <v>977</v>
      </c>
      <c r="D418" t="s">
        <v>10</v>
      </c>
      <c r="E418" t="s">
        <v>10</v>
      </c>
      <c r="F418" t="s">
        <v>2822</v>
      </c>
      <c r="G418">
        <v>2025</v>
      </c>
      <c r="H418" t="s">
        <v>1160</v>
      </c>
      <c r="I418" t="s">
        <v>141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Y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-5</v>
      </c>
      <c r="AP418">
        <v>0</v>
      </c>
      <c r="AQ418">
        <v>0</v>
      </c>
      <c r="AR418">
        <v>-0.565274677006528</v>
      </c>
      <c r="AS418">
        <v>0</v>
      </c>
      <c r="AT418">
        <v>0</v>
      </c>
      <c r="AU418">
        <v>1.8181818181818199E-3</v>
      </c>
      <c r="AV418">
        <v>-1.16387337057728E-3</v>
      </c>
      <c r="AW418">
        <v>1.91256136786863E-3</v>
      </c>
      <c r="AX418">
        <v>0</v>
      </c>
      <c r="AY418">
        <v>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C418">
        <v>0</v>
      </c>
      <c r="DD418">
        <v>0</v>
      </c>
      <c r="DE418">
        <v>0</v>
      </c>
      <c r="DF418">
        <v>0</v>
      </c>
      <c r="DH418">
        <v>0</v>
      </c>
      <c r="DI418">
        <v>0</v>
      </c>
    </row>
    <row r="419" spans="1:113" ht="15" customHeight="1" x14ac:dyDescent="0.25">
      <c r="A419" t="s">
        <v>2823</v>
      </c>
      <c r="B419" t="s">
        <v>2824</v>
      </c>
      <c r="C419" t="s">
        <v>2825</v>
      </c>
      <c r="D419" t="s">
        <v>1158</v>
      </c>
      <c r="E419" t="s">
        <v>1158</v>
      </c>
      <c r="F419" t="s">
        <v>2826</v>
      </c>
      <c r="G419">
        <v>2025</v>
      </c>
      <c r="H419" t="s">
        <v>1160</v>
      </c>
      <c r="I419" t="s">
        <v>140</v>
      </c>
      <c r="J419">
        <v>17</v>
      </c>
      <c r="K419">
        <v>323</v>
      </c>
      <c r="L419">
        <v>477</v>
      </c>
      <c r="M419">
        <v>4048</v>
      </c>
      <c r="N419">
        <v>25</v>
      </c>
      <c r="O419">
        <v>14</v>
      </c>
      <c r="P419">
        <v>27</v>
      </c>
      <c r="Q419">
        <v>-186</v>
      </c>
      <c r="R419">
        <v>7</v>
      </c>
      <c r="S419">
        <v>5</v>
      </c>
      <c r="T419">
        <v>3744</v>
      </c>
      <c r="U419">
        <v>1778</v>
      </c>
      <c r="V419">
        <v>180</v>
      </c>
      <c r="W419">
        <v>74.577467127189905</v>
      </c>
      <c r="X419">
        <v>5.2382017648933701</v>
      </c>
      <c r="Y419">
        <v>2</v>
      </c>
      <c r="Z419">
        <v>1.08119658119658</v>
      </c>
      <c r="AA419">
        <v>35</v>
      </c>
      <c r="AB419">
        <v>95</v>
      </c>
      <c r="AC419">
        <v>0</v>
      </c>
      <c r="AD419">
        <v>3</v>
      </c>
      <c r="AE419">
        <v>1</v>
      </c>
      <c r="AF419">
        <v>12</v>
      </c>
      <c r="AG419">
        <v>-12.972385040939599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2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2</v>
      </c>
      <c r="BQ419">
        <v>0</v>
      </c>
      <c r="BR419">
        <v>0</v>
      </c>
      <c r="BS419">
        <v>0</v>
      </c>
      <c r="BT419">
        <v>1</v>
      </c>
      <c r="BU419">
        <v>21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C419">
        <v>0</v>
      </c>
      <c r="DD419">
        <v>0</v>
      </c>
      <c r="DE419">
        <v>0</v>
      </c>
      <c r="DF419">
        <v>0</v>
      </c>
      <c r="DH419">
        <v>235.42</v>
      </c>
      <c r="DI419">
        <v>235.42</v>
      </c>
    </row>
    <row r="420" spans="1:113" ht="15" customHeight="1" x14ac:dyDescent="0.25">
      <c r="A420" t="s">
        <v>2827</v>
      </c>
      <c r="B420" t="s">
        <v>2828</v>
      </c>
      <c r="C420" t="s">
        <v>2829</v>
      </c>
      <c r="D420" t="s">
        <v>2018</v>
      </c>
      <c r="E420" t="s">
        <v>1234</v>
      </c>
      <c r="F420" t="s">
        <v>2830</v>
      </c>
      <c r="G420">
        <v>2025</v>
      </c>
      <c r="H420" t="s">
        <v>1160</v>
      </c>
      <c r="I420" t="s">
        <v>97</v>
      </c>
      <c r="J420">
        <v>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Y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U420">
        <v>0</v>
      </c>
      <c r="AV420">
        <v>0</v>
      </c>
      <c r="AW420">
        <v>0</v>
      </c>
      <c r="AX420">
        <v>0</v>
      </c>
      <c r="AY420">
        <v>74</v>
      </c>
      <c r="AZ420">
        <v>2</v>
      </c>
      <c r="BA420">
        <v>54</v>
      </c>
      <c r="BB420">
        <v>5</v>
      </c>
      <c r="BC420">
        <v>17</v>
      </c>
      <c r="BD420">
        <v>0</v>
      </c>
      <c r="BE420">
        <v>0</v>
      </c>
      <c r="BF420">
        <v>0</v>
      </c>
      <c r="BG420">
        <v>4</v>
      </c>
      <c r="BH420">
        <v>0</v>
      </c>
      <c r="BI420">
        <v>0</v>
      </c>
      <c r="BJ420">
        <v>3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1</v>
      </c>
      <c r="BS420">
        <v>1</v>
      </c>
      <c r="BT420">
        <v>2</v>
      </c>
      <c r="BU420">
        <v>14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C420">
        <v>0</v>
      </c>
      <c r="DD420">
        <v>0</v>
      </c>
      <c r="DE420">
        <v>0</v>
      </c>
      <c r="DF420">
        <v>0</v>
      </c>
      <c r="DH420">
        <v>0</v>
      </c>
      <c r="DI420">
        <v>0</v>
      </c>
    </row>
    <row r="421" spans="1:113" ht="15" customHeight="1" x14ac:dyDescent="0.25">
      <c r="A421" t="s">
        <v>2831</v>
      </c>
      <c r="B421" t="s">
        <v>2832</v>
      </c>
      <c r="C421" t="s">
        <v>2833</v>
      </c>
      <c r="D421" t="s">
        <v>10</v>
      </c>
      <c r="E421" t="s">
        <v>10</v>
      </c>
      <c r="F421" t="s">
        <v>2834</v>
      </c>
      <c r="G421">
        <v>2025</v>
      </c>
      <c r="H421" t="s">
        <v>1160</v>
      </c>
      <c r="I421" t="s">
        <v>90</v>
      </c>
      <c r="J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Y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2</v>
      </c>
      <c r="AP421">
        <v>0</v>
      </c>
      <c r="AQ421">
        <v>0</v>
      </c>
      <c r="AR421">
        <v>-0.55599116533994697</v>
      </c>
      <c r="AS421">
        <v>0</v>
      </c>
      <c r="AT421">
        <v>0</v>
      </c>
      <c r="AU421">
        <v>1.6207455429497601E-3</v>
      </c>
      <c r="AV421">
        <v>4.2918454935622299E-4</v>
      </c>
      <c r="AW421">
        <v>2.7315474989739901E-3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3</v>
      </c>
      <c r="BW421">
        <v>32</v>
      </c>
      <c r="BX421">
        <v>10</v>
      </c>
      <c r="BY421">
        <v>236</v>
      </c>
      <c r="BZ421">
        <v>0</v>
      </c>
      <c r="CA421">
        <v>0</v>
      </c>
      <c r="CB421">
        <v>0</v>
      </c>
      <c r="CC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C421">
        <v>0</v>
      </c>
      <c r="DD421">
        <v>0</v>
      </c>
      <c r="DE421">
        <v>0</v>
      </c>
      <c r="DF421">
        <v>0</v>
      </c>
      <c r="DH421">
        <v>0</v>
      </c>
      <c r="DI421">
        <v>0</v>
      </c>
    </row>
    <row r="422" spans="1:113" ht="15" customHeight="1" x14ac:dyDescent="0.25">
      <c r="A422" t="s">
        <v>2835</v>
      </c>
      <c r="B422" t="s">
        <v>2836</v>
      </c>
      <c r="C422" t="s">
        <v>2837</v>
      </c>
      <c r="D422" t="s">
        <v>1209</v>
      </c>
      <c r="E422" t="s">
        <v>1169</v>
      </c>
      <c r="F422" t="s">
        <v>2838</v>
      </c>
      <c r="G422">
        <v>2025</v>
      </c>
      <c r="H422" t="s">
        <v>1160</v>
      </c>
      <c r="I422" t="s">
        <v>99</v>
      </c>
      <c r="J422">
        <v>12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Y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C422">
        <v>0</v>
      </c>
      <c r="DD422">
        <v>0</v>
      </c>
      <c r="DE422">
        <v>0</v>
      </c>
      <c r="DF422">
        <v>0</v>
      </c>
      <c r="DH422">
        <v>0</v>
      </c>
      <c r="DI422">
        <v>0</v>
      </c>
    </row>
    <row r="423" spans="1:113" ht="15" customHeight="1" x14ac:dyDescent="0.25">
      <c r="A423" t="s">
        <v>2839</v>
      </c>
      <c r="B423" t="s">
        <v>2840</v>
      </c>
      <c r="C423" t="s">
        <v>2841</v>
      </c>
      <c r="D423" t="s">
        <v>1219</v>
      </c>
      <c r="E423" t="s">
        <v>1220</v>
      </c>
      <c r="F423" t="s">
        <v>2842</v>
      </c>
      <c r="G423">
        <v>2025</v>
      </c>
      <c r="H423" t="s">
        <v>1160</v>
      </c>
      <c r="I423" t="s">
        <v>120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Y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S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5</v>
      </c>
      <c r="BU423">
        <v>34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C423">
        <v>0</v>
      </c>
      <c r="DD423">
        <v>0</v>
      </c>
      <c r="DE423">
        <v>0</v>
      </c>
      <c r="DF423">
        <v>0</v>
      </c>
      <c r="DH423">
        <v>0</v>
      </c>
      <c r="DI423">
        <v>0</v>
      </c>
    </row>
    <row r="424" spans="1:113" ht="15" customHeight="1" x14ac:dyDescent="0.25">
      <c r="A424" t="s">
        <v>2843</v>
      </c>
      <c r="B424" t="s">
        <v>2844</v>
      </c>
      <c r="C424" t="s">
        <v>2845</v>
      </c>
      <c r="D424" t="s">
        <v>1158</v>
      </c>
      <c r="E424" t="s">
        <v>1158</v>
      </c>
      <c r="F424" t="s">
        <v>2846</v>
      </c>
      <c r="G424">
        <v>2025</v>
      </c>
      <c r="H424" t="s">
        <v>1160</v>
      </c>
      <c r="I424" t="s">
        <v>107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-2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-1.2378779940772799</v>
      </c>
      <c r="Y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S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C424">
        <v>0</v>
      </c>
      <c r="DD424">
        <v>0</v>
      </c>
      <c r="DE424">
        <v>0</v>
      </c>
      <c r="DF424">
        <v>0</v>
      </c>
      <c r="DH424">
        <v>0</v>
      </c>
      <c r="DI424">
        <v>0</v>
      </c>
    </row>
    <row r="425" spans="1:113" ht="15" customHeight="1" x14ac:dyDescent="0.25">
      <c r="A425" t="s">
        <v>2847</v>
      </c>
      <c r="B425" t="s">
        <v>2848</v>
      </c>
      <c r="C425" t="s">
        <v>2849</v>
      </c>
      <c r="D425" t="s">
        <v>431</v>
      </c>
      <c r="E425" t="s">
        <v>431</v>
      </c>
      <c r="F425" t="s">
        <v>2850</v>
      </c>
      <c r="G425">
        <v>2025</v>
      </c>
      <c r="H425" t="s">
        <v>1160</v>
      </c>
      <c r="I425" t="s">
        <v>101</v>
      </c>
      <c r="J425">
        <v>11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Y425">
        <v>0</v>
      </c>
      <c r="AA425">
        <v>1</v>
      </c>
      <c r="AB425">
        <v>5</v>
      </c>
      <c r="AC425">
        <v>0</v>
      </c>
      <c r="AD425">
        <v>0</v>
      </c>
      <c r="AE425">
        <v>0</v>
      </c>
      <c r="AF425">
        <v>1</v>
      </c>
      <c r="AG425">
        <v>1.30118140601553</v>
      </c>
      <c r="AH425">
        <v>0</v>
      </c>
      <c r="AI425">
        <v>6</v>
      </c>
      <c r="AJ425">
        <v>9</v>
      </c>
      <c r="AK425">
        <v>45</v>
      </c>
      <c r="AL425">
        <v>2</v>
      </c>
      <c r="AM425">
        <v>0</v>
      </c>
      <c r="AN425">
        <v>0</v>
      </c>
      <c r="AO425">
        <v>38</v>
      </c>
      <c r="AP425">
        <v>20</v>
      </c>
      <c r="AQ425">
        <v>4</v>
      </c>
      <c r="AR425">
        <v>-0.22491847825585901</v>
      </c>
      <c r="AS425">
        <v>0</v>
      </c>
      <c r="AT425">
        <v>1.18421052631579</v>
      </c>
      <c r="AU425">
        <v>1.90677966101695E-2</v>
      </c>
      <c r="AV425">
        <v>1.11633372502938E-2</v>
      </c>
      <c r="AW425">
        <v>3.6416030990459897E-2</v>
      </c>
      <c r="AX425">
        <v>0</v>
      </c>
      <c r="AY425">
        <v>4</v>
      </c>
      <c r="AZ425">
        <v>0</v>
      </c>
      <c r="BA425">
        <v>4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C425">
        <v>0</v>
      </c>
      <c r="DD425">
        <v>0</v>
      </c>
      <c r="DE425">
        <v>0</v>
      </c>
      <c r="DF425">
        <v>0</v>
      </c>
      <c r="DH425">
        <v>17</v>
      </c>
      <c r="DI425">
        <v>23</v>
      </c>
    </row>
    <row r="426" spans="1:113" ht="15" customHeight="1" x14ac:dyDescent="0.25">
      <c r="A426" t="s">
        <v>2851</v>
      </c>
      <c r="B426" t="s">
        <v>2852</v>
      </c>
      <c r="C426" t="s">
        <v>697</v>
      </c>
      <c r="D426" t="s">
        <v>10</v>
      </c>
      <c r="E426" t="s">
        <v>10</v>
      </c>
      <c r="F426" t="s">
        <v>2853</v>
      </c>
      <c r="G426">
        <v>2025</v>
      </c>
      <c r="H426" t="s">
        <v>1160</v>
      </c>
      <c r="I426" t="s">
        <v>106</v>
      </c>
      <c r="J426">
        <v>16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Y426">
        <v>0</v>
      </c>
      <c r="AA426">
        <v>5</v>
      </c>
      <c r="AB426">
        <v>13</v>
      </c>
      <c r="AC426">
        <v>0</v>
      </c>
      <c r="AD426">
        <v>0</v>
      </c>
      <c r="AE426">
        <v>0</v>
      </c>
      <c r="AF426">
        <v>1</v>
      </c>
      <c r="AG426">
        <v>-0.407055840740213</v>
      </c>
      <c r="AH426">
        <v>0</v>
      </c>
      <c r="AI426">
        <v>75</v>
      </c>
      <c r="AJ426">
        <v>110</v>
      </c>
      <c r="AK426">
        <v>835</v>
      </c>
      <c r="AL426">
        <v>3</v>
      </c>
      <c r="AM426">
        <v>1</v>
      </c>
      <c r="AN426">
        <v>1</v>
      </c>
      <c r="AO426">
        <v>1008</v>
      </c>
      <c r="AP426">
        <v>282</v>
      </c>
      <c r="AQ426">
        <v>43</v>
      </c>
      <c r="AR426">
        <v>10.0140716943864</v>
      </c>
      <c r="AS426">
        <v>0</v>
      </c>
      <c r="AT426">
        <v>0.82837301587301604</v>
      </c>
      <c r="AU426">
        <v>0.22267206477732801</v>
      </c>
      <c r="AV426">
        <v>0.31421446384039903</v>
      </c>
      <c r="AW426">
        <v>0.55395822185427102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3</v>
      </c>
      <c r="BU426">
        <v>30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C426">
        <v>0</v>
      </c>
      <c r="DD426">
        <v>0</v>
      </c>
      <c r="DE426">
        <v>0</v>
      </c>
      <c r="DF426">
        <v>0</v>
      </c>
      <c r="DH426">
        <v>100.8</v>
      </c>
      <c r="DI426">
        <v>175.8</v>
      </c>
    </row>
    <row r="427" spans="1:113" ht="15" customHeight="1" x14ac:dyDescent="0.25">
      <c r="A427" t="s">
        <v>2854</v>
      </c>
      <c r="B427" t="s">
        <v>2855</v>
      </c>
      <c r="C427" t="s">
        <v>2856</v>
      </c>
      <c r="D427" t="s">
        <v>1350</v>
      </c>
      <c r="E427" t="s">
        <v>1307</v>
      </c>
      <c r="F427" t="s">
        <v>2857</v>
      </c>
      <c r="G427">
        <v>2025</v>
      </c>
      <c r="H427" t="s">
        <v>1160</v>
      </c>
      <c r="I427" t="s">
        <v>109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Y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S427">
        <v>0</v>
      </c>
      <c r="AU427">
        <v>0</v>
      </c>
      <c r="AV427">
        <v>0</v>
      </c>
      <c r="AW427">
        <v>0</v>
      </c>
      <c r="AX427">
        <v>0</v>
      </c>
      <c r="AY427">
        <v>5</v>
      </c>
      <c r="AZ427">
        <v>0</v>
      </c>
      <c r="BA427">
        <v>4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C427">
        <v>0</v>
      </c>
      <c r="DD427">
        <v>0</v>
      </c>
      <c r="DE427">
        <v>0</v>
      </c>
      <c r="DF427">
        <v>0</v>
      </c>
      <c r="DH427">
        <v>0</v>
      </c>
      <c r="DI427">
        <v>0</v>
      </c>
    </row>
    <row r="428" spans="1:113" ht="15" customHeight="1" x14ac:dyDescent="0.25">
      <c r="A428" t="s">
        <v>2858</v>
      </c>
      <c r="B428" t="s">
        <v>2859</v>
      </c>
      <c r="C428" t="s">
        <v>2860</v>
      </c>
      <c r="D428" t="s">
        <v>1189</v>
      </c>
      <c r="E428" t="s">
        <v>1190</v>
      </c>
      <c r="F428" t="s">
        <v>2861</v>
      </c>
      <c r="G428">
        <v>2025</v>
      </c>
      <c r="H428" t="s">
        <v>1160</v>
      </c>
      <c r="I428" t="s">
        <v>118</v>
      </c>
      <c r="J428">
        <v>16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Y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>
        <v>0</v>
      </c>
      <c r="AU428">
        <v>0</v>
      </c>
      <c r="AV428">
        <v>0</v>
      </c>
      <c r="AW428">
        <v>0</v>
      </c>
      <c r="AX428">
        <v>0</v>
      </c>
      <c r="AY428">
        <v>25</v>
      </c>
      <c r="AZ428">
        <v>0</v>
      </c>
      <c r="BA428">
        <v>20</v>
      </c>
      <c r="BB428">
        <v>7</v>
      </c>
      <c r="BC428">
        <v>41</v>
      </c>
      <c r="BD428">
        <v>1</v>
      </c>
      <c r="BE428">
        <v>7.5</v>
      </c>
      <c r="BF428">
        <v>44</v>
      </c>
      <c r="BG428">
        <v>20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1</v>
      </c>
      <c r="BS428">
        <v>0</v>
      </c>
      <c r="BT428">
        <v>1</v>
      </c>
      <c r="BU428">
        <v>5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C428">
        <v>0</v>
      </c>
      <c r="DD428">
        <v>0</v>
      </c>
      <c r="DE428">
        <v>0</v>
      </c>
      <c r="DF428">
        <v>0</v>
      </c>
      <c r="DH428">
        <v>0</v>
      </c>
      <c r="DI428">
        <v>0</v>
      </c>
    </row>
    <row r="429" spans="1:113" ht="15" customHeight="1" x14ac:dyDescent="0.25">
      <c r="A429" t="s">
        <v>2862</v>
      </c>
      <c r="B429" t="s">
        <v>2863</v>
      </c>
      <c r="C429" t="s">
        <v>2864</v>
      </c>
      <c r="D429" t="s">
        <v>1684</v>
      </c>
      <c r="E429" t="s">
        <v>1307</v>
      </c>
      <c r="F429" t="s">
        <v>2865</v>
      </c>
      <c r="G429">
        <v>2025</v>
      </c>
      <c r="H429" t="s">
        <v>1160</v>
      </c>
      <c r="I429" t="s">
        <v>99</v>
      </c>
      <c r="J429">
        <v>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Y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>
        <v>0</v>
      </c>
      <c r="AU429">
        <v>0</v>
      </c>
      <c r="AV429">
        <v>0</v>
      </c>
      <c r="AW429">
        <v>0</v>
      </c>
      <c r="AX429">
        <v>0</v>
      </c>
      <c r="AY429">
        <v>10</v>
      </c>
      <c r="AZ429">
        <v>0</v>
      </c>
      <c r="BA429">
        <v>8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C429">
        <v>0</v>
      </c>
      <c r="DD429">
        <v>0</v>
      </c>
      <c r="DE429">
        <v>0</v>
      </c>
      <c r="DF429">
        <v>0</v>
      </c>
      <c r="DH429">
        <v>0</v>
      </c>
      <c r="DI429">
        <v>0</v>
      </c>
    </row>
    <row r="430" spans="1:113" ht="15" customHeight="1" x14ac:dyDescent="0.25">
      <c r="A430" t="s">
        <v>2866</v>
      </c>
      <c r="B430" t="s">
        <v>2867</v>
      </c>
      <c r="C430" t="s">
        <v>2868</v>
      </c>
      <c r="D430" t="s">
        <v>1189</v>
      </c>
      <c r="E430" t="s">
        <v>1190</v>
      </c>
      <c r="F430" t="s">
        <v>2869</v>
      </c>
      <c r="G430">
        <v>2025</v>
      </c>
      <c r="H430" t="s">
        <v>1160</v>
      </c>
      <c r="I430" t="s">
        <v>89</v>
      </c>
      <c r="J430">
        <v>15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Y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S430">
        <v>0</v>
      </c>
      <c r="AU430">
        <v>0</v>
      </c>
      <c r="AV430">
        <v>0</v>
      </c>
      <c r="AW430">
        <v>0</v>
      </c>
      <c r="AX430">
        <v>0</v>
      </c>
      <c r="AY430">
        <v>42</v>
      </c>
      <c r="AZ430">
        <v>3</v>
      </c>
      <c r="BA430">
        <v>28</v>
      </c>
      <c r="BB430">
        <v>28</v>
      </c>
      <c r="BC430">
        <v>93</v>
      </c>
      <c r="BD430">
        <v>2</v>
      </c>
      <c r="BE430">
        <v>10</v>
      </c>
      <c r="BF430">
        <v>50</v>
      </c>
      <c r="BG430">
        <v>20</v>
      </c>
      <c r="BH430">
        <v>1</v>
      </c>
      <c r="BI430">
        <v>19</v>
      </c>
      <c r="BJ430">
        <v>6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7</v>
      </c>
      <c r="BU430">
        <v>44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C430">
        <v>0</v>
      </c>
      <c r="DD430">
        <v>0</v>
      </c>
      <c r="DE430">
        <v>0</v>
      </c>
      <c r="DF430">
        <v>0</v>
      </c>
      <c r="DH430">
        <v>0</v>
      </c>
      <c r="DI430">
        <v>0</v>
      </c>
    </row>
    <row r="431" spans="1:113" ht="15" customHeight="1" x14ac:dyDescent="0.25">
      <c r="A431" t="s">
        <v>2870</v>
      </c>
      <c r="B431" t="s">
        <v>2871</v>
      </c>
      <c r="C431" t="s">
        <v>2872</v>
      </c>
      <c r="D431" t="s">
        <v>1684</v>
      </c>
      <c r="E431" t="s">
        <v>1307</v>
      </c>
      <c r="F431" t="s">
        <v>2873</v>
      </c>
      <c r="G431">
        <v>2025</v>
      </c>
      <c r="H431" t="s">
        <v>1160</v>
      </c>
      <c r="I431" t="s">
        <v>140</v>
      </c>
      <c r="J431">
        <v>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Y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>
        <v>0</v>
      </c>
      <c r="AU431">
        <v>0</v>
      </c>
      <c r="AV431">
        <v>0</v>
      </c>
      <c r="AW431">
        <v>0</v>
      </c>
      <c r="AX431">
        <v>0</v>
      </c>
      <c r="AY431">
        <v>22</v>
      </c>
      <c r="AZ431">
        <v>1</v>
      </c>
      <c r="BA431">
        <v>11</v>
      </c>
      <c r="BB431">
        <v>1</v>
      </c>
      <c r="BC431">
        <v>12</v>
      </c>
      <c r="BD431">
        <v>0</v>
      </c>
      <c r="BE431">
        <v>1</v>
      </c>
      <c r="BF431">
        <v>12</v>
      </c>
      <c r="BG431">
        <v>1</v>
      </c>
      <c r="BH431">
        <v>1</v>
      </c>
      <c r="BI431">
        <v>26</v>
      </c>
      <c r="BJ431">
        <v>6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5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C431">
        <v>0</v>
      </c>
      <c r="DD431">
        <v>0</v>
      </c>
      <c r="DE431">
        <v>0</v>
      </c>
      <c r="DF431">
        <v>0</v>
      </c>
      <c r="DH431">
        <v>0</v>
      </c>
      <c r="DI431">
        <v>0</v>
      </c>
    </row>
    <row r="432" spans="1:113" ht="15" customHeight="1" x14ac:dyDescent="0.25">
      <c r="A432" t="s">
        <v>2874</v>
      </c>
      <c r="B432" t="s">
        <v>2875</v>
      </c>
      <c r="C432" t="s">
        <v>476</v>
      </c>
      <c r="D432" t="s">
        <v>431</v>
      </c>
      <c r="E432" t="s">
        <v>431</v>
      </c>
      <c r="F432" t="s">
        <v>2876</v>
      </c>
      <c r="G432">
        <v>2025</v>
      </c>
      <c r="H432" t="s">
        <v>1160</v>
      </c>
      <c r="I432" t="s">
        <v>97</v>
      </c>
      <c r="J432">
        <v>10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Y432">
        <v>0</v>
      </c>
      <c r="AA432">
        <v>18</v>
      </c>
      <c r="AB432">
        <v>93</v>
      </c>
      <c r="AC432">
        <v>2</v>
      </c>
      <c r="AD432">
        <v>1</v>
      </c>
      <c r="AE432">
        <v>0</v>
      </c>
      <c r="AF432">
        <v>4</v>
      </c>
      <c r="AG432">
        <v>-1.2543157914187799</v>
      </c>
      <c r="AH432">
        <v>0</v>
      </c>
      <c r="AI432">
        <v>21</v>
      </c>
      <c r="AJ432">
        <v>27</v>
      </c>
      <c r="AK432">
        <v>169</v>
      </c>
      <c r="AL432">
        <v>1</v>
      </c>
      <c r="AM432">
        <v>0</v>
      </c>
      <c r="AN432">
        <v>0</v>
      </c>
      <c r="AO432">
        <v>-6</v>
      </c>
      <c r="AP432">
        <v>184</v>
      </c>
      <c r="AQ432">
        <v>6</v>
      </c>
      <c r="AR432">
        <v>0.421497160219587</v>
      </c>
      <c r="AS432">
        <v>0</v>
      </c>
      <c r="AT432">
        <v>-28.1666666666667</v>
      </c>
      <c r="AU432">
        <v>6.6339066339066305E-2</v>
      </c>
      <c r="AV432">
        <v>-1.75336060783168E-3</v>
      </c>
      <c r="AW432">
        <v>9.8281247083117307E-2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7</v>
      </c>
      <c r="BY432">
        <v>188</v>
      </c>
      <c r="BZ432">
        <v>0</v>
      </c>
      <c r="CA432">
        <v>0</v>
      </c>
      <c r="CB432">
        <v>0</v>
      </c>
      <c r="CC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C432">
        <v>0</v>
      </c>
      <c r="DD432">
        <v>0</v>
      </c>
      <c r="DE432">
        <v>0</v>
      </c>
      <c r="DF432">
        <v>0</v>
      </c>
      <c r="DH432">
        <v>44.2</v>
      </c>
      <c r="DI432">
        <v>65.2</v>
      </c>
    </row>
    <row r="433" spans="1:113" ht="15" customHeight="1" x14ac:dyDescent="0.25">
      <c r="A433" t="s">
        <v>2877</v>
      </c>
      <c r="B433" t="s">
        <v>2878</v>
      </c>
      <c r="C433" t="s">
        <v>2879</v>
      </c>
      <c r="D433" t="s">
        <v>1297</v>
      </c>
      <c r="E433" t="s">
        <v>1220</v>
      </c>
      <c r="F433" t="s">
        <v>2880</v>
      </c>
      <c r="G433">
        <v>2025</v>
      </c>
      <c r="H433" t="s">
        <v>1160</v>
      </c>
      <c r="I433" t="s">
        <v>115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Y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S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3</v>
      </c>
      <c r="BU433">
        <v>20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C433">
        <v>0</v>
      </c>
      <c r="DD433">
        <v>0</v>
      </c>
      <c r="DE433">
        <v>0</v>
      </c>
      <c r="DF433">
        <v>0</v>
      </c>
      <c r="DH433">
        <v>0</v>
      </c>
      <c r="DI433">
        <v>0</v>
      </c>
    </row>
    <row r="434" spans="1:113" ht="15" customHeight="1" x14ac:dyDescent="0.25">
      <c r="A434" t="s">
        <v>2881</v>
      </c>
      <c r="B434" t="s">
        <v>2250</v>
      </c>
      <c r="C434" t="s">
        <v>661</v>
      </c>
      <c r="D434" t="s">
        <v>439</v>
      </c>
      <c r="E434" t="s">
        <v>439</v>
      </c>
      <c r="F434" t="s">
        <v>2882</v>
      </c>
      <c r="G434">
        <v>2025</v>
      </c>
      <c r="H434" t="s">
        <v>1160</v>
      </c>
      <c r="I434" t="s">
        <v>138</v>
      </c>
      <c r="J434">
        <v>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Y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H434">
        <v>0</v>
      </c>
      <c r="AI434">
        <v>7</v>
      </c>
      <c r="AJ434">
        <v>10</v>
      </c>
      <c r="AK434">
        <v>59</v>
      </c>
      <c r="AL434">
        <v>0</v>
      </c>
      <c r="AM434">
        <v>0</v>
      </c>
      <c r="AN434">
        <v>0</v>
      </c>
      <c r="AO434">
        <v>10</v>
      </c>
      <c r="AP434">
        <v>44</v>
      </c>
      <c r="AQ434">
        <v>2</v>
      </c>
      <c r="AR434">
        <v>-3.7357050054706602</v>
      </c>
      <c r="AS434">
        <v>0</v>
      </c>
      <c r="AT434">
        <v>5.9</v>
      </c>
      <c r="AU434">
        <v>1.7699115044247801E-2</v>
      </c>
      <c r="AV434">
        <v>2.0889910173386302E-3</v>
      </c>
      <c r="AW434">
        <v>2.80109662785087E-2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5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C434">
        <v>0</v>
      </c>
      <c r="DD434">
        <v>0</v>
      </c>
      <c r="DE434">
        <v>0</v>
      </c>
      <c r="DF434">
        <v>0</v>
      </c>
      <c r="DH434">
        <v>5.9</v>
      </c>
      <c r="DI434">
        <v>12.9</v>
      </c>
    </row>
    <row r="435" spans="1:113" ht="15" customHeight="1" x14ac:dyDescent="0.25">
      <c r="A435" t="s">
        <v>2883</v>
      </c>
      <c r="B435" t="s">
        <v>2884</v>
      </c>
      <c r="C435" t="s">
        <v>2885</v>
      </c>
      <c r="D435" t="s">
        <v>1234</v>
      </c>
      <c r="E435" t="s">
        <v>1234</v>
      </c>
      <c r="F435" t="s">
        <v>2886</v>
      </c>
      <c r="G435">
        <v>2025</v>
      </c>
      <c r="H435" t="s">
        <v>1160</v>
      </c>
      <c r="I435" t="s">
        <v>115</v>
      </c>
      <c r="J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Y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S435">
        <v>0</v>
      </c>
      <c r="AU435">
        <v>0</v>
      </c>
      <c r="AV435">
        <v>0</v>
      </c>
      <c r="AW435">
        <v>0</v>
      </c>
      <c r="AX435">
        <v>0</v>
      </c>
      <c r="AY435">
        <v>15</v>
      </c>
      <c r="AZ435">
        <v>0</v>
      </c>
      <c r="BA435">
        <v>28</v>
      </c>
      <c r="BB435">
        <v>2</v>
      </c>
      <c r="BC435">
        <v>8</v>
      </c>
      <c r="BD435">
        <v>1</v>
      </c>
      <c r="BE435">
        <v>1</v>
      </c>
      <c r="BF435">
        <v>0</v>
      </c>
      <c r="BG435">
        <v>2</v>
      </c>
      <c r="BH435">
        <v>1</v>
      </c>
      <c r="BI435">
        <v>27</v>
      </c>
      <c r="BJ435">
        <v>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C435">
        <v>0</v>
      </c>
      <c r="DD435">
        <v>0</v>
      </c>
      <c r="DE435">
        <v>0</v>
      </c>
      <c r="DF435">
        <v>0</v>
      </c>
      <c r="DH435">
        <v>0</v>
      </c>
      <c r="DI435">
        <v>0</v>
      </c>
    </row>
    <row r="436" spans="1:113" ht="15" customHeight="1" x14ac:dyDescent="0.25">
      <c r="A436" t="s">
        <v>2887</v>
      </c>
      <c r="B436" t="s">
        <v>2888</v>
      </c>
      <c r="C436" t="s">
        <v>2889</v>
      </c>
      <c r="D436" t="s">
        <v>10</v>
      </c>
      <c r="E436" t="s">
        <v>10</v>
      </c>
      <c r="F436" t="s">
        <v>2890</v>
      </c>
      <c r="G436">
        <v>2025</v>
      </c>
      <c r="H436" t="s">
        <v>1160</v>
      </c>
      <c r="I436" t="s">
        <v>96</v>
      </c>
      <c r="J436">
        <v>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Y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H436">
        <v>0</v>
      </c>
      <c r="AI436">
        <v>15</v>
      </c>
      <c r="AJ436">
        <v>26</v>
      </c>
      <c r="AK436">
        <v>89</v>
      </c>
      <c r="AL436">
        <v>2</v>
      </c>
      <c r="AM436">
        <v>0</v>
      </c>
      <c r="AN436">
        <v>0</v>
      </c>
      <c r="AO436">
        <v>194</v>
      </c>
      <c r="AP436">
        <v>24</v>
      </c>
      <c r="AQ436">
        <v>8</v>
      </c>
      <c r="AR436">
        <v>-2.0028398223078998</v>
      </c>
      <c r="AS436">
        <v>0</v>
      </c>
      <c r="AT436">
        <v>0.45876288659793801</v>
      </c>
      <c r="AU436">
        <v>5.4166666666666703E-2</v>
      </c>
      <c r="AV436">
        <v>5.6231884057970999E-2</v>
      </c>
      <c r="AW436">
        <v>0.12061231884058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13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C436">
        <v>0</v>
      </c>
      <c r="DD436">
        <v>0</v>
      </c>
      <c r="DE436">
        <v>0</v>
      </c>
      <c r="DF436">
        <v>0</v>
      </c>
      <c r="DH436">
        <v>20.9</v>
      </c>
      <c r="DI436">
        <v>35.9</v>
      </c>
    </row>
    <row r="437" spans="1:113" ht="15" customHeight="1" x14ac:dyDescent="0.25">
      <c r="A437" t="s">
        <v>2891</v>
      </c>
      <c r="B437" t="s">
        <v>2892</v>
      </c>
      <c r="C437" t="s">
        <v>2893</v>
      </c>
      <c r="D437" t="s">
        <v>1234</v>
      </c>
      <c r="E437" t="s">
        <v>1234</v>
      </c>
      <c r="F437" t="s">
        <v>2894</v>
      </c>
      <c r="G437">
        <v>2025</v>
      </c>
      <c r="H437" t="s">
        <v>1160</v>
      </c>
      <c r="I437" t="s">
        <v>121</v>
      </c>
      <c r="J437">
        <v>14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Y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S437">
        <v>0</v>
      </c>
      <c r="AU437">
        <v>0</v>
      </c>
      <c r="AV437">
        <v>0</v>
      </c>
      <c r="AW437">
        <v>0</v>
      </c>
      <c r="AX437">
        <v>0</v>
      </c>
      <c r="AY437">
        <v>31</v>
      </c>
      <c r="AZ437">
        <v>2</v>
      </c>
      <c r="BA437">
        <v>29</v>
      </c>
      <c r="BB437">
        <v>2</v>
      </c>
      <c r="BC437">
        <v>4</v>
      </c>
      <c r="BD437">
        <v>0</v>
      </c>
      <c r="BE437">
        <v>0</v>
      </c>
      <c r="BF437">
        <v>0</v>
      </c>
      <c r="BG437">
        <v>2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4</v>
      </c>
      <c r="BU437">
        <v>20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C437">
        <v>0</v>
      </c>
      <c r="DD437">
        <v>0</v>
      </c>
      <c r="DE437">
        <v>0</v>
      </c>
      <c r="DF437">
        <v>0</v>
      </c>
      <c r="DH437">
        <v>0</v>
      </c>
      <c r="DI437">
        <v>0</v>
      </c>
    </row>
    <row r="438" spans="1:113" ht="15" customHeight="1" x14ac:dyDescent="0.25">
      <c r="A438" t="s">
        <v>2895</v>
      </c>
      <c r="B438" t="s">
        <v>2896</v>
      </c>
      <c r="C438" t="s">
        <v>2897</v>
      </c>
      <c r="D438" t="s">
        <v>1219</v>
      </c>
      <c r="E438" t="s">
        <v>1220</v>
      </c>
      <c r="F438" t="s">
        <v>2898</v>
      </c>
      <c r="G438">
        <v>2025</v>
      </c>
      <c r="H438" t="s">
        <v>1160</v>
      </c>
      <c r="I438" t="s">
        <v>137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Y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S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3</v>
      </c>
      <c r="BU438">
        <v>30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C438">
        <v>0</v>
      </c>
      <c r="DD438">
        <v>0</v>
      </c>
      <c r="DE438">
        <v>0</v>
      </c>
      <c r="DF438">
        <v>0</v>
      </c>
      <c r="DH438">
        <v>0</v>
      </c>
      <c r="DI438">
        <v>0</v>
      </c>
    </row>
    <row r="439" spans="1:113" ht="15" customHeight="1" x14ac:dyDescent="0.25">
      <c r="A439" t="s">
        <v>2899</v>
      </c>
      <c r="B439" t="s">
        <v>2900</v>
      </c>
      <c r="C439" t="s">
        <v>2901</v>
      </c>
      <c r="D439" t="s">
        <v>1684</v>
      </c>
      <c r="E439" t="s">
        <v>1307</v>
      </c>
      <c r="F439" t="s">
        <v>2902</v>
      </c>
      <c r="G439">
        <v>2025</v>
      </c>
      <c r="H439" t="s">
        <v>1160</v>
      </c>
      <c r="I439" t="s">
        <v>120</v>
      </c>
      <c r="J439">
        <v>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Y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S439">
        <v>0</v>
      </c>
      <c r="AU439">
        <v>0</v>
      </c>
      <c r="AV439">
        <v>0</v>
      </c>
      <c r="AW439">
        <v>0</v>
      </c>
      <c r="AX439">
        <v>0</v>
      </c>
      <c r="AY439">
        <v>18</v>
      </c>
      <c r="AZ439">
        <v>0</v>
      </c>
      <c r="BA439">
        <v>3</v>
      </c>
      <c r="BB439">
        <v>1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2</v>
      </c>
      <c r="BU439">
        <v>10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C439">
        <v>0</v>
      </c>
      <c r="DD439">
        <v>0</v>
      </c>
      <c r="DE439">
        <v>0</v>
      </c>
      <c r="DF439">
        <v>0</v>
      </c>
      <c r="DH439">
        <v>0</v>
      </c>
      <c r="DI439">
        <v>0</v>
      </c>
    </row>
    <row r="440" spans="1:113" ht="15" customHeight="1" x14ac:dyDescent="0.25">
      <c r="A440" t="s">
        <v>2903</v>
      </c>
      <c r="B440" t="s">
        <v>2904</v>
      </c>
      <c r="C440" t="s">
        <v>2905</v>
      </c>
      <c r="D440" t="s">
        <v>1219</v>
      </c>
      <c r="E440" t="s">
        <v>1220</v>
      </c>
      <c r="F440" t="s">
        <v>2906</v>
      </c>
      <c r="G440">
        <v>2025</v>
      </c>
      <c r="H440" t="s">
        <v>1160</v>
      </c>
      <c r="I440" t="s">
        <v>142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Y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S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4</v>
      </c>
      <c r="BU440">
        <v>35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C440">
        <v>0</v>
      </c>
      <c r="DD440">
        <v>0</v>
      </c>
      <c r="DE440">
        <v>0</v>
      </c>
      <c r="DF440">
        <v>0</v>
      </c>
      <c r="DH440">
        <v>0</v>
      </c>
      <c r="DI440">
        <v>0</v>
      </c>
    </row>
    <row r="441" spans="1:113" ht="15" customHeight="1" x14ac:dyDescent="0.25">
      <c r="A441" t="s">
        <v>2907</v>
      </c>
      <c r="B441" t="s">
        <v>2908</v>
      </c>
      <c r="C441" t="s">
        <v>2909</v>
      </c>
      <c r="D441" t="s">
        <v>1234</v>
      </c>
      <c r="E441" t="s">
        <v>1234</v>
      </c>
      <c r="F441" t="s">
        <v>2910</v>
      </c>
      <c r="G441">
        <v>2025</v>
      </c>
      <c r="H441" t="s">
        <v>1160</v>
      </c>
      <c r="I441" t="s">
        <v>111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Y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S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C441">
        <v>0</v>
      </c>
      <c r="DD441">
        <v>0</v>
      </c>
      <c r="DE441">
        <v>0</v>
      </c>
      <c r="DF441">
        <v>0</v>
      </c>
      <c r="DH441">
        <v>0</v>
      </c>
      <c r="DI441">
        <v>0</v>
      </c>
    </row>
    <row r="442" spans="1:113" ht="15" customHeight="1" x14ac:dyDescent="0.25">
      <c r="A442" t="s">
        <v>2911</v>
      </c>
      <c r="B442" t="s">
        <v>2912</v>
      </c>
      <c r="C442" t="s">
        <v>2913</v>
      </c>
      <c r="D442" t="s">
        <v>1234</v>
      </c>
      <c r="E442" t="s">
        <v>1234</v>
      </c>
      <c r="F442" t="s">
        <v>2914</v>
      </c>
      <c r="G442">
        <v>2025</v>
      </c>
      <c r="H442" t="s">
        <v>1160</v>
      </c>
      <c r="I442" t="s">
        <v>133</v>
      </c>
      <c r="J442">
        <v>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Y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S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1</v>
      </c>
      <c r="BS442">
        <v>0</v>
      </c>
      <c r="BT442">
        <v>1</v>
      </c>
      <c r="BU442">
        <v>5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C442">
        <v>0</v>
      </c>
      <c r="DD442">
        <v>0</v>
      </c>
      <c r="DE442">
        <v>0</v>
      </c>
      <c r="DF442">
        <v>0</v>
      </c>
      <c r="DH442">
        <v>0</v>
      </c>
      <c r="DI442">
        <v>0</v>
      </c>
    </row>
    <row r="443" spans="1:113" ht="15" customHeight="1" x14ac:dyDescent="0.25">
      <c r="A443" t="s">
        <v>2915</v>
      </c>
      <c r="B443" t="s">
        <v>2916</v>
      </c>
      <c r="C443" t="s">
        <v>2917</v>
      </c>
      <c r="D443" t="s">
        <v>1234</v>
      </c>
      <c r="E443" t="s">
        <v>1234</v>
      </c>
      <c r="F443" t="s">
        <v>2918</v>
      </c>
      <c r="G443">
        <v>2025</v>
      </c>
      <c r="H443" t="s">
        <v>1160</v>
      </c>
      <c r="I443" t="s">
        <v>139</v>
      </c>
      <c r="J443">
        <v>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Y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S443">
        <v>0</v>
      </c>
      <c r="AU443">
        <v>0</v>
      </c>
      <c r="AV443">
        <v>0</v>
      </c>
      <c r="AW443">
        <v>0</v>
      </c>
      <c r="AX443">
        <v>0</v>
      </c>
      <c r="AY443">
        <v>18</v>
      </c>
      <c r="AZ443">
        <v>3</v>
      </c>
      <c r="BA443">
        <v>12</v>
      </c>
      <c r="BB443">
        <v>3</v>
      </c>
      <c r="BC443">
        <v>5</v>
      </c>
      <c r="BD443">
        <v>0</v>
      </c>
      <c r="BE443">
        <v>1</v>
      </c>
      <c r="BF443">
        <v>0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C443">
        <v>0</v>
      </c>
      <c r="DD443">
        <v>0</v>
      </c>
      <c r="DE443">
        <v>0</v>
      </c>
      <c r="DF443">
        <v>0</v>
      </c>
      <c r="DH443">
        <v>0</v>
      </c>
      <c r="DI443">
        <v>0</v>
      </c>
    </row>
    <row r="444" spans="1:113" ht="15" customHeight="1" x14ac:dyDescent="0.25">
      <c r="A444" t="s">
        <v>2919</v>
      </c>
      <c r="B444" t="s">
        <v>2920</v>
      </c>
      <c r="C444" t="s">
        <v>672</v>
      </c>
      <c r="D444" t="s">
        <v>10</v>
      </c>
      <c r="E444" t="s">
        <v>10</v>
      </c>
      <c r="F444" t="s">
        <v>2921</v>
      </c>
      <c r="G444">
        <v>2025</v>
      </c>
      <c r="H444" t="s">
        <v>1160</v>
      </c>
      <c r="I444" t="s">
        <v>124</v>
      </c>
      <c r="J444">
        <v>12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Y444">
        <v>0</v>
      </c>
      <c r="AA444">
        <v>3</v>
      </c>
      <c r="AB444">
        <v>44</v>
      </c>
      <c r="AC444">
        <v>0</v>
      </c>
      <c r="AD444">
        <v>0</v>
      </c>
      <c r="AE444">
        <v>0</v>
      </c>
      <c r="AF444">
        <v>2</v>
      </c>
      <c r="AG444">
        <v>3.9105675144819498</v>
      </c>
      <c r="AH444">
        <v>0</v>
      </c>
      <c r="AI444">
        <v>5</v>
      </c>
      <c r="AJ444">
        <v>10</v>
      </c>
      <c r="AK444">
        <v>106</v>
      </c>
      <c r="AL444">
        <v>0</v>
      </c>
      <c r="AM444">
        <v>0</v>
      </c>
      <c r="AN444">
        <v>0</v>
      </c>
      <c r="AO444">
        <v>158</v>
      </c>
      <c r="AP444">
        <v>53</v>
      </c>
      <c r="AQ444">
        <v>4</v>
      </c>
      <c r="AR444">
        <v>5.7594595192349498</v>
      </c>
      <c r="AS444">
        <v>0</v>
      </c>
      <c r="AT444">
        <v>0.670886075949367</v>
      </c>
      <c r="AU444">
        <v>1.88679245283019E-2</v>
      </c>
      <c r="AV444">
        <v>3.6073059360730603E-2</v>
      </c>
      <c r="AW444">
        <v>5.3553028344964303E-2</v>
      </c>
      <c r="AX444">
        <v>0</v>
      </c>
      <c r="AY444">
        <v>6</v>
      </c>
      <c r="AZ444">
        <v>0</v>
      </c>
      <c r="BA444">
        <v>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</v>
      </c>
      <c r="BU444">
        <v>21</v>
      </c>
      <c r="BV444">
        <v>0</v>
      </c>
      <c r="BW444">
        <v>0</v>
      </c>
      <c r="BX444">
        <v>16</v>
      </c>
      <c r="BY444">
        <v>516</v>
      </c>
      <c r="BZ444">
        <v>0</v>
      </c>
      <c r="CA444">
        <v>0</v>
      </c>
      <c r="CB444">
        <v>0</v>
      </c>
      <c r="CC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C444">
        <v>0</v>
      </c>
      <c r="DD444">
        <v>0</v>
      </c>
      <c r="DE444">
        <v>0</v>
      </c>
      <c r="DF444">
        <v>0</v>
      </c>
      <c r="DH444">
        <v>15</v>
      </c>
      <c r="DI444">
        <v>20</v>
      </c>
    </row>
    <row r="445" spans="1:113" ht="15" customHeight="1" x14ac:dyDescent="0.25">
      <c r="A445" t="s">
        <v>2922</v>
      </c>
      <c r="B445" t="s">
        <v>2923</v>
      </c>
      <c r="C445" t="s">
        <v>2924</v>
      </c>
      <c r="D445" t="s">
        <v>1243</v>
      </c>
      <c r="E445" t="s">
        <v>1190</v>
      </c>
      <c r="F445" t="s">
        <v>2925</v>
      </c>
      <c r="G445">
        <v>2025</v>
      </c>
      <c r="H445" t="s">
        <v>1160</v>
      </c>
      <c r="I445" t="s">
        <v>141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Y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S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C445">
        <v>0</v>
      </c>
      <c r="DD445">
        <v>0</v>
      </c>
      <c r="DE445">
        <v>0</v>
      </c>
      <c r="DF445">
        <v>0</v>
      </c>
      <c r="DH445">
        <v>0</v>
      </c>
      <c r="DI445">
        <v>0</v>
      </c>
    </row>
    <row r="446" spans="1:113" ht="15" customHeight="1" x14ac:dyDescent="0.25">
      <c r="A446" t="s">
        <v>2926</v>
      </c>
      <c r="B446" t="s">
        <v>2927</v>
      </c>
      <c r="C446" t="s">
        <v>2928</v>
      </c>
      <c r="D446" t="s">
        <v>1209</v>
      </c>
      <c r="E446" t="s">
        <v>1169</v>
      </c>
      <c r="F446" t="s">
        <v>2929</v>
      </c>
      <c r="G446">
        <v>2025</v>
      </c>
      <c r="H446" t="s">
        <v>1160</v>
      </c>
      <c r="I446" t="s">
        <v>139</v>
      </c>
      <c r="J446">
        <v>16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Y446">
        <v>0</v>
      </c>
      <c r="AA446">
        <v>1</v>
      </c>
      <c r="AB446">
        <v>-13</v>
      </c>
      <c r="AC446">
        <v>0</v>
      </c>
      <c r="AD446">
        <v>0</v>
      </c>
      <c r="AE446">
        <v>0</v>
      </c>
      <c r="AF446">
        <v>0</v>
      </c>
      <c r="AG446">
        <v>-3.7585701181087598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S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4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U446">
        <v>0</v>
      </c>
      <c r="CV446">
        <v>0</v>
      </c>
      <c r="CW446">
        <v>0</v>
      </c>
      <c r="CX446">
        <v>0</v>
      </c>
      <c r="CY446">
        <v>1</v>
      </c>
      <c r="CZ446">
        <v>0</v>
      </c>
      <c r="DA446">
        <v>1</v>
      </c>
      <c r="DB446">
        <v>0</v>
      </c>
      <c r="DC446">
        <v>0</v>
      </c>
      <c r="DD446">
        <v>0</v>
      </c>
      <c r="DE446">
        <v>0</v>
      </c>
      <c r="DF446">
        <v>0</v>
      </c>
      <c r="DH446">
        <v>-1.3</v>
      </c>
      <c r="DI446">
        <v>-1.3</v>
      </c>
    </row>
    <row r="447" spans="1:113" ht="15" customHeight="1" x14ac:dyDescent="0.25">
      <c r="A447" t="s">
        <v>2930</v>
      </c>
      <c r="B447" t="s">
        <v>2931</v>
      </c>
      <c r="C447" t="s">
        <v>2932</v>
      </c>
      <c r="D447" t="s">
        <v>1219</v>
      </c>
      <c r="E447" t="s">
        <v>1220</v>
      </c>
      <c r="F447" t="s">
        <v>2933</v>
      </c>
      <c r="G447">
        <v>2025</v>
      </c>
      <c r="H447" t="s">
        <v>1160</v>
      </c>
      <c r="I447" t="s">
        <v>96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Y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S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5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C447">
        <v>0</v>
      </c>
      <c r="DD447">
        <v>0</v>
      </c>
      <c r="DE447">
        <v>0</v>
      </c>
      <c r="DF447">
        <v>0</v>
      </c>
      <c r="DH447">
        <v>0</v>
      </c>
      <c r="DI447">
        <v>0</v>
      </c>
    </row>
    <row r="448" spans="1:113" ht="15" customHeight="1" x14ac:dyDescent="0.25">
      <c r="A448" t="s">
        <v>2934</v>
      </c>
      <c r="B448" t="s">
        <v>2935</v>
      </c>
      <c r="C448" t="s">
        <v>2936</v>
      </c>
      <c r="D448" t="s">
        <v>1158</v>
      </c>
      <c r="E448" t="s">
        <v>1158</v>
      </c>
      <c r="F448" t="s">
        <v>2937</v>
      </c>
      <c r="G448">
        <v>2025</v>
      </c>
      <c r="H448" t="s">
        <v>1160</v>
      </c>
      <c r="I448" t="s">
        <v>107</v>
      </c>
      <c r="J448">
        <v>5</v>
      </c>
      <c r="K448">
        <v>81</v>
      </c>
      <c r="L448">
        <v>125</v>
      </c>
      <c r="M448">
        <v>771</v>
      </c>
      <c r="N448">
        <v>6</v>
      </c>
      <c r="O448">
        <v>8</v>
      </c>
      <c r="P448">
        <v>9</v>
      </c>
      <c r="Q448">
        <v>-60</v>
      </c>
      <c r="R448">
        <v>1</v>
      </c>
      <c r="S448">
        <v>0</v>
      </c>
      <c r="T448">
        <v>959</v>
      </c>
      <c r="U448">
        <v>367</v>
      </c>
      <c r="V448">
        <v>33</v>
      </c>
      <c r="W448">
        <v>-38.387038851159701</v>
      </c>
      <c r="X448">
        <v>0.37570503850777898</v>
      </c>
      <c r="Y448">
        <v>0</v>
      </c>
      <c r="Z448">
        <v>0.80396246089676704</v>
      </c>
      <c r="AA448">
        <v>9</v>
      </c>
      <c r="AB448">
        <v>39</v>
      </c>
      <c r="AC448">
        <v>1</v>
      </c>
      <c r="AD448">
        <v>0</v>
      </c>
      <c r="AE448">
        <v>0</v>
      </c>
      <c r="AF448">
        <v>5</v>
      </c>
      <c r="AG448">
        <v>6.7860596587997897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S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C448">
        <v>0</v>
      </c>
      <c r="DD448">
        <v>0</v>
      </c>
      <c r="DE448">
        <v>0</v>
      </c>
      <c r="DF448">
        <v>0</v>
      </c>
      <c r="DH448">
        <v>48.74</v>
      </c>
      <c r="DI448">
        <v>48.74</v>
      </c>
    </row>
    <row r="449" spans="1:113" ht="15" customHeight="1" x14ac:dyDescent="0.25">
      <c r="A449" t="s">
        <v>2938</v>
      </c>
      <c r="B449" t="s">
        <v>2939</v>
      </c>
      <c r="C449" t="s">
        <v>2940</v>
      </c>
      <c r="D449" t="s">
        <v>1219</v>
      </c>
      <c r="E449" t="s">
        <v>1220</v>
      </c>
      <c r="F449" t="s">
        <v>2941</v>
      </c>
      <c r="G449">
        <v>2025</v>
      </c>
      <c r="H449" t="s">
        <v>1160</v>
      </c>
      <c r="I449" t="s">
        <v>106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Y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S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8</v>
      </c>
      <c r="BU449">
        <v>65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C449">
        <v>0</v>
      </c>
      <c r="DD449">
        <v>0</v>
      </c>
      <c r="DE449">
        <v>0</v>
      </c>
      <c r="DF449">
        <v>0</v>
      </c>
      <c r="DH449">
        <v>0</v>
      </c>
      <c r="DI449">
        <v>0</v>
      </c>
    </row>
    <row r="450" spans="1:113" ht="15" customHeight="1" x14ac:dyDescent="0.25">
      <c r="A450" t="s">
        <v>2942</v>
      </c>
      <c r="B450" t="s">
        <v>2943</v>
      </c>
      <c r="C450" t="s">
        <v>2944</v>
      </c>
      <c r="D450" t="s">
        <v>1214</v>
      </c>
      <c r="E450" t="s">
        <v>1169</v>
      </c>
      <c r="F450" t="s">
        <v>2945</v>
      </c>
      <c r="G450">
        <v>2025</v>
      </c>
      <c r="H450" t="s">
        <v>1160</v>
      </c>
      <c r="I450" t="s">
        <v>118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Y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S450">
        <v>0</v>
      </c>
      <c r="AU450">
        <v>0</v>
      </c>
      <c r="AV450">
        <v>0</v>
      </c>
      <c r="AW450">
        <v>0</v>
      </c>
      <c r="AX450">
        <v>0</v>
      </c>
      <c r="AY450">
        <v>2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10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C450">
        <v>0</v>
      </c>
      <c r="DD450">
        <v>0</v>
      </c>
      <c r="DE450">
        <v>0</v>
      </c>
      <c r="DF450">
        <v>0</v>
      </c>
      <c r="DH450">
        <v>0</v>
      </c>
      <c r="DI450">
        <v>0</v>
      </c>
    </row>
    <row r="451" spans="1:113" ht="15" customHeight="1" x14ac:dyDescent="0.25">
      <c r="A451" t="s">
        <v>2946</v>
      </c>
      <c r="B451" t="s">
        <v>2947</v>
      </c>
      <c r="C451" t="s">
        <v>2948</v>
      </c>
      <c r="D451" t="s">
        <v>1334</v>
      </c>
      <c r="E451" t="s">
        <v>431</v>
      </c>
      <c r="F451" t="s">
        <v>2949</v>
      </c>
      <c r="G451">
        <v>2025</v>
      </c>
      <c r="H451" t="s">
        <v>1160</v>
      </c>
      <c r="I451" t="s">
        <v>133</v>
      </c>
      <c r="J451">
        <v>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Y451">
        <v>0</v>
      </c>
      <c r="AA451">
        <v>2</v>
      </c>
      <c r="AB451">
        <v>9</v>
      </c>
      <c r="AC451">
        <v>0</v>
      </c>
      <c r="AD451">
        <v>0</v>
      </c>
      <c r="AE451">
        <v>0</v>
      </c>
      <c r="AF451">
        <v>1</v>
      </c>
      <c r="AG451">
        <v>0.45087128586601499</v>
      </c>
      <c r="AH451">
        <v>0</v>
      </c>
      <c r="AI451">
        <v>8</v>
      </c>
      <c r="AJ451">
        <v>11</v>
      </c>
      <c r="AK451">
        <v>52</v>
      </c>
      <c r="AL451">
        <v>0</v>
      </c>
      <c r="AM451">
        <v>0</v>
      </c>
      <c r="AN451">
        <v>0</v>
      </c>
      <c r="AO451">
        <v>41</v>
      </c>
      <c r="AP451">
        <v>45</v>
      </c>
      <c r="AQ451">
        <v>4</v>
      </c>
      <c r="AR451">
        <v>-0.371638975571841</v>
      </c>
      <c r="AS451">
        <v>0</v>
      </c>
      <c r="AT451">
        <v>1.26829268292683</v>
      </c>
      <c r="AU451">
        <v>2.3809523809523801E-2</v>
      </c>
      <c r="AV451">
        <v>1.21951219512195E-2</v>
      </c>
      <c r="AW451">
        <v>4.4250871080139399E-2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1</v>
      </c>
      <c r="BU451">
        <v>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C451">
        <v>0</v>
      </c>
      <c r="DD451">
        <v>0</v>
      </c>
      <c r="DE451">
        <v>0</v>
      </c>
      <c r="DF451">
        <v>0</v>
      </c>
      <c r="DH451">
        <v>6.1</v>
      </c>
      <c r="DI451">
        <v>14.1</v>
      </c>
    </row>
    <row r="452" spans="1:113" ht="15" customHeight="1" x14ac:dyDescent="0.25">
      <c r="A452" t="s">
        <v>2950</v>
      </c>
      <c r="B452" t="s">
        <v>2951</v>
      </c>
      <c r="C452" t="s">
        <v>2952</v>
      </c>
      <c r="D452" t="s">
        <v>1350</v>
      </c>
      <c r="E452" t="s">
        <v>1307</v>
      </c>
      <c r="F452" t="s">
        <v>2953</v>
      </c>
      <c r="G452">
        <v>2025</v>
      </c>
      <c r="H452" t="s">
        <v>1160</v>
      </c>
      <c r="I452" t="s">
        <v>118</v>
      </c>
      <c r="J452">
        <v>17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Y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S452">
        <v>0</v>
      </c>
      <c r="AU452">
        <v>0</v>
      </c>
      <c r="AV452">
        <v>0</v>
      </c>
      <c r="AW452">
        <v>0</v>
      </c>
      <c r="AX452">
        <v>0</v>
      </c>
      <c r="AY452">
        <v>55</v>
      </c>
      <c r="AZ452">
        <v>3</v>
      </c>
      <c r="BA452">
        <v>14</v>
      </c>
      <c r="BB452">
        <v>3</v>
      </c>
      <c r="BC452">
        <v>14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17</v>
      </c>
      <c r="BK452">
        <v>0</v>
      </c>
      <c r="BL452">
        <v>1</v>
      </c>
      <c r="BM452">
        <v>0</v>
      </c>
      <c r="BN452">
        <v>37</v>
      </c>
      <c r="BO452">
        <v>0</v>
      </c>
      <c r="BP452">
        <v>0</v>
      </c>
      <c r="BQ452">
        <v>1</v>
      </c>
      <c r="BR452">
        <v>1</v>
      </c>
      <c r="BS452">
        <v>0</v>
      </c>
      <c r="BT452">
        <v>10</v>
      </c>
      <c r="BU452">
        <v>77</v>
      </c>
      <c r="BV452">
        <v>3</v>
      </c>
      <c r="BW452">
        <v>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C452">
        <v>0</v>
      </c>
      <c r="DD452">
        <v>0</v>
      </c>
      <c r="DE452">
        <v>0</v>
      </c>
      <c r="DF452">
        <v>0</v>
      </c>
      <c r="DH452">
        <v>0</v>
      </c>
      <c r="DI452">
        <v>0</v>
      </c>
    </row>
    <row r="453" spans="1:113" ht="15" customHeight="1" x14ac:dyDescent="0.25">
      <c r="A453" t="s">
        <v>2954</v>
      </c>
      <c r="B453" t="s">
        <v>2955</v>
      </c>
      <c r="C453" t="s">
        <v>2956</v>
      </c>
      <c r="D453" t="s">
        <v>10</v>
      </c>
      <c r="E453" t="s">
        <v>10</v>
      </c>
      <c r="F453" t="s">
        <v>2957</v>
      </c>
      <c r="G453">
        <v>2025</v>
      </c>
      <c r="H453" t="s">
        <v>1160</v>
      </c>
      <c r="I453" t="s">
        <v>99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Y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46</v>
      </c>
      <c r="AP453">
        <v>0</v>
      </c>
      <c r="AQ453">
        <v>0</v>
      </c>
      <c r="AR453">
        <v>-0.50836349604651299</v>
      </c>
      <c r="AS453">
        <v>0</v>
      </c>
      <c r="AT453">
        <v>0</v>
      </c>
      <c r="AU453">
        <v>2.0876826722338198E-3</v>
      </c>
      <c r="AV453">
        <v>1.2728278915329299E-2</v>
      </c>
      <c r="AW453">
        <v>1.20413192490812E-2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4</v>
      </c>
      <c r="BX453">
        <v>1</v>
      </c>
      <c r="BY453">
        <v>61</v>
      </c>
      <c r="BZ453">
        <v>0</v>
      </c>
      <c r="CA453">
        <v>0</v>
      </c>
      <c r="CB453">
        <v>0</v>
      </c>
      <c r="CC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C453">
        <v>0</v>
      </c>
      <c r="DD453">
        <v>0</v>
      </c>
      <c r="DE453">
        <v>0</v>
      </c>
      <c r="DF453">
        <v>0</v>
      </c>
      <c r="DH453">
        <v>0</v>
      </c>
      <c r="DI453">
        <v>0</v>
      </c>
    </row>
    <row r="454" spans="1:113" ht="15" customHeight="1" x14ac:dyDescent="0.25">
      <c r="A454" t="s">
        <v>2958</v>
      </c>
      <c r="B454" t="s">
        <v>2959</v>
      </c>
      <c r="C454" t="s">
        <v>2960</v>
      </c>
      <c r="D454" t="s">
        <v>1350</v>
      </c>
      <c r="E454" t="s">
        <v>1307</v>
      </c>
      <c r="F454" t="s">
        <v>2961</v>
      </c>
      <c r="G454">
        <v>2025</v>
      </c>
      <c r="H454" t="s">
        <v>1160</v>
      </c>
      <c r="I454" t="s">
        <v>138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Y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S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10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C454">
        <v>0</v>
      </c>
      <c r="DD454">
        <v>0</v>
      </c>
      <c r="DE454">
        <v>0</v>
      </c>
      <c r="DF454">
        <v>0</v>
      </c>
      <c r="DH454">
        <v>0</v>
      </c>
      <c r="DI454">
        <v>0</v>
      </c>
    </row>
    <row r="455" spans="1:113" ht="15" customHeight="1" x14ac:dyDescent="0.25">
      <c r="A455" t="s">
        <v>2962</v>
      </c>
      <c r="B455" t="s">
        <v>2963</v>
      </c>
      <c r="C455" t="s">
        <v>2964</v>
      </c>
      <c r="D455" t="s">
        <v>1234</v>
      </c>
      <c r="E455" t="s">
        <v>1234</v>
      </c>
      <c r="F455" t="s">
        <v>2965</v>
      </c>
      <c r="G455">
        <v>2025</v>
      </c>
      <c r="H455" t="s">
        <v>1160</v>
      </c>
      <c r="I455" t="s">
        <v>90</v>
      </c>
      <c r="J455">
        <v>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Y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S455">
        <v>0</v>
      </c>
      <c r="AU455">
        <v>0</v>
      </c>
      <c r="AV455">
        <v>0</v>
      </c>
      <c r="AW455">
        <v>0</v>
      </c>
      <c r="AX455">
        <v>0</v>
      </c>
      <c r="AY455">
        <v>31</v>
      </c>
      <c r="AZ455">
        <v>3</v>
      </c>
      <c r="BA455">
        <v>26</v>
      </c>
      <c r="BB455">
        <v>3</v>
      </c>
      <c r="BC455">
        <v>10</v>
      </c>
      <c r="BD455">
        <v>1</v>
      </c>
      <c r="BE455">
        <v>0</v>
      </c>
      <c r="BF455">
        <v>0</v>
      </c>
      <c r="BG455">
        <v>1</v>
      </c>
      <c r="BH455">
        <v>1</v>
      </c>
      <c r="BI455">
        <v>9</v>
      </c>
      <c r="BJ455">
        <v>6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C455">
        <v>0</v>
      </c>
      <c r="DD455">
        <v>0</v>
      </c>
      <c r="DE455">
        <v>0</v>
      </c>
      <c r="DF455">
        <v>0</v>
      </c>
      <c r="DH455">
        <v>0</v>
      </c>
      <c r="DI455">
        <v>0</v>
      </c>
    </row>
    <row r="456" spans="1:113" ht="15" customHeight="1" x14ac:dyDescent="0.25">
      <c r="A456" t="s">
        <v>2966</v>
      </c>
      <c r="B456" t="s">
        <v>2967</v>
      </c>
      <c r="C456" t="s">
        <v>2968</v>
      </c>
      <c r="D456" t="s">
        <v>1297</v>
      </c>
      <c r="E456" t="s">
        <v>1220</v>
      </c>
      <c r="F456" t="s">
        <v>2969</v>
      </c>
      <c r="G456">
        <v>2025</v>
      </c>
      <c r="H456" t="s">
        <v>1160</v>
      </c>
      <c r="I456" t="s">
        <v>143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Y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S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3</v>
      </c>
      <c r="BU456">
        <v>25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C456">
        <v>0</v>
      </c>
      <c r="DD456">
        <v>0</v>
      </c>
      <c r="DE456">
        <v>0</v>
      </c>
      <c r="DF456">
        <v>0</v>
      </c>
      <c r="DH456">
        <v>0</v>
      </c>
      <c r="DI456">
        <v>0</v>
      </c>
    </row>
    <row r="457" spans="1:113" ht="15" customHeight="1" x14ac:dyDescent="0.25">
      <c r="A457" t="s">
        <v>2970</v>
      </c>
      <c r="B457" t="s">
        <v>2971</v>
      </c>
      <c r="C457" t="s">
        <v>2972</v>
      </c>
      <c r="D457" t="s">
        <v>1209</v>
      </c>
      <c r="E457" t="s">
        <v>1169</v>
      </c>
      <c r="F457" t="s">
        <v>2973</v>
      </c>
      <c r="G457">
        <v>2025</v>
      </c>
      <c r="H457" t="s">
        <v>1160</v>
      </c>
      <c r="I457" t="s">
        <v>111</v>
      </c>
      <c r="J457">
        <v>16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Y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S457">
        <v>0</v>
      </c>
      <c r="AU457">
        <v>0</v>
      </c>
      <c r="AV457">
        <v>0</v>
      </c>
      <c r="AW457">
        <v>0</v>
      </c>
      <c r="AX457">
        <v>0</v>
      </c>
      <c r="AY457">
        <v>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C457">
        <v>0</v>
      </c>
      <c r="DD457">
        <v>0</v>
      </c>
      <c r="DE457">
        <v>0</v>
      </c>
      <c r="DF457">
        <v>0</v>
      </c>
      <c r="DH457">
        <v>0</v>
      </c>
      <c r="DI457">
        <v>0</v>
      </c>
    </row>
    <row r="458" spans="1:113" ht="15" customHeight="1" x14ac:dyDescent="0.25">
      <c r="A458" t="s">
        <v>2974</v>
      </c>
      <c r="B458" t="s">
        <v>2975</v>
      </c>
      <c r="C458" t="s">
        <v>2976</v>
      </c>
      <c r="D458" t="s">
        <v>1234</v>
      </c>
      <c r="E458" t="s">
        <v>1234</v>
      </c>
      <c r="F458" t="s">
        <v>2977</v>
      </c>
      <c r="G458">
        <v>2025</v>
      </c>
      <c r="H458" t="s">
        <v>1160</v>
      </c>
      <c r="I458" t="s">
        <v>114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Y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S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</v>
      </c>
      <c r="BA458">
        <v>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C458">
        <v>0</v>
      </c>
      <c r="DD458">
        <v>0</v>
      </c>
      <c r="DE458">
        <v>0</v>
      </c>
      <c r="DF458">
        <v>0</v>
      </c>
      <c r="DH458">
        <v>0</v>
      </c>
      <c r="DI458">
        <v>0</v>
      </c>
    </row>
    <row r="459" spans="1:113" ht="15" customHeight="1" x14ac:dyDescent="0.25">
      <c r="A459" t="s">
        <v>2978</v>
      </c>
      <c r="B459" t="s">
        <v>2979</v>
      </c>
      <c r="C459" t="s">
        <v>2980</v>
      </c>
      <c r="D459" t="s">
        <v>1234</v>
      </c>
      <c r="E459" t="s">
        <v>1234</v>
      </c>
      <c r="F459" t="s">
        <v>2981</v>
      </c>
      <c r="G459">
        <v>2025</v>
      </c>
      <c r="H459" t="s">
        <v>1160</v>
      </c>
      <c r="I459" t="s">
        <v>121</v>
      </c>
      <c r="J459">
        <v>16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Y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S459">
        <v>0</v>
      </c>
      <c r="AU459">
        <v>0</v>
      </c>
      <c r="AV459">
        <v>0</v>
      </c>
      <c r="AW459">
        <v>0</v>
      </c>
      <c r="AX459">
        <v>0</v>
      </c>
      <c r="AY459">
        <v>48</v>
      </c>
      <c r="AZ459">
        <v>0</v>
      </c>
      <c r="BA459">
        <v>55</v>
      </c>
      <c r="BB459">
        <v>1</v>
      </c>
      <c r="BC459">
        <v>2</v>
      </c>
      <c r="BD459">
        <v>1</v>
      </c>
      <c r="BE459">
        <v>0</v>
      </c>
      <c r="BF459">
        <v>0</v>
      </c>
      <c r="BG459">
        <v>2</v>
      </c>
      <c r="BH459">
        <v>2</v>
      </c>
      <c r="BI459">
        <v>0</v>
      </c>
      <c r="BJ459">
        <v>9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1</v>
      </c>
      <c r="BS459">
        <v>0</v>
      </c>
      <c r="BT459">
        <v>2</v>
      </c>
      <c r="BU459">
        <v>16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C459">
        <v>0</v>
      </c>
      <c r="DD459">
        <v>0</v>
      </c>
      <c r="DE459">
        <v>0</v>
      </c>
      <c r="DF459">
        <v>0</v>
      </c>
      <c r="DH459">
        <v>0</v>
      </c>
      <c r="DI459">
        <v>0</v>
      </c>
    </row>
    <row r="460" spans="1:113" ht="15" customHeight="1" x14ac:dyDescent="0.25">
      <c r="A460" t="s">
        <v>2982</v>
      </c>
      <c r="B460" t="s">
        <v>2983</v>
      </c>
      <c r="C460" t="s">
        <v>2984</v>
      </c>
      <c r="D460" t="s">
        <v>1168</v>
      </c>
      <c r="E460" t="s">
        <v>1169</v>
      </c>
      <c r="F460" t="s">
        <v>2985</v>
      </c>
      <c r="G460">
        <v>2025</v>
      </c>
      <c r="H460" t="s">
        <v>1160</v>
      </c>
      <c r="I460" t="s">
        <v>121</v>
      </c>
      <c r="J460">
        <v>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Y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5</v>
      </c>
      <c r="CA460">
        <v>5</v>
      </c>
      <c r="CB460">
        <v>0</v>
      </c>
      <c r="CC460">
        <v>0</v>
      </c>
      <c r="CD460">
        <v>46</v>
      </c>
      <c r="CE460">
        <v>1</v>
      </c>
      <c r="CF460">
        <v>0</v>
      </c>
      <c r="CG460">
        <v>1</v>
      </c>
      <c r="CH460">
        <v>1</v>
      </c>
      <c r="CI460">
        <v>3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 t="s">
        <v>2986</v>
      </c>
      <c r="CU460">
        <v>188</v>
      </c>
      <c r="CV460">
        <v>0</v>
      </c>
      <c r="CW460">
        <v>0</v>
      </c>
      <c r="CX460">
        <v>4</v>
      </c>
      <c r="CY460">
        <v>4</v>
      </c>
      <c r="CZ460">
        <v>0</v>
      </c>
      <c r="DA460">
        <v>0</v>
      </c>
      <c r="DB460">
        <v>1</v>
      </c>
      <c r="DC460">
        <v>1</v>
      </c>
      <c r="DD460">
        <v>1</v>
      </c>
      <c r="DE460">
        <v>0</v>
      </c>
      <c r="DF460">
        <v>0</v>
      </c>
      <c r="DG460">
        <v>35</v>
      </c>
      <c r="DH460">
        <v>0</v>
      </c>
      <c r="DI460">
        <v>0</v>
      </c>
    </row>
    <row r="461" spans="1:113" ht="15" customHeight="1" x14ac:dyDescent="0.25">
      <c r="A461" t="s">
        <v>2987</v>
      </c>
      <c r="B461" t="s">
        <v>2988</v>
      </c>
      <c r="C461" t="s">
        <v>2989</v>
      </c>
      <c r="D461" t="s">
        <v>1209</v>
      </c>
      <c r="E461" t="s">
        <v>1169</v>
      </c>
      <c r="F461" t="s">
        <v>2990</v>
      </c>
      <c r="G461">
        <v>2025</v>
      </c>
      <c r="H461" t="s">
        <v>1160</v>
      </c>
      <c r="I461" t="s">
        <v>89</v>
      </c>
      <c r="J461">
        <v>17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Y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S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1</v>
      </c>
      <c r="BU461">
        <v>14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C461">
        <v>0</v>
      </c>
      <c r="DD461">
        <v>0</v>
      </c>
      <c r="DE461">
        <v>0</v>
      </c>
      <c r="DF461">
        <v>0</v>
      </c>
      <c r="DH461">
        <v>0</v>
      </c>
      <c r="DI461">
        <v>0</v>
      </c>
    </row>
    <row r="462" spans="1:113" ht="15" customHeight="1" x14ac:dyDescent="0.25">
      <c r="A462" t="s">
        <v>2991</v>
      </c>
      <c r="B462" t="s">
        <v>2992</v>
      </c>
      <c r="C462" t="s">
        <v>2993</v>
      </c>
      <c r="D462" t="s">
        <v>1168</v>
      </c>
      <c r="E462" t="s">
        <v>1169</v>
      </c>
      <c r="F462" t="s">
        <v>2994</v>
      </c>
      <c r="G462">
        <v>2025</v>
      </c>
      <c r="H462" t="s">
        <v>1160</v>
      </c>
      <c r="I462" t="s">
        <v>142</v>
      </c>
      <c r="J462">
        <v>16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Y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S462">
        <v>0</v>
      </c>
      <c r="AU462">
        <v>0</v>
      </c>
      <c r="AV462">
        <v>0</v>
      </c>
      <c r="AW462">
        <v>0</v>
      </c>
      <c r="AX462">
        <v>0</v>
      </c>
      <c r="AY462">
        <v>3</v>
      </c>
      <c r="AZ462">
        <v>0</v>
      </c>
      <c r="BA462">
        <v>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28</v>
      </c>
      <c r="CA462">
        <v>35</v>
      </c>
      <c r="CB462">
        <v>6</v>
      </c>
      <c r="CC462">
        <v>1</v>
      </c>
      <c r="CD462">
        <v>58</v>
      </c>
      <c r="CE462">
        <v>0.8</v>
      </c>
      <c r="CF462">
        <v>0</v>
      </c>
      <c r="CG462">
        <v>6</v>
      </c>
      <c r="CH462">
        <v>6</v>
      </c>
      <c r="CI462">
        <v>7</v>
      </c>
      <c r="CJ462">
        <v>9</v>
      </c>
      <c r="CK462">
        <v>0</v>
      </c>
      <c r="CL462">
        <v>0</v>
      </c>
      <c r="CM462">
        <v>0</v>
      </c>
      <c r="CN462">
        <v>0</v>
      </c>
      <c r="CO462">
        <v>2</v>
      </c>
      <c r="CP462">
        <v>3</v>
      </c>
      <c r="CQ462">
        <v>1</v>
      </c>
      <c r="CR462" t="s">
        <v>2995</v>
      </c>
      <c r="CS462" t="s">
        <v>2996</v>
      </c>
      <c r="CT462">
        <v>62</v>
      </c>
      <c r="CU462">
        <v>1172</v>
      </c>
      <c r="CV462">
        <v>308</v>
      </c>
      <c r="CW462">
        <v>62</v>
      </c>
      <c r="CX462">
        <v>26</v>
      </c>
      <c r="CY462">
        <v>27</v>
      </c>
      <c r="CZ462">
        <v>1</v>
      </c>
      <c r="DA462">
        <v>0</v>
      </c>
      <c r="DB462">
        <v>0.96296296296296302</v>
      </c>
      <c r="DC462">
        <v>1</v>
      </c>
      <c r="DD462">
        <v>1</v>
      </c>
      <c r="DE462">
        <v>0</v>
      </c>
      <c r="DF462">
        <v>0</v>
      </c>
      <c r="DG462">
        <v>29</v>
      </c>
      <c r="DH462">
        <v>0</v>
      </c>
      <c r="DI462">
        <v>0</v>
      </c>
    </row>
    <row r="463" spans="1:113" ht="15" customHeight="1" x14ac:dyDescent="0.25">
      <c r="A463" t="s">
        <v>2997</v>
      </c>
      <c r="B463" t="s">
        <v>2998</v>
      </c>
      <c r="C463" t="s">
        <v>2999</v>
      </c>
      <c r="D463" t="s">
        <v>1234</v>
      </c>
      <c r="E463" t="s">
        <v>1234</v>
      </c>
      <c r="F463" t="s">
        <v>3000</v>
      </c>
      <c r="G463">
        <v>2025</v>
      </c>
      <c r="H463" t="s">
        <v>1160</v>
      </c>
      <c r="I463" t="s">
        <v>131</v>
      </c>
      <c r="J463">
        <v>13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Y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S463">
        <v>0</v>
      </c>
      <c r="AU463">
        <v>0</v>
      </c>
      <c r="AV463">
        <v>0</v>
      </c>
      <c r="AW463">
        <v>0</v>
      </c>
      <c r="AX463">
        <v>0</v>
      </c>
      <c r="AY463">
        <v>16</v>
      </c>
      <c r="AZ463">
        <v>0</v>
      </c>
      <c r="BA463">
        <v>21</v>
      </c>
      <c r="BB463">
        <v>1</v>
      </c>
      <c r="BC463">
        <v>5</v>
      </c>
      <c r="BD463">
        <v>0</v>
      </c>
      <c r="BE463">
        <v>1</v>
      </c>
      <c r="BF463">
        <v>5</v>
      </c>
      <c r="BG463">
        <v>2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0</v>
      </c>
      <c r="BT463">
        <v>1</v>
      </c>
      <c r="BU463">
        <v>15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C463">
        <v>0</v>
      </c>
      <c r="DD463">
        <v>0</v>
      </c>
      <c r="DE463">
        <v>0</v>
      </c>
      <c r="DF463">
        <v>0</v>
      </c>
      <c r="DH463">
        <v>0</v>
      </c>
      <c r="DI463">
        <v>0</v>
      </c>
    </row>
    <row r="464" spans="1:113" ht="15" customHeight="1" x14ac:dyDescent="0.25">
      <c r="A464" t="s">
        <v>3001</v>
      </c>
      <c r="B464" t="s">
        <v>3002</v>
      </c>
      <c r="C464" t="s">
        <v>470</v>
      </c>
      <c r="D464" t="s">
        <v>10</v>
      </c>
      <c r="E464" t="s">
        <v>10</v>
      </c>
      <c r="F464" t="s">
        <v>3003</v>
      </c>
      <c r="G464">
        <v>2025</v>
      </c>
      <c r="H464" t="s">
        <v>1160</v>
      </c>
      <c r="I464" t="s">
        <v>104</v>
      </c>
      <c r="J464">
        <v>14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Y464">
        <v>0</v>
      </c>
      <c r="AA464">
        <v>4</v>
      </c>
      <c r="AB464">
        <v>25</v>
      </c>
      <c r="AC464">
        <v>0</v>
      </c>
      <c r="AD464">
        <v>0</v>
      </c>
      <c r="AE464">
        <v>0</v>
      </c>
      <c r="AF464">
        <v>1</v>
      </c>
      <c r="AG464">
        <v>0.63409666862571601</v>
      </c>
      <c r="AH464">
        <v>0</v>
      </c>
      <c r="AI464">
        <v>39</v>
      </c>
      <c r="AJ464">
        <v>65</v>
      </c>
      <c r="AK464">
        <v>313</v>
      </c>
      <c r="AL464">
        <v>2</v>
      </c>
      <c r="AM464">
        <v>0</v>
      </c>
      <c r="AN464">
        <v>0</v>
      </c>
      <c r="AO464">
        <v>462</v>
      </c>
      <c r="AP464">
        <v>138</v>
      </c>
      <c r="AQ464">
        <v>15</v>
      </c>
      <c r="AR464">
        <v>-3.7957926920527698</v>
      </c>
      <c r="AS464">
        <v>0</v>
      </c>
      <c r="AT464">
        <v>0.67748917748917803</v>
      </c>
      <c r="AU464">
        <v>0.12218045112782</v>
      </c>
      <c r="AV464">
        <v>9.3446601941747601E-2</v>
      </c>
      <c r="AW464">
        <v>0.24868329805095299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</v>
      </c>
      <c r="BU464">
        <v>10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C464">
        <v>0</v>
      </c>
      <c r="DD464">
        <v>0</v>
      </c>
      <c r="DE464">
        <v>0</v>
      </c>
      <c r="DF464">
        <v>0</v>
      </c>
      <c r="DH464">
        <v>45.8</v>
      </c>
      <c r="DI464">
        <v>84.8</v>
      </c>
    </row>
    <row r="465" spans="1:113" ht="15" customHeight="1" x14ac:dyDescent="0.25">
      <c r="A465" t="s">
        <v>3004</v>
      </c>
      <c r="B465" t="s">
        <v>3005</v>
      </c>
      <c r="C465" t="s">
        <v>3006</v>
      </c>
      <c r="D465" t="s">
        <v>1684</v>
      </c>
      <c r="E465" t="s">
        <v>1307</v>
      </c>
      <c r="F465" t="s">
        <v>3007</v>
      </c>
      <c r="G465">
        <v>2025</v>
      </c>
      <c r="H465" t="s">
        <v>1160</v>
      </c>
      <c r="I465" t="s">
        <v>115</v>
      </c>
      <c r="J465">
        <v>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Y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S465">
        <v>0</v>
      </c>
      <c r="AU465">
        <v>0</v>
      </c>
      <c r="AV465">
        <v>0</v>
      </c>
      <c r="AW465">
        <v>0</v>
      </c>
      <c r="AX465">
        <v>0</v>
      </c>
      <c r="AY465">
        <v>9</v>
      </c>
      <c r="AZ465">
        <v>0</v>
      </c>
      <c r="BA465">
        <v>7</v>
      </c>
      <c r="BB465">
        <v>1</v>
      </c>
      <c r="BC465">
        <v>2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15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C465">
        <v>0</v>
      </c>
      <c r="DD465">
        <v>0</v>
      </c>
      <c r="DE465">
        <v>0</v>
      </c>
      <c r="DF465">
        <v>0</v>
      </c>
      <c r="DH465">
        <v>0</v>
      </c>
      <c r="DI465">
        <v>0</v>
      </c>
    </row>
    <row r="466" spans="1:113" ht="15" customHeight="1" x14ac:dyDescent="0.25">
      <c r="A466" t="s">
        <v>3008</v>
      </c>
      <c r="B466" t="s">
        <v>3009</v>
      </c>
      <c r="C466" t="s">
        <v>3010</v>
      </c>
      <c r="D466" t="s">
        <v>1158</v>
      </c>
      <c r="E466" t="s">
        <v>1158</v>
      </c>
      <c r="F466" t="s">
        <v>3011</v>
      </c>
      <c r="G466">
        <v>2025</v>
      </c>
      <c r="H466" t="s">
        <v>1160</v>
      </c>
      <c r="I466" t="s">
        <v>90</v>
      </c>
      <c r="J466">
        <v>5</v>
      </c>
      <c r="K466">
        <v>110</v>
      </c>
      <c r="L466">
        <v>161</v>
      </c>
      <c r="M466">
        <v>962</v>
      </c>
      <c r="N466">
        <v>6</v>
      </c>
      <c r="O466">
        <v>3</v>
      </c>
      <c r="P466">
        <v>16</v>
      </c>
      <c r="Q466">
        <v>-111</v>
      </c>
      <c r="R466">
        <v>0</v>
      </c>
      <c r="S466">
        <v>0</v>
      </c>
      <c r="T466">
        <v>941</v>
      </c>
      <c r="U466">
        <v>545</v>
      </c>
      <c r="V466">
        <v>50</v>
      </c>
      <c r="W466">
        <v>5.7205911257384097</v>
      </c>
      <c r="X466">
        <v>-0.52878065094066995</v>
      </c>
      <c r="Y466">
        <v>0</v>
      </c>
      <c r="Z466">
        <v>1.02231668437832</v>
      </c>
      <c r="AA466">
        <v>29</v>
      </c>
      <c r="AB466">
        <v>173</v>
      </c>
      <c r="AC466">
        <v>1</v>
      </c>
      <c r="AD466">
        <v>1</v>
      </c>
      <c r="AE466">
        <v>1</v>
      </c>
      <c r="AF466">
        <v>12</v>
      </c>
      <c r="AG466">
        <v>4.08874777617166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0</v>
      </c>
      <c r="BR466">
        <v>0</v>
      </c>
      <c r="BS466">
        <v>0</v>
      </c>
      <c r="BT466">
        <v>2</v>
      </c>
      <c r="BU466">
        <v>22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C466">
        <v>0</v>
      </c>
      <c r="DD466">
        <v>0</v>
      </c>
      <c r="DE466">
        <v>0</v>
      </c>
      <c r="DF466">
        <v>0</v>
      </c>
      <c r="DH466">
        <v>77.78</v>
      </c>
      <c r="DI466">
        <v>77.78</v>
      </c>
    </row>
    <row r="467" spans="1:113" ht="15" customHeight="1" x14ac:dyDescent="0.25">
      <c r="A467" t="s">
        <v>3012</v>
      </c>
      <c r="B467" t="s">
        <v>3013</v>
      </c>
      <c r="C467" t="s">
        <v>802</v>
      </c>
      <c r="D467" t="s">
        <v>439</v>
      </c>
      <c r="E467" t="s">
        <v>439</v>
      </c>
      <c r="F467" t="s">
        <v>3014</v>
      </c>
      <c r="G467">
        <v>2025</v>
      </c>
      <c r="H467" t="s">
        <v>1160</v>
      </c>
      <c r="I467" t="s">
        <v>137</v>
      </c>
      <c r="J467">
        <v>15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Y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-1.1067849059472801</v>
      </c>
      <c r="AH467">
        <v>0</v>
      </c>
      <c r="AI467">
        <v>51</v>
      </c>
      <c r="AJ467">
        <v>66</v>
      </c>
      <c r="AK467">
        <v>438</v>
      </c>
      <c r="AL467">
        <v>3</v>
      </c>
      <c r="AM467">
        <v>0</v>
      </c>
      <c r="AN467">
        <v>0</v>
      </c>
      <c r="AO467">
        <v>329</v>
      </c>
      <c r="AP467">
        <v>219</v>
      </c>
      <c r="AQ467">
        <v>22</v>
      </c>
      <c r="AR467">
        <v>14.095465457870599</v>
      </c>
      <c r="AS467">
        <v>0</v>
      </c>
      <c r="AT467">
        <v>1.3313069908814601</v>
      </c>
      <c r="AU467">
        <v>0.141025641025641</v>
      </c>
      <c r="AV467">
        <v>8.7569869576789999E-2</v>
      </c>
      <c r="AW467">
        <v>0.27283737024221499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3</v>
      </c>
      <c r="BU467">
        <v>20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C467">
        <v>0</v>
      </c>
      <c r="DD467">
        <v>0</v>
      </c>
      <c r="DE467">
        <v>0</v>
      </c>
      <c r="DF467">
        <v>0</v>
      </c>
      <c r="DH467">
        <v>61.8</v>
      </c>
      <c r="DI467">
        <v>112.8</v>
      </c>
    </row>
    <row r="468" spans="1:113" ht="15" customHeight="1" x14ac:dyDescent="0.25">
      <c r="A468" t="s">
        <v>3015</v>
      </c>
      <c r="B468" t="s">
        <v>3016</v>
      </c>
      <c r="C468" t="s">
        <v>3017</v>
      </c>
      <c r="D468" t="s">
        <v>1243</v>
      </c>
      <c r="E468" t="s">
        <v>1190</v>
      </c>
      <c r="F468" t="s">
        <v>3018</v>
      </c>
      <c r="G468">
        <v>2025</v>
      </c>
      <c r="H468" t="s">
        <v>1160</v>
      </c>
      <c r="I468" t="s">
        <v>99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Y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S468">
        <v>0</v>
      </c>
      <c r="AU468">
        <v>0</v>
      </c>
      <c r="AV468">
        <v>0</v>
      </c>
      <c r="AW468">
        <v>0</v>
      </c>
      <c r="AX468">
        <v>0</v>
      </c>
      <c r="AY468">
        <v>9</v>
      </c>
      <c r="AZ468">
        <v>1</v>
      </c>
      <c r="BA468">
        <v>2</v>
      </c>
      <c r="BB468">
        <v>7</v>
      </c>
      <c r="BC468">
        <v>54</v>
      </c>
      <c r="BD468">
        <v>1</v>
      </c>
      <c r="BE468">
        <v>3</v>
      </c>
      <c r="BF468">
        <v>37</v>
      </c>
      <c r="BG468">
        <v>5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</v>
      </c>
      <c r="BU468">
        <v>5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C468">
        <v>0</v>
      </c>
      <c r="DD468">
        <v>0</v>
      </c>
      <c r="DE468">
        <v>0</v>
      </c>
      <c r="DF468">
        <v>0</v>
      </c>
      <c r="DH468">
        <v>0</v>
      </c>
      <c r="DI468">
        <v>0</v>
      </c>
    </row>
    <row r="469" spans="1:113" ht="15" customHeight="1" x14ac:dyDescent="0.25">
      <c r="A469" t="s">
        <v>3019</v>
      </c>
      <c r="B469" t="s">
        <v>3020</v>
      </c>
      <c r="C469" t="s">
        <v>3021</v>
      </c>
      <c r="D469" t="s">
        <v>1219</v>
      </c>
      <c r="E469" t="s">
        <v>1220</v>
      </c>
      <c r="F469" t="s">
        <v>3022</v>
      </c>
      <c r="G469">
        <v>2025</v>
      </c>
      <c r="H469" t="s">
        <v>1160</v>
      </c>
      <c r="I469" t="s">
        <v>121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Y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S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5</v>
      </c>
      <c r="BU469">
        <v>45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C469">
        <v>0</v>
      </c>
      <c r="DD469">
        <v>0</v>
      </c>
      <c r="DE469">
        <v>0</v>
      </c>
      <c r="DF469">
        <v>0</v>
      </c>
      <c r="DH469">
        <v>0</v>
      </c>
      <c r="DI469">
        <v>0</v>
      </c>
    </row>
    <row r="470" spans="1:113" ht="15" customHeight="1" x14ac:dyDescent="0.25">
      <c r="A470" t="s">
        <v>3023</v>
      </c>
      <c r="B470" t="s">
        <v>3024</v>
      </c>
      <c r="C470" t="s">
        <v>3025</v>
      </c>
      <c r="D470" t="s">
        <v>1350</v>
      </c>
      <c r="E470" t="s">
        <v>1307</v>
      </c>
      <c r="F470" t="s">
        <v>3026</v>
      </c>
      <c r="G470">
        <v>2025</v>
      </c>
      <c r="H470" t="s">
        <v>1160</v>
      </c>
      <c r="I470" t="s">
        <v>137</v>
      </c>
      <c r="J470">
        <v>17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Y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S470">
        <v>0</v>
      </c>
      <c r="AU470">
        <v>0</v>
      </c>
      <c r="AV470">
        <v>0</v>
      </c>
      <c r="AW470">
        <v>0</v>
      </c>
      <c r="AX470">
        <v>0</v>
      </c>
      <c r="AY470">
        <v>48</v>
      </c>
      <c r="AZ470">
        <v>0</v>
      </c>
      <c r="BA470">
        <v>23</v>
      </c>
      <c r="BB470">
        <v>3</v>
      </c>
      <c r="BC470">
        <v>5</v>
      </c>
      <c r="BD470">
        <v>0</v>
      </c>
      <c r="BE470">
        <v>0</v>
      </c>
      <c r="BF470">
        <v>0</v>
      </c>
      <c r="BG470">
        <v>0</v>
      </c>
      <c r="BH470">
        <v>2</v>
      </c>
      <c r="BI470">
        <v>15</v>
      </c>
      <c r="BJ470">
        <v>7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1</v>
      </c>
      <c r="BS470">
        <v>0</v>
      </c>
      <c r="BT470">
        <v>7</v>
      </c>
      <c r="BU470">
        <v>40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C470">
        <v>0</v>
      </c>
      <c r="DD470">
        <v>0</v>
      </c>
      <c r="DE470">
        <v>0</v>
      </c>
      <c r="DF470">
        <v>0</v>
      </c>
      <c r="DH470">
        <v>0</v>
      </c>
      <c r="DI470">
        <v>0</v>
      </c>
    </row>
    <row r="471" spans="1:113" ht="15" customHeight="1" x14ac:dyDescent="0.25">
      <c r="A471" t="s">
        <v>3027</v>
      </c>
      <c r="B471" t="s">
        <v>3028</v>
      </c>
      <c r="C471" t="s">
        <v>3029</v>
      </c>
      <c r="D471" t="s">
        <v>1219</v>
      </c>
      <c r="E471" t="s">
        <v>1220</v>
      </c>
      <c r="F471" t="s">
        <v>3030</v>
      </c>
      <c r="G471">
        <v>2025</v>
      </c>
      <c r="H471" t="s">
        <v>1160</v>
      </c>
      <c r="I471" t="s">
        <v>123</v>
      </c>
      <c r="J471">
        <v>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Y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S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10</v>
      </c>
      <c r="BU471">
        <v>80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C471">
        <v>0</v>
      </c>
      <c r="DD471">
        <v>0</v>
      </c>
      <c r="DE471">
        <v>0</v>
      </c>
      <c r="DF471">
        <v>0</v>
      </c>
      <c r="DH471">
        <v>0</v>
      </c>
      <c r="DI471">
        <v>0</v>
      </c>
    </row>
    <row r="472" spans="1:113" ht="15" customHeight="1" x14ac:dyDescent="0.25">
      <c r="A472" t="s">
        <v>3031</v>
      </c>
      <c r="B472" t="s">
        <v>3032</v>
      </c>
      <c r="C472" t="s">
        <v>3033</v>
      </c>
      <c r="D472" t="s">
        <v>1297</v>
      </c>
      <c r="E472" t="s">
        <v>1220</v>
      </c>
      <c r="F472" t="s">
        <v>3034</v>
      </c>
      <c r="G472">
        <v>2025</v>
      </c>
      <c r="H472" t="s">
        <v>1160</v>
      </c>
      <c r="I472" t="s">
        <v>107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Y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H472">
        <v>0</v>
      </c>
      <c r="AI472">
        <v>1</v>
      </c>
      <c r="AJ472">
        <v>1</v>
      </c>
      <c r="AK472">
        <v>21</v>
      </c>
      <c r="AL472">
        <v>0</v>
      </c>
      <c r="AM472">
        <v>0</v>
      </c>
      <c r="AN472">
        <v>0</v>
      </c>
      <c r="AO472">
        <v>4</v>
      </c>
      <c r="AP472">
        <v>17</v>
      </c>
      <c r="AQ472">
        <v>1</v>
      </c>
      <c r="AR472">
        <v>1.6709702801308599</v>
      </c>
      <c r="AS472">
        <v>0</v>
      </c>
      <c r="AT472">
        <v>5.25</v>
      </c>
      <c r="AU472">
        <v>1.64473684210526E-3</v>
      </c>
      <c r="AV472">
        <v>8.4979817293392805E-4</v>
      </c>
      <c r="AW472">
        <v>3.0619639842116401E-3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C472">
        <v>0</v>
      </c>
      <c r="DD472">
        <v>0</v>
      </c>
      <c r="DE472">
        <v>0</v>
      </c>
      <c r="DF472">
        <v>0</v>
      </c>
      <c r="DH472">
        <v>2.1</v>
      </c>
      <c r="DI472">
        <v>3.1</v>
      </c>
    </row>
    <row r="473" spans="1:113" ht="15" customHeight="1" x14ac:dyDescent="0.25">
      <c r="A473" t="s">
        <v>3035</v>
      </c>
      <c r="B473" t="s">
        <v>3036</v>
      </c>
      <c r="C473" t="s">
        <v>3037</v>
      </c>
      <c r="D473" t="s">
        <v>1234</v>
      </c>
      <c r="E473" t="s">
        <v>1234</v>
      </c>
      <c r="F473" t="s">
        <v>3038</v>
      </c>
      <c r="G473">
        <v>2025</v>
      </c>
      <c r="H473" t="s">
        <v>1160</v>
      </c>
      <c r="I473" t="s">
        <v>114</v>
      </c>
      <c r="J473">
        <v>12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Y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S473">
        <v>0</v>
      </c>
      <c r="AU473">
        <v>0</v>
      </c>
      <c r="AV473">
        <v>0</v>
      </c>
      <c r="AW473">
        <v>0</v>
      </c>
      <c r="AX473">
        <v>0</v>
      </c>
      <c r="AY473">
        <v>20</v>
      </c>
      <c r="AZ473">
        <v>1</v>
      </c>
      <c r="BA473">
        <v>21</v>
      </c>
      <c r="BB473">
        <v>4</v>
      </c>
      <c r="BC473">
        <v>7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3</v>
      </c>
      <c r="BU473">
        <v>25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C473">
        <v>0</v>
      </c>
      <c r="DD473">
        <v>0</v>
      </c>
      <c r="DE473">
        <v>0</v>
      </c>
      <c r="DF473">
        <v>0</v>
      </c>
      <c r="DH473">
        <v>0</v>
      </c>
      <c r="DI473">
        <v>0</v>
      </c>
    </row>
    <row r="474" spans="1:113" ht="15" customHeight="1" x14ac:dyDescent="0.25">
      <c r="A474" t="s">
        <v>3039</v>
      </c>
      <c r="B474" t="s">
        <v>3040</v>
      </c>
      <c r="C474" t="s">
        <v>3041</v>
      </c>
      <c r="D474" t="s">
        <v>1655</v>
      </c>
      <c r="E474" t="s">
        <v>1220</v>
      </c>
      <c r="F474" t="s">
        <v>3042</v>
      </c>
      <c r="G474">
        <v>2025</v>
      </c>
      <c r="H474" t="s">
        <v>1160</v>
      </c>
      <c r="I474" t="s">
        <v>138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Y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S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2</v>
      </c>
      <c r="BU474">
        <v>15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C474">
        <v>0</v>
      </c>
      <c r="DD474">
        <v>0</v>
      </c>
      <c r="DE474">
        <v>0</v>
      </c>
      <c r="DF474">
        <v>0</v>
      </c>
      <c r="DH474">
        <v>0</v>
      </c>
      <c r="DI474">
        <v>0</v>
      </c>
    </row>
    <row r="475" spans="1:113" ht="15" customHeight="1" x14ac:dyDescent="0.25">
      <c r="A475" t="s">
        <v>3043</v>
      </c>
      <c r="B475" t="s">
        <v>3044</v>
      </c>
      <c r="C475" t="s">
        <v>3045</v>
      </c>
      <c r="D475" t="s">
        <v>431</v>
      </c>
      <c r="E475" t="s">
        <v>431</v>
      </c>
      <c r="F475" t="s">
        <v>3046</v>
      </c>
      <c r="G475">
        <v>2025</v>
      </c>
      <c r="H475" t="s">
        <v>1160</v>
      </c>
      <c r="I475" t="s">
        <v>112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Y475">
        <v>0</v>
      </c>
      <c r="AA475">
        <v>20</v>
      </c>
      <c r="AB475">
        <v>117</v>
      </c>
      <c r="AC475">
        <v>1</v>
      </c>
      <c r="AD475">
        <v>1</v>
      </c>
      <c r="AE475">
        <v>1</v>
      </c>
      <c r="AF475">
        <v>6</v>
      </c>
      <c r="AG475">
        <v>-1.88739822729258</v>
      </c>
      <c r="AH475">
        <v>0</v>
      </c>
      <c r="AI475">
        <v>8</v>
      </c>
      <c r="AJ475">
        <v>8</v>
      </c>
      <c r="AK475">
        <v>30</v>
      </c>
      <c r="AL475">
        <v>0</v>
      </c>
      <c r="AM475">
        <v>0</v>
      </c>
      <c r="AN475">
        <v>0</v>
      </c>
      <c r="AO475">
        <v>-14</v>
      </c>
      <c r="AP475">
        <v>44</v>
      </c>
      <c r="AQ475">
        <v>0</v>
      </c>
      <c r="AR475">
        <v>-1.51486926998357</v>
      </c>
      <c r="AS475">
        <v>0</v>
      </c>
      <c r="AT475">
        <v>-2.1428571428571401</v>
      </c>
      <c r="AU475">
        <v>1.31795716639209E-2</v>
      </c>
      <c r="AV475">
        <v>-2.7618859735648099E-3</v>
      </c>
      <c r="AW475">
        <v>1.7836037314385999E-2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3</v>
      </c>
      <c r="BY475">
        <v>68</v>
      </c>
      <c r="BZ475">
        <v>0</v>
      </c>
      <c r="CA475">
        <v>0</v>
      </c>
      <c r="CB475">
        <v>0</v>
      </c>
      <c r="CC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C475">
        <v>0</v>
      </c>
      <c r="DD475">
        <v>0</v>
      </c>
      <c r="DE475">
        <v>0</v>
      </c>
      <c r="DF475">
        <v>0</v>
      </c>
      <c r="DH475">
        <v>18.7</v>
      </c>
      <c r="DI475">
        <v>26.7</v>
      </c>
    </row>
    <row r="476" spans="1:113" ht="15" customHeight="1" x14ac:dyDescent="0.25">
      <c r="A476" t="s">
        <v>3047</v>
      </c>
      <c r="B476" t="s">
        <v>1381</v>
      </c>
      <c r="C476" t="s">
        <v>3048</v>
      </c>
      <c r="D476" t="s">
        <v>1684</v>
      </c>
      <c r="E476" t="s">
        <v>1307</v>
      </c>
      <c r="F476" t="s">
        <v>3049</v>
      </c>
      <c r="G476">
        <v>2025</v>
      </c>
      <c r="H476" t="s">
        <v>1160</v>
      </c>
      <c r="I476" t="s">
        <v>89</v>
      </c>
      <c r="J476">
        <v>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Y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S476">
        <v>0</v>
      </c>
      <c r="AU476">
        <v>0</v>
      </c>
      <c r="AV476">
        <v>0</v>
      </c>
      <c r="AW476">
        <v>0</v>
      </c>
      <c r="AX476">
        <v>0</v>
      </c>
      <c r="AY476">
        <v>14</v>
      </c>
      <c r="AZ476">
        <v>0</v>
      </c>
      <c r="BA476">
        <v>11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2</v>
      </c>
      <c r="BU476">
        <v>28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C476">
        <v>0</v>
      </c>
      <c r="DD476">
        <v>0</v>
      </c>
      <c r="DE476">
        <v>0</v>
      </c>
      <c r="DF476">
        <v>0</v>
      </c>
      <c r="DH476">
        <v>0</v>
      </c>
      <c r="DI476">
        <v>0</v>
      </c>
    </row>
    <row r="477" spans="1:113" ht="15" customHeight="1" x14ac:dyDescent="0.25">
      <c r="A477" t="s">
        <v>3050</v>
      </c>
      <c r="B477" t="s">
        <v>3051</v>
      </c>
      <c r="C477" t="s">
        <v>3052</v>
      </c>
      <c r="D477" t="s">
        <v>1189</v>
      </c>
      <c r="E477" t="s">
        <v>1190</v>
      </c>
      <c r="F477" t="s">
        <v>3053</v>
      </c>
      <c r="G477">
        <v>2025</v>
      </c>
      <c r="H477" t="s">
        <v>1160</v>
      </c>
      <c r="I477" t="s">
        <v>115</v>
      </c>
      <c r="J477">
        <v>17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Y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S477">
        <v>0</v>
      </c>
      <c r="AU477">
        <v>0</v>
      </c>
      <c r="AV477">
        <v>0</v>
      </c>
      <c r="AW477">
        <v>0</v>
      </c>
      <c r="AX477">
        <v>0</v>
      </c>
      <c r="AY477">
        <v>13</v>
      </c>
      <c r="AZ477">
        <v>1</v>
      </c>
      <c r="BA477">
        <v>24</v>
      </c>
      <c r="BB477">
        <v>4</v>
      </c>
      <c r="BC477">
        <v>24</v>
      </c>
      <c r="BD477">
        <v>0</v>
      </c>
      <c r="BE477">
        <v>7</v>
      </c>
      <c r="BF477">
        <v>46.5</v>
      </c>
      <c r="BG477">
        <v>47</v>
      </c>
      <c r="BH477">
        <v>0</v>
      </c>
      <c r="BI477">
        <v>0</v>
      </c>
      <c r="BJ477">
        <v>6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2</v>
      </c>
      <c r="BU477">
        <v>20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C477">
        <v>0</v>
      </c>
      <c r="DD477">
        <v>0</v>
      </c>
      <c r="DE477">
        <v>0</v>
      </c>
      <c r="DF477">
        <v>0</v>
      </c>
      <c r="DH477">
        <v>0</v>
      </c>
      <c r="DI477">
        <v>0</v>
      </c>
    </row>
    <row r="478" spans="1:113" ht="15" customHeight="1" x14ac:dyDescent="0.25">
      <c r="A478" t="s">
        <v>3054</v>
      </c>
      <c r="B478" t="s">
        <v>3055</v>
      </c>
      <c r="C478" t="s">
        <v>808</v>
      </c>
      <c r="D478" t="s">
        <v>439</v>
      </c>
      <c r="E478" t="s">
        <v>439</v>
      </c>
      <c r="F478" t="s">
        <v>3056</v>
      </c>
      <c r="G478">
        <v>2025</v>
      </c>
      <c r="H478" t="s">
        <v>1160</v>
      </c>
      <c r="I478" t="s">
        <v>137</v>
      </c>
      <c r="J478">
        <v>12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Y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H478">
        <v>0</v>
      </c>
      <c r="AI478">
        <v>15</v>
      </c>
      <c r="AJ478">
        <v>19</v>
      </c>
      <c r="AK478">
        <v>160</v>
      </c>
      <c r="AL478">
        <v>4</v>
      </c>
      <c r="AM478">
        <v>0</v>
      </c>
      <c r="AN478">
        <v>0</v>
      </c>
      <c r="AO478">
        <v>64</v>
      </c>
      <c r="AP478">
        <v>102</v>
      </c>
      <c r="AQ478">
        <v>9</v>
      </c>
      <c r="AR478">
        <v>10.533449101713</v>
      </c>
      <c r="AS478">
        <v>0</v>
      </c>
      <c r="AT478">
        <v>2.5</v>
      </c>
      <c r="AU478">
        <v>4.05982905982906E-2</v>
      </c>
      <c r="AV478">
        <v>1.7034868245940901E-2</v>
      </c>
      <c r="AW478">
        <v>7.2821843669594502E-2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2</v>
      </c>
      <c r="BU478">
        <v>15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C478">
        <v>0</v>
      </c>
      <c r="DD478">
        <v>0</v>
      </c>
      <c r="DE478">
        <v>0</v>
      </c>
      <c r="DF478">
        <v>0</v>
      </c>
      <c r="DH478">
        <v>40</v>
      </c>
      <c r="DI478">
        <v>55</v>
      </c>
    </row>
    <row r="479" spans="1:113" ht="15" customHeight="1" x14ac:dyDescent="0.25">
      <c r="A479" t="s">
        <v>3057</v>
      </c>
      <c r="B479" t="s">
        <v>3058</v>
      </c>
      <c r="C479" t="s">
        <v>877</v>
      </c>
      <c r="D479" t="s">
        <v>431</v>
      </c>
      <c r="E479" t="s">
        <v>431</v>
      </c>
      <c r="F479" t="s">
        <v>3059</v>
      </c>
      <c r="G479">
        <v>2025</v>
      </c>
      <c r="H479" t="s">
        <v>1160</v>
      </c>
      <c r="I479" t="s">
        <v>139</v>
      </c>
      <c r="J479">
        <v>17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1.0529999999999999</v>
      </c>
      <c r="Y479">
        <v>1</v>
      </c>
      <c r="AA479">
        <v>119</v>
      </c>
      <c r="AB479">
        <v>437</v>
      </c>
      <c r="AC479">
        <v>5</v>
      </c>
      <c r="AD479">
        <v>0</v>
      </c>
      <c r="AE479">
        <v>0</v>
      </c>
      <c r="AF479">
        <v>27</v>
      </c>
      <c r="AG479">
        <v>-2.7659456358523999</v>
      </c>
      <c r="AH479">
        <v>0</v>
      </c>
      <c r="AI479">
        <v>18</v>
      </c>
      <c r="AJ479">
        <v>19</v>
      </c>
      <c r="AK479">
        <v>151</v>
      </c>
      <c r="AL479">
        <v>0</v>
      </c>
      <c r="AM479">
        <v>0</v>
      </c>
      <c r="AN479">
        <v>0</v>
      </c>
      <c r="AO479">
        <v>-12</v>
      </c>
      <c r="AP479">
        <v>162</v>
      </c>
      <c r="AQ479">
        <v>4</v>
      </c>
      <c r="AR479">
        <v>2.2629662439562099</v>
      </c>
      <c r="AS479">
        <v>0</v>
      </c>
      <c r="AT479">
        <v>-12.5833333333333</v>
      </c>
      <c r="AU479">
        <v>3.7773359840954299E-2</v>
      </c>
      <c r="AV479">
        <v>-2.6827632461435299E-3</v>
      </c>
      <c r="AW479">
        <v>5.47821054891309E-2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</v>
      </c>
      <c r="BU479">
        <v>5</v>
      </c>
      <c r="BV479">
        <v>0</v>
      </c>
      <c r="BW479">
        <v>0</v>
      </c>
      <c r="BX479">
        <v>12</v>
      </c>
      <c r="BY479">
        <v>313</v>
      </c>
      <c r="BZ479">
        <v>0</v>
      </c>
      <c r="CA479">
        <v>0</v>
      </c>
      <c r="CB479">
        <v>0</v>
      </c>
      <c r="CC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C479">
        <v>0</v>
      </c>
      <c r="DD479">
        <v>0</v>
      </c>
      <c r="DE479">
        <v>0</v>
      </c>
      <c r="DF479">
        <v>0</v>
      </c>
      <c r="DH479">
        <v>90.8</v>
      </c>
      <c r="DI479">
        <v>108.8</v>
      </c>
    </row>
    <row r="480" spans="1:113" ht="15" customHeight="1" x14ac:dyDescent="0.25">
      <c r="A480" t="s">
        <v>3060</v>
      </c>
      <c r="B480" t="s">
        <v>3061</v>
      </c>
      <c r="C480" t="s">
        <v>3062</v>
      </c>
      <c r="D480" t="s">
        <v>1684</v>
      </c>
      <c r="E480" t="s">
        <v>1307</v>
      </c>
      <c r="F480" t="s">
        <v>3063</v>
      </c>
      <c r="G480">
        <v>2025</v>
      </c>
      <c r="H480" t="s">
        <v>1160</v>
      </c>
      <c r="I480" t="s">
        <v>104</v>
      </c>
      <c r="J480">
        <v>13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Y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S480">
        <v>0</v>
      </c>
      <c r="AU480">
        <v>0</v>
      </c>
      <c r="AV480">
        <v>0</v>
      </c>
      <c r="AW480">
        <v>0</v>
      </c>
      <c r="AX480">
        <v>0</v>
      </c>
      <c r="AY480">
        <v>45</v>
      </c>
      <c r="AZ480">
        <v>1</v>
      </c>
      <c r="BA480">
        <v>20</v>
      </c>
      <c r="BB480">
        <v>5</v>
      </c>
      <c r="BC480">
        <v>31</v>
      </c>
      <c r="BD480">
        <v>1</v>
      </c>
      <c r="BE480">
        <v>3</v>
      </c>
      <c r="BF480">
        <v>24</v>
      </c>
      <c r="BG480">
        <v>6</v>
      </c>
      <c r="BH480">
        <v>2</v>
      </c>
      <c r="BI480">
        <v>60</v>
      </c>
      <c r="BJ480">
        <v>4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4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C480">
        <v>0</v>
      </c>
      <c r="DD480">
        <v>0</v>
      </c>
      <c r="DE480">
        <v>0</v>
      </c>
      <c r="DF480">
        <v>0</v>
      </c>
      <c r="DH480">
        <v>0</v>
      </c>
      <c r="DI480">
        <v>0</v>
      </c>
    </row>
    <row r="481" spans="1:113" ht="15" customHeight="1" x14ac:dyDescent="0.25">
      <c r="A481" t="s">
        <v>3064</v>
      </c>
      <c r="B481" t="s">
        <v>3065</v>
      </c>
      <c r="C481" t="s">
        <v>3066</v>
      </c>
      <c r="D481" t="s">
        <v>1234</v>
      </c>
      <c r="E481" t="s">
        <v>1234</v>
      </c>
      <c r="F481" t="s">
        <v>3067</v>
      </c>
      <c r="G481">
        <v>2025</v>
      </c>
      <c r="H481" t="s">
        <v>1160</v>
      </c>
      <c r="I481" t="s">
        <v>126</v>
      </c>
      <c r="J481">
        <v>14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Y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>
        <v>0</v>
      </c>
      <c r="AU481">
        <v>0</v>
      </c>
      <c r="AV481">
        <v>0</v>
      </c>
      <c r="AW481">
        <v>0</v>
      </c>
      <c r="AX481">
        <v>0</v>
      </c>
      <c r="AY481">
        <v>21</v>
      </c>
      <c r="AZ481">
        <v>0</v>
      </c>
      <c r="BA481">
        <v>17</v>
      </c>
      <c r="BB481">
        <v>3</v>
      </c>
      <c r="BC481">
        <v>14</v>
      </c>
      <c r="BD481">
        <v>2</v>
      </c>
      <c r="BE481">
        <v>3</v>
      </c>
      <c r="BF481">
        <v>11</v>
      </c>
      <c r="BG481">
        <v>4</v>
      </c>
      <c r="BH481">
        <v>1</v>
      </c>
      <c r="BI481">
        <v>3</v>
      </c>
      <c r="BJ481">
        <v>2</v>
      </c>
      <c r="BK481">
        <v>1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2</v>
      </c>
      <c r="BU481">
        <v>20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C481">
        <v>0</v>
      </c>
      <c r="DD481">
        <v>0</v>
      </c>
      <c r="DE481">
        <v>0</v>
      </c>
      <c r="DF481">
        <v>0</v>
      </c>
      <c r="DH481">
        <v>0</v>
      </c>
      <c r="DI481">
        <v>0</v>
      </c>
    </row>
    <row r="482" spans="1:113" ht="15" customHeight="1" x14ac:dyDescent="0.25">
      <c r="A482" t="s">
        <v>3068</v>
      </c>
      <c r="B482" t="s">
        <v>3069</v>
      </c>
      <c r="C482" t="s">
        <v>3070</v>
      </c>
      <c r="D482" t="s">
        <v>1307</v>
      </c>
      <c r="E482" t="s">
        <v>1307</v>
      </c>
      <c r="F482" t="s">
        <v>3071</v>
      </c>
      <c r="G482">
        <v>2025</v>
      </c>
      <c r="H482" t="s">
        <v>1160</v>
      </c>
      <c r="I482" t="s">
        <v>133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Y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S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C482">
        <v>0</v>
      </c>
      <c r="DD482">
        <v>0</v>
      </c>
      <c r="DE482">
        <v>0</v>
      </c>
      <c r="DF482">
        <v>0</v>
      </c>
      <c r="DH482">
        <v>0</v>
      </c>
      <c r="DI482">
        <v>0</v>
      </c>
    </row>
    <row r="483" spans="1:113" ht="15" customHeight="1" x14ac:dyDescent="0.25">
      <c r="A483" t="s">
        <v>3072</v>
      </c>
      <c r="B483" t="s">
        <v>3073</v>
      </c>
      <c r="C483" t="s">
        <v>3074</v>
      </c>
      <c r="D483" t="s">
        <v>1655</v>
      </c>
      <c r="E483" t="s">
        <v>1220</v>
      </c>
      <c r="F483" t="s">
        <v>3075</v>
      </c>
      <c r="G483">
        <v>2025</v>
      </c>
      <c r="H483" t="s">
        <v>1160</v>
      </c>
      <c r="I483" t="s">
        <v>90</v>
      </c>
      <c r="J483">
        <v>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Y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S483">
        <v>0</v>
      </c>
      <c r="AU483">
        <v>0</v>
      </c>
      <c r="AV483">
        <v>0</v>
      </c>
      <c r="AW483">
        <v>0</v>
      </c>
      <c r="AX483">
        <v>0</v>
      </c>
      <c r="AY483">
        <v>2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3</v>
      </c>
      <c r="BU483">
        <v>30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C483">
        <v>0</v>
      </c>
      <c r="DD483">
        <v>0</v>
      </c>
      <c r="DE483">
        <v>0</v>
      </c>
      <c r="DF483">
        <v>0</v>
      </c>
      <c r="DH483">
        <v>0</v>
      </c>
      <c r="DI483">
        <v>0</v>
      </c>
    </row>
    <row r="484" spans="1:113" ht="15" customHeight="1" x14ac:dyDescent="0.25">
      <c r="A484" t="s">
        <v>3076</v>
      </c>
      <c r="B484" t="s">
        <v>3077</v>
      </c>
      <c r="C484" t="s">
        <v>1009</v>
      </c>
      <c r="D484" t="s">
        <v>431</v>
      </c>
      <c r="E484" t="s">
        <v>431</v>
      </c>
      <c r="F484" t="s">
        <v>3078</v>
      </c>
      <c r="G484">
        <v>2025</v>
      </c>
      <c r="H484" t="s">
        <v>1160</v>
      </c>
      <c r="I484" t="s">
        <v>142</v>
      </c>
      <c r="J484">
        <v>17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Y484">
        <v>0</v>
      </c>
      <c r="AA484">
        <v>242</v>
      </c>
      <c r="AB484">
        <v>1082</v>
      </c>
      <c r="AC484">
        <v>5</v>
      </c>
      <c r="AD484">
        <v>3</v>
      </c>
      <c r="AE484">
        <v>2</v>
      </c>
      <c r="AF484">
        <v>49</v>
      </c>
      <c r="AG484">
        <v>-21.694286570463301</v>
      </c>
      <c r="AH484">
        <v>0</v>
      </c>
      <c r="AI484">
        <v>33</v>
      </c>
      <c r="AJ484">
        <v>41</v>
      </c>
      <c r="AK484">
        <v>206</v>
      </c>
      <c r="AL484">
        <v>0</v>
      </c>
      <c r="AM484">
        <v>1</v>
      </c>
      <c r="AN484">
        <v>1</v>
      </c>
      <c r="AO484">
        <v>12</v>
      </c>
      <c r="AP484">
        <v>203</v>
      </c>
      <c r="AQ484">
        <v>11</v>
      </c>
      <c r="AR484">
        <v>-11.827171679216701</v>
      </c>
      <c r="AS484">
        <v>0</v>
      </c>
      <c r="AT484">
        <v>17.1666666666667</v>
      </c>
      <c r="AU484">
        <v>7.7358490566037705E-2</v>
      </c>
      <c r="AV484">
        <v>2.98953662182362E-3</v>
      </c>
      <c r="AW484">
        <v>0.11813041148433299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</v>
      </c>
      <c r="BP484">
        <v>2</v>
      </c>
      <c r="BQ484">
        <v>0</v>
      </c>
      <c r="BR484">
        <v>0</v>
      </c>
      <c r="BS484">
        <v>0</v>
      </c>
      <c r="BT484">
        <v>1</v>
      </c>
      <c r="BU484">
        <v>10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C484">
        <v>0</v>
      </c>
      <c r="DD484">
        <v>0</v>
      </c>
      <c r="DE484">
        <v>0</v>
      </c>
      <c r="DF484">
        <v>0</v>
      </c>
      <c r="DH484">
        <v>152.80000000000001</v>
      </c>
      <c r="DI484">
        <v>185.8</v>
      </c>
    </row>
    <row r="485" spans="1:113" ht="15" customHeight="1" x14ac:dyDescent="0.25">
      <c r="A485" t="s">
        <v>3079</v>
      </c>
      <c r="B485" t="s">
        <v>3080</v>
      </c>
      <c r="C485" t="s">
        <v>3081</v>
      </c>
      <c r="D485" t="s">
        <v>1234</v>
      </c>
      <c r="E485" t="s">
        <v>1234</v>
      </c>
      <c r="F485" t="s">
        <v>3082</v>
      </c>
      <c r="G485">
        <v>2025</v>
      </c>
      <c r="H485" t="s">
        <v>1160</v>
      </c>
      <c r="I485" t="s">
        <v>123</v>
      </c>
      <c r="J485">
        <v>17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Y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S485">
        <v>0</v>
      </c>
      <c r="AU485">
        <v>0</v>
      </c>
      <c r="AV485">
        <v>0</v>
      </c>
      <c r="AW485">
        <v>0</v>
      </c>
      <c r="AX485">
        <v>0</v>
      </c>
      <c r="AY485">
        <v>52</v>
      </c>
      <c r="AZ485">
        <v>3</v>
      </c>
      <c r="BA485">
        <v>48</v>
      </c>
      <c r="BB485">
        <v>10</v>
      </c>
      <c r="BC485">
        <v>27</v>
      </c>
      <c r="BD485">
        <v>1</v>
      </c>
      <c r="BE485">
        <v>2</v>
      </c>
      <c r="BF485">
        <v>13</v>
      </c>
      <c r="BG485">
        <v>3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</v>
      </c>
      <c r="BR485">
        <v>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C485">
        <v>0</v>
      </c>
      <c r="DD485">
        <v>0</v>
      </c>
      <c r="DE485">
        <v>0</v>
      </c>
      <c r="DF485">
        <v>0</v>
      </c>
      <c r="DH485">
        <v>0</v>
      </c>
      <c r="DI485">
        <v>0</v>
      </c>
    </row>
    <row r="486" spans="1:113" ht="15" customHeight="1" x14ac:dyDescent="0.25">
      <c r="A486" t="s">
        <v>3083</v>
      </c>
      <c r="B486" t="s">
        <v>3084</v>
      </c>
      <c r="C486" t="s">
        <v>3085</v>
      </c>
      <c r="D486" t="s">
        <v>1158</v>
      </c>
      <c r="E486" t="s">
        <v>1158</v>
      </c>
      <c r="F486" t="s">
        <v>3086</v>
      </c>
      <c r="G486">
        <v>2025</v>
      </c>
      <c r="H486" t="s">
        <v>1160</v>
      </c>
      <c r="I486" t="s">
        <v>115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Y486">
        <v>0</v>
      </c>
      <c r="AA486">
        <v>1</v>
      </c>
      <c r="AB486">
        <v>-1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S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C486">
        <v>0</v>
      </c>
      <c r="DD486">
        <v>0</v>
      </c>
      <c r="DE486">
        <v>0</v>
      </c>
      <c r="DF486">
        <v>0</v>
      </c>
      <c r="DH486">
        <v>-0.1</v>
      </c>
      <c r="DI486">
        <v>-0.1</v>
      </c>
    </row>
    <row r="487" spans="1:113" ht="15" customHeight="1" x14ac:dyDescent="0.25">
      <c r="A487" t="s">
        <v>3087</v>
      </c>
      <c r="B487" t="s">
        <v>3088</v>
      </c>
      <c r="C487" t="s">
        <v>3089</v>
      </c>
      <c r="D487" t="s">
        <v>1297</v>
      </c>
      <c r="E487" t="s">
        <v>1220</v>
      </c>
      <c r="F487" t="s">
        <v>3090</v>
      </c>
      <c r="G487">
        <v>2025</v>
      </c>
      <c r="H487" t="s">
        <v>1160</v>
      </c>
      <c r="I487" t="s">
        <v>126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Y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S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</v>
      </c>
      <c r="BU487">
        <v>5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C487">
        <v>0</v>
      </c>
      <c r="DD487">
        <v>0</v>
      </c>
      <c r="DE487">
        <v>0</v>
      </c>
      <c r="DF487">
        <v>0</v>
      </c>
      <c r="DH487">
        <v>0</v>
      </c>
      <c r="DI487">
        <v>0</v>
      </c>
    </row>
    <row r="488" spans="1:113" ht="15" customHeight="1" x14ac:dyDescent="0.25">
      <c r="A488" t="s">
        <v>3091</v>
      </c>
      <c r="B488" t="s">
        <v>3092</v>
      </c>
      <c r="C488" t="s">
        <v>3093</v>
      </c>
      <c r="D488" t="s">
        <v>1168</v>
      </c>
      <c r="E488" t="s">
        <v>1169</v>
      </c>
      <c r="F488" t="s">
        <v>3094</v>
      </c>
      <c r="G488">
        <v>2025</v>
      </c>
      <c r="H488" t="s">
        <v>1160</v>
      </c>
      <c r="I488" t="s">
        <v>141</v>
      </c>
      <c r="J488">
        <v>12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Y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S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17</v>
      </c>
      <c r="CA488">
        <v>23</v>
      </c>
      <c r="CB488">
        <v>6</v>
      </c>
      <c r="CC488">
        <v>0</v>
      </c>
      <c r="CD488">
        <v>56</v>
      </c>
      <c r="CE488">
        <v>0.73913043478260898</v>
      </c>
      <c r="CF488">
        <v>0</v>
      </c>
      <c r="CG488">
        <v>4</v>
      </c>
      <c r="CH488">
        <v>3</v>
      </c>
      <c r="CI488">
        <v>6</v>
      </c>
      <c r="CJ488">
        <v>4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5</v>
      </c>
      <c r="CQ488">
        <v>0</v>
      </c>
      <c r="CR488" t="s">
        <v>3095</v>
      </c>
      <c r="CS488" t="s">
        <v>3096</v>
      </c>
      <c r="CU488">
        <v>681</v>
      </c>
      <c r="CV488">
        <v>304</v>
      </c>
      <c r="CW488">
        <v>0</v>
      </c>
      <c r="CX488">
        <v>26</v>
      </c>
      <c r="CY488">
        <v>26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0</v>
      </c>
      <c r="DH488">
        <v>0</v>
      </c>
      <c r="DI488">
        <v>0</v>
      </c>
    </row>
    <row r="489" spans="1:113" ht="15" customHeight="1" x14ac:dyDescent="0.25">
      <c r="A489" t="s">
        <v>3097</v>
      </c>
      <c r="B489" t="s">
        <v>3098</v>
      </c>
      <c r="C489" t="s">
        <v>3099</v>
      </c>
      <c r="D489" t="s">
        <v>1350</v>
      </c>
      <c r="E489" t="s">
        <v>1307</v>
      </c>
      <c r="F489" t="s">
        <v>3100</v>
      </c>
      <c r="G489">
        <v>2025</v>
      </c>
      <c r="H489" t="s">
        <v>1160</v>
      </c>
      <c r="I489" t="s">
        <v>97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Y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S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C489">
        <v>0</v>
      </c>
      <c r="DD489">
        <v>0</v>
      </c>
      <c r="DE489">
        <v>0</v>
      </c>
      <c r="DF489">
        <v>0</v>
      </c>
      <c r="DH489">
        <v>0</v>
      </c>
      <c r="DI489">
        <v>0</v>
      </c>
    </row>
    <row r="490" spans="1:113" ht="15" customHeight="1" x14ac:dyDescent="0.25">
      <c r="A490" t="s">
        <v>3101</v>
      </c>
      <c r="B490" t="s">
        <v>3102</v>
      </c>
      <c r="C490" t="s">
        <v>3103</v>
      </c>
      <c r="D490" t="s">
        <v>1233</v>
      </c>
      <c r="E490" t="s">
        <v>1234</v>
      </c>
      <c r="F490" t="s">
        <v>3104</v>
      </c>
      <c r="G490">
        <v>2025</v>
      </c>
      <c r="H490" t="s">
        <v>1160</v>
      </c>
      <c r="I490" t="s">
        <v>137</v>
      </c>
      <c r="J490">
        <v>12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Y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S490">
        <v>0</v>
      </c>
      <c r="AU490">
        <v>0</v>
      </c>
      <c r="AV490">
        <v>0</v>
      </c>
      <c r="AW490">
        <v>0</v>
      </c>
      <c r="AX490">
        <v>0</v>
      </c>
      <c r="AY490">
        <v>25</v>
      </c>
      <c r="AZ490">
        <v>3</v>
      </c>
      <c r="BA490">
        <v>26</v>
      </c>
      <c r="BB490">
        <v>11</v>
      </c>
      <c r="BC490">
        <v>53</v>
      </c>
      <c r="BD490">
        <v>0</v>
      </c>
      <c r="BE490">
        <v>7</v>
      </c>
      <c r="BF490">
        <v>45.5</v>
      </c>
      <c r="BG490">
        <v>13</v>
      </c>
      <c r="BH490">
        <v>1</v>
      </c>
      <c r="BI490">
        <v>40</v>
      </c>
      <c r="BJ490">
        <v>10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2</v>
      </c>
      <c r="BR490">
        <v>2</v>
      </c>
      <c r="BS490">
        <v>0</v>
      </c>
      <c r="BT490">
        <v>1</v>
      </c>
      <c r="BU490">
        <v>5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C490">
        <v>0</v>
      </c>
      <c r="DD490">
        <v>0</v>
      </c>
      <c r="DE490">
        <v>0</v>
      </c>
      <c r="DF490">
        <v>0</v>
      </c>
      <c r="DH490">
        <v>0</v>
      </c>
      <c r="DI490">
        <v>0</v>
      </c>
    </row>
    <row r="491" spans="1:113" ht="15" customHeight="1" x14ac:dyDescent="0.25">
      <c r="A491" t="s">
        <v>3105</v>
      </c>
      <c r="B491" t="s">
        <v>3106</v>
      </c>
      <c r="C491" t="s">
        <v>3107</v>
      </c>
      <c r="D491" t="s">
        <v>1234</v>
      </c>
      <c r="E491" t="s">
        <v>1234</v>
      </c>
      <c r="F491" t="s">
        <v>3108</v>
      </c>
      <c r="G491">
        <v>2025</v>
      </c>
      <c r="H491" t="s">
        <v>1160</v>
      </c>
      <c r="I491" t="s">
        <v>137</v>
      </c>
      <c r="J491">
        <v>13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Y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S491">
        <v>0</v>
      </c>
      <c r="AU491">
        <v>0</v>
      </c>
      <c r="AV491">
        <v>0</v>
      </c>
      <c r="AW491">
        <v>0</v>
      </c>
      <c r="AX491">
        <v>0</v>
      </c>
      <c r="AY491">
        <v>60</v>
      </c>
      <c r="AZ491">
        <v>1</v>
      </c>
      <c r="BA491">
        <v>83</v>
      </c>
      <c r="BB491">
        <v>4</v>
      </c>
      <c r="BC491">
        <v>19</v>
      </c>
      <c r="BD491">
        <v>1</v>
      </c>
      <c r="BE491">
        <v>2</v>
      </c>
      <c r="BF491">
        <v>15</v>
      </c>
      <c r="BG491">
        <v>3</v>
      </c>
      <c r="BH491">
        <v>0</v>
      </c>
      <c r="BI491">
        <v>0</v>
      </c>
      <c r="BJ491">
        <v>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C491">
        <v>0</v>
      </c>
      <c r="DD491">
        <v>0</v>
      </c>
      <c r="DE491">
        <v>0</v>
      </c>
      <c r="DF491">
        <v>0</v>
      </c>
      <c r="DH491">
        <v>0</v>
      </c>
      <c r="DI491">
        <v>0</v>
      </c>
    </row>
    <row r="492" spans="1:113" ht="15" customHeight="1" x14ac:dyDescent="0.25">
      <c r="A492" t="s">
        <v>3109</v>
      </c>
      <c r="B492" t="s">
        <v>3110</v>
      </c>
      <c r="C492" t="s">
        <v>3111</v>
      </c>
      <c r="D492" t="s">
        <v>1350</v>
      </c>
      <c r="E492" t="s">
        <v>1307</v>
      </c>
      <c r="F492" t="s">
        <v>3112</v>
      </c>
      <c r="G492">
        <v>2025</v>
      </c>
      <c r="H492" t="s">
        <v>1160</v>
      </c>
      <c r="I492" t="s">
        <v>96</v>
      </c>
      <c r="J492">
        <v>17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Y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S492">
        <v>0</v>
      </c>
      <c r="AU492">
        <v>0</v>
      </c>
      <c r="AV492">
        <v>0</v>
      </c>
      <c r="AW492">
        <v>0</v>
      </c>
      <c r="AX492">
        <v>0</v>
      </c>
      <c r="AY492">
        <v>52</v>
      </c>
      <c r="AZ492">
        <v>2</v>
      </c>
      <c r="BA492">
        <v>14</v>
      </c>
      <c r="BB492">
        <v>4</v>
      </c>
      <c r="BC492">
        <v>14</v>
      </c>
      <c r="BD492">
        <v>1</v>
      </c>
      <c r="BE492">
        <v>0</v>
      </c>
      <c r="BF492">
        <v>0</v>
      </c>
      <c r="BG492">
        <v>0</v>
      </c>
      <c r="BH492">
        <v>4</v>
      </c>
      <c r="BI492">
        <v>102</v>
      </c>
      <c r="BJ492">
        <v>19</v>
      </c>
      <c r="BK492">
        <v>1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2</v>
      </c>
      <c r="BU492">
        <v>51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C492">
        <v>0</v>
      </c>
      <c r="DD492">
        <v>0</v>
      </c>
      <c r="DE492">
        <v>0</v>
      </c>
      <c r="DF492">
        <v>0</v>
      </c>
      <c r="DH492">
        <v>0</v>
      </c>
      <c r="DI492">
        <v>0</v>
      </c>
    </row>
    <row r="493" spans="1:113" ht="15" customHeight="1" x14ac:dyDescent="0.25">
      <c r="A493" t="s">
        <v>3113</v>
      </c>
      <c r="B493" t="s">
        <v>3114</v>
      </c>
      <c r="C493" t="s">
        <v>3115</v>
      </c>
      <c r="D493" t="s">
        <v>1189</v>
      </c>
      <c r="E493" t="s">
        <v>1190</v>
      </c>
      <c r="F493" t="s">
        <v>3116</v>
      </c>
      <c r="G493">
        <v>2025</v>
      </c>
      <c r="H493" t="s">
        <v>1160</v>
      </c>
      <c r="I493" t="s">
        <v>123</v>
      </c>
      <c r="J493">
        <v>14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Y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S493">
        <v>0</v>
      </c>
      <c r="AU493">
        <v>0</v>
      </c>
      <c r="AV493">
        <v>0</v>
      </c>
      <c r="AW493">
        <v>0</v>
      </c>
      <c r="AX493">
        <v>0</v>
      </c>
      <c r="AY493">
        <v>15</v>
      </c>
      <c r="AZ493">
        <v>0</v>
      </c>
      <c r="BA493">
        <v>13</v>
      </c>
      <c r="BB493">
        <v>5</v>
      </c>
      <c r="BC493">
        <v>10</v>
      </c>
      <c r="BD493">
        <v>0</v>
      </c>
      <c r="BE493">
        <v>3.5</v>
      </c>
      <c r="BF493">
        <v>8</v>
      </c>
      <c r="BG493">
        <v>13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5</v>
      </c>
      <c r="BU493">
        <v>55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C493">
        <v>0</v>
      </c>
      <c r="DD493">
        <v>0</v>
      </c>
      <c r="DE493">
        <v>0</v>
      </c>
      <c r="DF493">
        <v>0</v>
      </c>
      <c r="DH493">
        <v>0</v>
      </c>
      <c r="DI493">
        <v>0</v>
      </c>
    </row>
    <row r="494" spans="1:113" ht="15" customHeight="1" x14ac:dyDescent="0.25">
      <c r="A494" t="s">
        <v>3117</v>
      </c>
      <c r="B494" t="s">
        <v>3118</v>
      </c>
      <c r="C494" t="s">
        <v>3119</v>
      </c>
      <c r="D494" t="s">
        <v>1209</v>
      </c>
      <c r="E494" t="s">
        <v>1169</v>
      </c>
      <c r="F494" t="s">
        <v>3120</v>
      </c>
      <c r="G494">
        <v>2025</v>
      </c>
      <c r="H494" t="s">
        <v>1160</v>
      </c>
      <c r="I494" t="s">
        <v>133</v>
      </c>
      <c r="J494">
        <v>17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Y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S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C494">
        <v>0</v>
      </c>
      <c r="DD494">
        <v>0</v>
      </c>
      <c r="DE494">
        <v>0</v>
      </c>
      <c r="DF494">
        <v>0</v>
      </c>
      <c r="DH494">
        <v>0</v>
      </c>
      <c r="DI494">
        <v>0</v>
      </c>
    </row>
    <row r="495" spans="1:113" ht="15" customHeight="1" x14ac:dyDescent="0.25">
      <c r="A495" t="s">
        <v>3121</v>
      </c>
      <c r="B495" t="s">
        <v>3122</v>
      </c>
      <c r="C495" t="s">
        <v>3123</v>
      </c>
      <c r="D495" t="s">
        <v>1234</v>
      </c>
      <c r="E495" t="s">
        <v>1234</v>
      </c>
      <c r="F495" t="s">
        <v>3124</v>
      </c>
      <c r="G495">
        <v>2025</v>
      </c>
      <c r="H495" t="s">
        <v>1160</v>
      </c>
      <c r="I495" t="s">
        <v>103</v>
      </c>
      <c r="J495">
        <v>11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Y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S495">
        <v>0</v>
      </c>
      <c r="AU495">
        <v>0</v>
      </c>
      <c r="AV495">
        <v>0</v>
      </c>
      <c r="AW495">
        <v>0</v>
      </c>
      <c r="AX495">
        <v>0</v>
      </c>
      <c r="AY495">
        <v>24</v>
      </c>
      <c r="AZ495">
        <v>0</v>
      </c>
      <c r="BA495">
        <v>13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C495">
        <v>0</v>
      </c>
      <c r="DD495">
        <v>0</v>
      </c>
      <c r="DE495">
        <v>0</v>
      </c>
      <c r="DF495">
        <v>0</v>
      </c>
      <c r="DH495">
        <v>0</v>
      </c>
      <c r="DI495">
        <v>0</v>
      </c>
    </row>
    <row r="496" spans="1:113" ht="15" customHeight="1" x14ac:dyDescent="0.25">
      <c r="A496" t="s">
        <v>3125</v>
      </c>
      <c r="B496" t="s">
        <v>3126</v>
      </c>
      <c r="C496" t="s">
        <v>3127</v>
      </c>
      <c r="D496" t="s">
        <v>1158</v>
      </c>
      <c r="E496" t="s">
        <v>1158</v>
      </c>
      <c r="F496" t="s">
        <v>3128</v>
      </c>
      <c r="G496">
        <v>2025</v>
      </c>
      <c r="H496" t="s">
        <v>1160</v>
      </c>
      <c r="I496" t="s">
        <v>123</v>
      </c>
      <c r="J496">
        <v>4</v>
      </c>
      <c r="K496">
        <v>6</v>
      </c>
      <c r="L496">
        <v>13</v>
      </c>
      <c r="M496">
        <v>37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68</v>
      </c>
      <c r="U496">
        <v>31</v>
      </c>
      <c r="V496">
        <v>2</v>
      </c>
      <c r="W496">
        <v>-6.4146830269019102</v>
      </c>
      <c r="X496">
        <v>-20.530454949899202</v>
      </c>
      <c r="Y496">
        <v>0</v>
      </c>
      <c r="Z496">
        <v>0.54411764705882404</v>
      </c>
      <c r="AA496">
        <v>6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-0.57099194219335903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S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C496">
        <v>0</v>
      </c>
      <c r="DD496">
        <v>0</v>
      </c>
      <c r="DE496">
        <v>0</v>
      </c>
      <c r="DF496">
        <v>0</v>
      </c>
      <c r="DH496">
        <v>-0.32</v>
      </c>
      <c r="DI496">
        <v>-0.32</v>
      </c>
    </row>
    <row r="497" spans="1:113" ht="15" customHeight="1" x14ac:dyDescent="0.25">
      <c r="A497" t="s">
        <v>3129</v>
      </c>
      <c r="B497" t="s">
        <v>1217</v>
      </c>
      <c r="C497" t="s">
        <v>3130</v>
      </c>
      <c r="D497" t="s">
        <v>431</v>
      </c>
      <c r="E497" t="s">
        <v>431</v>
      </c>
      <c r="F497" t="s">
        <v>3131</v>
      </c>
      <c r="G497">
        <v>2025</v>
      </c>
      <c r="H497" t="s">
        <v>1160</v>
      </c>
      <c r="I497" t="s">
        <v>109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Y497">
        <v>0</v>
      </c>
      <c r="AA497">
        <v>10</v>
      </c>
      <c r="AB497">
        <v>36</v>
      </c>
      <c r="AC497">
        <v>0</v>
      </c>
      <c r="AD497">
        <v>0</v>
      </c>
      <c r="AE497">
        <v>0</v>
      </c>
      <c r="AF497">
        <v>3</v>
      </c>
      <c r="AG497">
        <v>1.5745609656733</v>
      </c>
      <c r="AH497">
        <v>0</v>
      </c>
      <c r="AI497">
        <v>8</v>
      </c>
      <c r="AJ497">
        <v>9</v>
      </c>
      <c r="AK497">
        <v>55</v>
      </c>
      <c r="AL497">
        <v>0</v>
      </c>
      <c r="AM497">
        <v>0</v>
      </c>
      <c r="AN497">
        <v>0</v>
      </c>
      <c r="AO497">
        <v>-34</v>
      </c>
      <c r="AP497">
        <v>83</v>
      </c>
      <c r="AQ497">
        <v>2</v>
      </c>
      <c r="AR497">
        <v>-3.23557225635256</v>
      </c>
      <c r="AS497">
        <v>0</v>
      </c>
      <c r="AT497">
        <v>-1.6176470588235301</v>
      </c>
      <c r="AU497">
        <v>1.6544117647058799E-2</v>
      </c>
      <c r="AV497">
        <v>-7.4791025076990803E-3</v>
      </c>
      <c r="AW497">
        <v>1.95808047151989E-2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9</v>
      </c>
      <c r="BY497">
        <v>212</v>
      </c>
      <c r="BZ497">
        <v>0</v>
      </c>
      <c r="CA497">
        <v>0</v>
      </c>
      <c r="CB497">
        <v>0</v>
      </c>
      <c r="CC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C497">
        <v>0</v>
      </c>
      <c r="DD497">
        <v>0</v>
      </c>
      <c r="DE497">
        <v>0</v>
      </c>
      <c r="DF497">
        <v>0</v>
      </c>
      <c r="DH497">
        <v>9.1</v>
      </c>
      <c r="DI497">
        <v>17.100000000000001</v>
      </c>
    </row>
    <row r="498" spans="1:113" ht="15" customHeight="1" x14ac:dyDescent="0.25">
      <c r="A498" t="s">
        <v>3132</v>
      </c>
      <c r="B498" t="s">
        <v>3133</v>
      </c>
      <c r="C498" t="s">
        <v>3134</v>
      </c>
      <c r="D498" t="s">
        <v>10</v>
      </c>
      <c r="E498" t="s">
        <v>10</v>
      </c>
      <c r="F498" t="s">
        <v>3135</v>
      </c>
      <c r="G498">
        <v>2025</v>
      </c>
      <c r="H498" t="s">
        <v>1160</v>
      </c>
      <c r="I498" t="s">
        <v>103</v>
      </c>
      <c r="J498">
        <v>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Y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H498">
        <v>0</v>
      </c>
      <c r="AI498">
        <v>9</v>
      </c>
      <c r="AJ498">
        <v>14</v>
      </c>
      <c r="AK498">
        <v>62</v>
      </c>
      <c r="AL498">
        <v>0</v>
      </c>
      <c r="AM498">
        <v>0</v>
      </c>
      <c r="AN498">
        <v>0</v>
      </c>
      <c r="AO498">
        <v>74</v>
      </c>
      <c r="AP498">
        <v>31</v>
      </c>
      <c r="AQ498">
        <v>4</v>
      </c>
      <c r="AR498">
        <v>-1.1074947430483599</v>
      </c>
      <c r="AS498">
        <v>0</v>
      </c>
      <c r="AT498">
        <v>0.83783783783783805</v>
      </c>
      <c r="AU498">
        <v>2.68199233716475E-2</v>
      </c>
      <c r="AV498">
        <v>2.25609756097561E-2</v>
      </c>
      <c r="AW498">
        <v>5.6022567984300498E-2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34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C498">
        <v>0</v>
      </c>
      <c r="DD498">
        <v>0</v>
      </c>
      <c r="DE498">
        <v>0</v>
      </c>
      <c r="DF498">
        <v>0</v>
      </c>
      <c r="DH498">
        <v>6.2</v>
      </c>
      <c r="DI498">
        <v>15.2</v>
      </c>
    </row>
    <row r="499" spans="1:113" ht="15" customHeight="1" x14ac:dyDescent="0.25">
      <c r="A499" t="s">
        <v>3136</v>
      </c>
      <c r="B499" t="s">
        <v>3137</v>
      </c>
      <c r="C499" t="s">
        <v>3138</v>
      </c>
      <c r="D499" t="s">
        <v>1684</v>
      </c>
      <c r="E499" t="s">
        <v>1307</v>
      </c>
      <c r="F499" t="s">
        <v>3139</v>
      </c>
      <c r="G499">
        <v>2025</v>
      </c>
      <c r="H499" t="s">
        <v>1160</v>
      </c>
      <c r="I499" t="s">
        <v>112</v>
      </c>
      <c r="J499">
        <v>15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Y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S499">
        <v>0</v>
      </c>
      <c r="AU499">
        <v>0</v>
      </c>
      <c r="AV499">
        <v>0</v>
      </c>
      <c r="AW499">
        <v>0</v>
      </c>
      <c r="AX499">
        <v>0</v>
      </c>
      <c r="AY499">
        <v>39</v>
      </c>
      <c r="AZ499">
        <v>0</v>
      </c>
      <c r="BA499">
        <v>32</v>
      </c>
      <c r="BB499">
        <v>3</v>
      </c>
      <c r="BC499">
        <v>5</v>
      </c>
      <c r="BD499">
        <v>1</v>
      </c>
      <c r="BE499">
        <v>0</v>
      </c>
      <c r="BF499">
        <v>0</v>
      </c>
      <c r="BG499">
        <v>0</v>
      </c>
      <c r="BH499">
        <v>2</v>
      </c>
      <c r="BI499">
        <v>21</v>
      </c>
      <c r="BJ499">
        <v>5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21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C499">
        <v>0</v>
      </c>
      <c r="DD499">
        <v>0</v>
      </c>
      <c r="DE499">
        <v>0</v>
      </c>
      <c r="DF499">
        <v>0</v>
      </c>
      <c r="DH499">
        <v>0</v>
      </c>
      <c r="DI499">
        <v>0</v>
      </c>
    </row>
    <row r="500" spans="1:113" ht="15" customHeight="1" x14ac:dyDescent="0.25">
      <c r="A500" t="s">
        <v>3140</v>
      </c>
      <c r="B500" t="s">
        <v>3141</v>
      </c>
      <c r="C500" t="s">
        <v>3142</v>
      </c>
      <c r="D500" t="s">
        <v>431</v>
      </c>
      <c r="E500" t="s">
        <v>431</v>
      </c>
      <c r="F500" t="s">
        <v>3143</v>
      </c>
      <c r="G500">
        <v>2025</v>
      </c>
      <c r="H500" t="s">
        <v>1160</v>
      </c>
      <c r="I500" t="s">
        <v>140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Y500">
        <v>0</v>
      </c>
      <c r="AA500">
        <v>3</v>
      </c>
      <c r="AB500">
        <v>6</v>
      </c>
      <c r="AC500">
        <v>0</v>
      </c>
      <c r="AD500">
        <v>0</v>
      </c>
      <c r="AE500">
        <v>0</v>
      </c>
      <c r="AF500">
        <v>0</v>
      </c>
      <c r="AG500">
        <v>-1.5420904575730701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S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C500">
        <v>0</v>
      </c>
      <c r="DD500">
        <v>0</v>
      </c>
      <c r="DE500">
        <v>0</v>
      </c>
      <c r="DF500">
        <v>0</v>
      </c>
      <c r="DH500">
        <v>0.6</v>
      </c>
      <c r="DI500">
        <v>0.6</v>
      </c>
    </row>
    <row r="501" spans="1:113" ht="15" customHeight="1" x14ac:dyDescent="0.25">
      <c r="A501" t="s">
        <v>3144</v>
      </c>
      <c r="B501" t="s">
        <v>3145</v>
      </c>
      <c r="C501" t="s">
        <v>3146</v>
      </c>
      <c r="D501" t="s">
        <v>1234</v>
      </c>
      <c r="E501" t="s">
        <v>1234</v>
      </c>
      <c r="F501" t="s">
        <v>3147</v>
      </c>
      <c r="G501">
        <v>2025</v>
      </c>
      <c r="H501" t="s">
        <v>1160</v>
      </c>
      <c r="I501" t="s">
        <v>93</v>
      </c>
      <c r="J501">
        <v>17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Y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S501">
        <v>0</v>
      </c>
      <c r="AU501">
        <v>0</v>
      </c>
      <c r="AV501">
        <v>0</v>
      </c>
      <c r="AW501">
        <v>0</v>
      </c>
      <c r="AX501">
        <v>0</v>
      </c>
      <c r="AY501">
        <v>57</v>
      </c>
      <c r="AZ501">
        <v>2</v>
      </c>
      <c r="BA501">
        <v>48</v>
      </c>
      <c r="BB501">
        <v>10</v>
      </c>
      <c r="BC501">
        <v>34</v>
      </c>
      <c r="BD501">
        <v>1</v>
      </c>
      <c r="BE501">
        <v>3.5</v>
      </c>
      <c r="BF501">
        <v>21</v>
      </c>
      <c r="BG501">
        <v>10</v>
      </c>
      <c r="BH501">
        <v>1</v>
      </c>
      <c r="BI501">
        <v>16</v>
      </c>
      <c r="BJ501">
        <v>6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C501">
        <v>0</v>
      </c>
      <c r="DD501">
        <v>0</v>
      </c>
      <c r="DE501">
        <v>0</v>
      </c>
      <c r="DF501">
        <v>0</v>
      </c>
      <c r="DH501">
        <v>0</v>
      </c>
      <c r="DI501">
        <v>0</v>
      </c>
    </row>
    <row r="502" spans="1:113" ht="15" customHeight="1" x14ac:dyDescent="0.25">
      <c r="A502" t="s">
        <v>3148</v>
      </c>
      <c r="B502" t="s">
        <v>3149</v>
      </c>
      <c r="C502" t="s">
        <v>3150</v>
      </c>
      <c r="D502" t="s">
        <v>1234</v>
      </c>
      <c r="E502" t="s">
        <v>1234</v>
      </c>
      <c r="F502" t="s">
        <v>3151</v>
      </c>
      <c r="G502">
        <v>2025</v>
      </c>
      <c r="H502" t="s">
        <v>1160</v>
      </c>
      <c r="I502" t="s">
        <v>111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Y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S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C502">
        <v>0</v>
      </c>
      <c r="DD502">
        <v>0</v>
      </c>
      <c r="DE502">
        <v>0</v>
      </c>
      <c r="DF502">
        <v>0</v>
      </c>
      <c r="DH502">
        <v>0</v>
      </c>
      <c r="DI502">
        <v>0</v>
      </c>
    </row>
    <row r="503" spans="1:113" ht="15" customHeight="1" x14ac:dyDescent="0.25">
      <c r="A503" t="s">
        <v>3152</v>
      </c>
      <c r="B503" t="s">
        <v>3153</v>
      </c>
      <c r="C503" t="s">
        <v>3154</v>
      </c>
      <c r="D503" t="s">
        <v>1234</v>
      </c>
      <c r="E503" t="s">
        <v>1234</v>
      </c>
      <c r="F503" t="s">
        <v>3155</v>
      </c>
      <c r="G503">
        <v>2025</v>
      </c>
      <c r="H503" t="s">
        <v>1160</v>
      </c>
      <c r="I503" t="s">
        <v>133</v>
      </c>
      <c r="J503">
        <v>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Y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S503">
        <v>0</v>
      </c>
      <c r="AU503">
        <v>0</v>
      </c>
      <c r="AV503">
        <v>0</v>
      </c>
      <c r="AW503">
        <v>0</v>
      </c>
      <c r="AX503">
        <v>0</v>
      </c>
      <c r="AY503">
        <v>70</v>
      </c>
      <c r="AZ503">
        <v>2</v>
      </c>
      <c r="BA503">
        <v>57</v>
      </c>
      <c r="BB503">
        <v>10</v>
      </c>
      <c r="BC503">
        <v>48</v>
      </c>
      <c r="BD503">
        <v>1</v>
      </c>
      <c r="BE503">
        <v>5</v>
      </c>
      <c r="BF503">
        <v>40</v>
      </c>
      <c r="BG503">
        <v>6</v>
      </c>
      <c r="BH503">
        <v>1</v>
      </c>
      <c r="BI503">
        <v>0</v>
      </c>
      <c r="BJ503">
        <v>3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1</v>
      </c>
      <c r="BS503">
        <v>0</v>
      </c>
      <c r="BT503">
        <v>2</v>
      </c>
      <c r="BU503">
        <v>12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C503">
        <v>0</v>
      </c>
      <c r="DD503">
        <v>0</v>
      </c>
      <c r="DE503">
        <v>0</v>
      </c>
      <c r="DF503">
        <v>0</v>
      </c>
      <c r="DH503">
        <v>0</v>
      </c>
      <c r="DI503">
        <v>0</v>
      </c>
    </row>
    <row r="504" spans="1:113" ht="15" customHeight="1" x14ac:dyDescent="0.25">
      <c r="A504" t="s">
        <v>3156</v>
      </c>
      <c r="B504" t="s">
        <v>3157</v>
      </c>
      <c r="C504" t="s">
        <v>3158</v>
      </c>
      <c r="D504" t="s">
        <v>1220</v>
      </c>
      <c r="E504" t="s">
        <v>1220</v>
      </c>
      <c r="F504" t="s">
        <v>3159</v>
      </c>
      <c r="G504">
        <v>2025</v>
      </c>
      <c r="H504" t="s">
        <v>1160</v>
      </c>
      <c r="I504" t="s">
        <v>142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Y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S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</v>
      </c>
      <c r="BU504">
        <v>5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C504">
        <v>0</v>
      </c>
      <c r="DD504">
        <v>0</v>
      </c>
      <c r="DE504">
        <v>0</v>
      </c>
      <c r="DF504">
        <v>0</v>
      </c>
      <c r="DH504">
        <v>0</v>
      </c>
      <c r="DI504">
        <v>0</v>
      </c>
    </row>
    <row r="505" spans="1:113" ht="15" customHeight="1" x14ac:dyDescent="0.25">
      <c r="A505" t="s">
        <v>3160</v>
      </c>
      <c r="B505" t="s">
        <v>3161</v>
      </c>
      <c r="C505" t="s">
        <v>3162</v>
      </c>
      <c r="D505" t="s">
        <v>1350</v>
      </c>
      <c r="E505" t="s">
        <v>1307</v>
      </c>
      <c r="F505" t="s">
        <v>3163</v>
      </c>
      <c r="G505">
        <v>2025</v>
      </c>
      <c r="H505" t="s">
        <v>1160</v>
      </c>
      <c r="I505" t="s">
        <v>99</v>
      </c>
      <c r="J505">
        <v>16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Y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S505">
        <v>0</v>
      </c>
      <c r="AU505">
        <v>0</v>
      </c>
      <c r="AV505">
        <v>0</v>
      </c>
      <c r="AW505">
        <v>0</v>
      </c>
      <c r="AX505">
        <v>0</v>
      </c>
      <c r="AY505">
        <v>33</v>
      </c>
      <c r="AZ505">
        <v>0</v>
      </c>
      <c r="BA505">
        <v>10</v>
      </c>
      <c r="BB505">
        <v>1</v>
      </c>
      <c r="BC505">
        <v>1</v>
      </c>
      <c r="BD505">
        <v>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4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3</v>
      </c>
      <c r="BU505">
        <v>24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C505">
        <v>0</v>
      </c>
      <c r="DD505">
        <v>0</v>
      </c>
      <c r="DE505">
        <v>0</v>
      </c>
      <c r="DF505">
        <v>0</v>
      </c>
      <c r="DH505">
        <v>0</v>
      </c>
      <c r="DI505">
        <v>0</v>
      </c>
    </row>
    <row r="506" spans="1:113" ht="15" customHeight="1" x14ac:dyDescent="0.25">
      <c r="A506" t="s">
        <v>3164</v>
      </c>
      <c r="B506" t="s">
        <v>3165</v>
      </c>
      <c r="C506" t="s">
        <v>3166</v>
      </c>
      <c r="D506" t="s">
        <v>1168</v>
      </c>
      <c r="E506" t="s">
        <v>1169</v>
      </c>
      <c r="F506" t="s">
        <v>3167</v>
      </c>
      <c r="G506">
        <v>2025</v>
      </c>
      <c r="H506" t="s">
        <v>1160</v>
      </c>
      <c r="I506" t="s">
        <v>126</v>
      </c>
      <c r="J506">
        <v>17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Y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S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32</v>
      </c>
      <c r="CA506">
        <v>38</v>
      </c>
      <c r="CB506">
        <v>3</v>
      </c>
      <c r="CC506">
        <v>3</v>
      </c>
      <c r="CD506">
        <v>65</v>
      </c>
      <c r="CE506">
        <v>0.84210526315789502</v>
      </c>
      <c r="CF506">
        <v>0</v>
      </c>
      <c r="CG506">
        <v>6</v>
      </c>
      <c r="CH506">
        <v>9</v>
      </c>
      <c r="CI506">
        <v>6</v>
      </c>
      <c r="CJ506">
        <v>10</v>
      </c>
      <c r="CK506">
        <v>1</v>
      </c>
      <c r="CL506">
        <v>0</v>
      </c>
      <c r="CM506">
        <v>0</v>
      </c>
      <c r="CN506">
        <v>1</v>
      </c>
      <c r="CO506">
        <v>2</v>
      </c>
      <c r="CP506">
        <v>0</v>
      </c>
      <c r="CQ506">
        <v>0</v>
      </c>
      <c r="CR506" t="s">
        <v>3168</v>
      </c>
      <c r="CS506" t="s">
        <v>3169</v>
      </c>
      <c r="CT506" t="s">
        <v>3170</v>
      </c>
      <c r="CU506">
        <v>1346</v>
      </c>
      <c r="CV506">
        <v>131</v>
      </c>
      <c r="CW506">
        <v>136</v>
      </c>
      <c r="CX506">
        <v>32</v>
      </c>
      <c r="CY506">
        <v>33</v>
      </c>
      <c r="CZ506">
        <v>1</v>
      </c>
      <c r="DA506">
        <v>0</v>
      </c>
      <c r="DB506">
        <v>0.96969696969696995</v>
      </c>
      <c r="DC506">
        <v>2</v>
      </c>
      <c r="DD506">
        <v>2</v>
      </c>
      <c r="DE506">
        <v>0</v>
      </c>
      <c r="DF506">
        <v>0</v>
      </c>
      <c r="DG506" t="s">
        <v>3171</v>
      </c>
      <c r="DH506">
        <v>0</v>
      </c>
      <c r="DI506">
        <v>0</v>
      </c>
    </row>
    <row r="507" spans="1:113" ht="15" customHeight="1" x14ac:dyDescent="0.25">
      <c r="A507" t="s">
        <v>3172</v>
      </c>
      <c r="B507" t="s">
        <v>3173</v>
      </c>
      <c r="C507" t="s">
        <v>3174</v>
      </c>
      <c r="D507" t="s">
        <v>10</v>
      </c>
      <c r="E507" t="s">
        <v>10</v>
      </c>
      <c r="F507" t="s">
        <v>3175</v>
      </c>
      <c r="G507">
        <v>2025</v>
      </c>
      <c r="H507" t="s">
        <v>1160</v>
      </c>
      <c r="I507" t="s">
        <v>93</v>
      </c>
      <c r="J507">
        <v>12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Y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H507">
        <v>0</v>
      </c>
      <c r="AI507">
        <v>18</v>
      </c>
      <c r="AJ507">
        <v>36</v>
      </c>
      <c r="AK507">
        <v>191</v>
      </c>
      <c r="AL507">
        <v>2</v>
      </c>
      <c r="AM507">
        <v>0</v>
      </c>
      <c r="AN507">
        <v>0</v>
      </c>
      <c r="AO507">
        <v>404</v>
      </c>
      <c r="AP507">
        <v>56</v>
      </c>
      <c r="AQ507">
        <v>9</v>
      </c>
      <c r="AR507">
        <v>-1.78003130015708</v>
      </c>
      <c r="AS507">
        <v>0</v>
      </c>
      <c r="AT507">
        <v>0.47277227722772303</v>
      </c>
      <c r="AU507">
        <v>6.9364161849711004E-2</v>
      </c>
      <c r="AV507">
        <v>9.6882494004796205E-2</v>
      </c>
      <c r="AW507">
        <v>0.17186398857792401</v>
      </c>
      <c r="AX507">
        <v>0</v>
      </c>
      <c r="AY507">
        <v>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2</v>
      </c>
      <c r="BU507">
        <v>15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C507">
        <v>0</v>
      </c>
      <c r="DD507">
        <v>0</v>
      </c>
      <c r="DE507">
        <v>0</v>
      </c>
      <c r="DF507">
        <v>0</v>
      </c>
      <c r="DH507">
        <v>31.1</v>
      </c>
      <c r="DI507">
        <v>49.1</v>
      </c>
    </row>
    <row r="508" spans="1:113" ht="15" customHeight="1" x14ac:dyDescent="0.25">
      <c r="A508" t="s">
        <v>3176</v>
      </c>
      <c r="B508" t="s">
        <v>3177</v>
      </c>
      <c r="C508" t="s">
        <v>3178</v>
      </c>
      <c r="D508" t="s">
        <v>1234</v>
      </c>
      <c r="E508" t="s">
        <v>1234</v>
      </c>
      <c r="F508" t="s">
        <v>3179</v>
      </c>
      <c r="G508">
        <v>2025</v>
      </c>
      <c r="H508" t="s">
        <v>1160</v>
      </c>
      <c r="I508" t="s">
        <v>107</v>
      </c>
      <c r="J508">
        <v>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Y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S508">
        <v>0</v>
      </c>
      <c r="AU508">
        <v>0</v>
      </c>
      <c r="AV508">
        <v>0</v>
      </c>
      <c r="AW508">
        <v>0</v>
      </c>
      <c r="AX508">
        <v>0</v>
      </c>
      <c r="AY508">
        <v>14</v>
      </c>
      <c r="AZ508">
        <v>0</v>
      </c>
      <c r="BA508">
        <v>13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2</v>
      </c>
      <c r="BU508">
        <v>15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C508">
        <v>0</v>
      </c>
      <c r="DD508">
        <v>0</v>
      </c>
      <c r="DE508">
        <v>0</v>
      </c>
      <c r="DF508">
        <v>0</v>
      </c>
      <c r="DH508">
        <v>0</v>
      </c>
      <c r="DI508">
        <v>0</v>
      </c>
    </row>
    <row r="509" spans="1:113" ht="15" customHeight="1" x14ac:dyDescent="0.25">
      <c r="A509" t="s">
        <v>3180</v>
      </c>
      <c r="B509" t="s">
        <v>3181</v>
      </c>
      <c r="C509" t="s">
        <v>3182</v>
      </c>
      <c r="D509" t="s">
        <v>1684</v>
      </c>
      <c r="E509" t="s">
        <v>1307</v>
      </c>
      <c r="F509" t="s">
        <v>3183</v>
      </c>
      <c r="G509">
        <v>2025</v>
      </c>
      <c r="H509" t="s">
        <v>1160</v>
      </c>
      <c r="I509" t="s">
        <v>106</v>
      </c>
      <c r="J509">
        <v>16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Y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S509">
        <v>0</v>
      </c>
      <c r="AU509">
        <v>0</v>
      </c>
      <c r="AV509">
        <v>0</v>
      </c>
      <c r="AW509">
        <v>0</v>
      </c>
      <c r="AX509">
        <v>0</v>
      </c>
      <c r="AY509">
        <v>43</v>
      </c>
      <c r="AZ509">
        <v>2</v>
      </c>
      <c r="BA509">
        <v>39</v>
      </c>
      <c r="BB509">
        <v>3</v>
      </c>
      <c r="BC509">
        <v>10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39</v>
      </c>
      <c r="BJ509">
        <v>9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1</v>
      </c>
      <c r="BS509">
        <v>0</v>
      </c>
      <c r="BT509">
        <v>2</v>
      </c>
      <c r="BU509">
        <v>29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C509">
        <v>0</v>
      </c>
      <c r="DD509">
        <v>0</v>
      </c>
      <c r="DE509">
        <v>0</v>
      </c>
      <c r="DF509">
        <v>0</v>
      </c>
      <c r="DH509">
        <v>0</v>
      </c>
      <c r="DI509">
        <v>0</v>
      </c>
    </row>
    <row r="510" spans="1:113" ht="15" customHeight="1" x14ac:dyDescent="0.25">
      <c r="A510" t="s">
        <v>3184</v>
      </c>
      <c r="B510" t="s">
        <v>3185</v>
      </c>
      <c r="C510" t="s">
        <v>3186</v>
      </c>
      <c r="D510" t="s">
        <v>1234</v>
      </c>
      <c r="E510" t="s">
        <v>1234</v>
      </c>
      <c r="F510" t="s">
        <v>3187</v>
      </c>
      <c r="G510">
        <v>2025</v>
      </c>
      <c r="H510" t="s">
        <v>1160</v>
      </c>
      <c r="I510" t="s">
        <v>104</v>
      </c>
      <c r="J510">
        <v>10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Y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S510">
        <v>0</v>
      </c>
      <c r="AU510">
        <v>0</v>
      </c>
      <c r="AV510">
        <v>0</v>
      </c>
      <c r="AW510">
        <v>0</v>
      </c>
      <c r="AX510">
        <v>0</v>
      </c>
      <c r="AY510">
        <v>33</v>
      </c>
      <c r="AZ510">
        <v>0</v>
      </c>
      <c r="BA510">
        <v>34</v>
      </c>
      <c r="BB510">
        <v>2</v>
      </c>
      <c r="BC510">
        <v>4</v>
      </c>
      <c r="BD510">
        <v>0</v>
      </c>
      <c r="BE510">
        <v>0.5</v>
      </c>
      <c r="BF510">
        <v>0</v>
      </c>
      <c r="BG510">
        <v>3</v>
      </c>
      <c r="BH510">
        <v>1</v>
      </c>
      <c r="BI510">
        <v>34</v>
      </c>
      <c r="BJ510">
        <v>5</v>
      </c>
      <c r="BK510">
        <v>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C510">
        <v>0</v>
      </c>
      <c r="DD510">
        <v>0</v>
      </c>
      <c r="DE510">
        <v>0</v>
      </c>
      <c r="DF510">
        <v>0</v>
      </c>
      <c r="DH510">
        <v>0</v>
      </c>
      <c r="DI510">
        <v>0</v>
      </c>
    </row>
    <row r="511" spans="1:113" ht="15" customHeight="1" x14ac:dyDescent="0.25">
      <c r="A511" t="s">
        <v>3188</v>
      </c>
      <c r="B511" t="s">
        <v>3189</v>
      </c>
      <c r="C511" t="s">
        <v>3190</v>
      </c>
      <c r="D511" t="s">
        <v>1189</v>
      </c>
      <c r="E511" t="s">
        <v>1190</v>
      </c>
      <c r="F511" t="s">
        <v>3191</v>
      </c>
      <c r="G511">
        <v>2025</v>
      </c>
      <c r="H511" t="s">
        <v>1160</v>
      </c>
      <c r="I511" t="s">
        <v>138</v>
      </c>
      <c r="J511">
        <v>16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Y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S511">
        <v>0</v>
      </c>
      <c r="AU511">
        <v>0</v>
      </c>
      <c r="AV511">
        <v>0</v>
      </c>
      <c r="AW511">
        <v>0</v>
      </c>
      <c r="AX511">
        <v>0</v>
      </c>
      <c r="AY511">
        <v>32</v>
      </c>
      <c r="AZ511">
        <v>3</v>
      </c>
      <c r="BA511">
        <v>22</v>
      </c>
      <c r="BB511">
        <v>11</v>
      </c>
      <c r="BC511">
        <v>42</v>
      </c>
      <c r="BD511">
        <v>0</v>
      </c>
      <c r="BE511">
        <v>6</v>
      </c>
      <c r="BF511">
        <v>25</v>
      </c>
      <c r="BG511">
        <v>9</v>
      </c>
      <c r="BH511">
        <v>1</v>
      </c>
      <c r="BI511">
        <v>0</v>
      </c>
      <c r="BJ511">
        <v>4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3</v>
      </c>
      <c r="BU511">
        <v>30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C511">
        <v>0</v>
      </c>
      <c r="DD511">
        <v>0</v>
      </c>
      <c r="DE511">
        <v>0</v>
      </c>
      <c r="DF511">
        <v>0</v>
      </c>
      <c r="DH511">
        <v>0</v>
      </c>
      <c r="DI511">
        <v>0</v>
      </c>
    </row>
    <row r="512" spans="1:113" ht="15" customHeight="1" x14ac:dyDescent="0.25">
      <c r="A512" t="s">
        <v>3192</v>
      </c>
      <c r="B512" t="s">
        <v>3193</v>
      </c>
      <c r="C512" t="s">
        <v>600</v>
      </c>
      <c r="D512" t="s">
        <v>10</v>
      </c>
      <c r="E512" t="s">
        <v>10</v>
      </c>
      <c r="F512" t="s">
        <v>3194</v>
      </c>
      <c r="G512">
        <v>2025</v>
      </c>
      <c r="H512" t="s">
        <v>1160</v>
      </c>
      <c r="I512" t="s">
        <v>115</v>
      </c>
      <c r="J512">
        <v>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Y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H512">
        <v>0</v>
      </c>
      <c r="AI512">
        <v>13</v>
      </c>
      <c r="AJ512">
        <v>25</v>
      </c>
      <c r="AK512">
        <v>156</v>
      </c>
      <c r="AL512">
        <v>1</v>
      </c>
      <c r="AM512">
        <v>0</v>
      </c>
      <c r="AN512">
        <v>0</v>
      </c>
      <c r="AO512">
        <v>277</v>
      </c>
      <c r="AP512">
        <v>29</v>
      </c>
      <c r="AQ512">
        <v>9</v>
      </c>
      <c r="AR512">
        <v>7.9356616177133796</v>
      </c>
      <c r="AS512">
        <v>0</v>
      </c>
      <c r="AT512">
        <v>0.56317689530685899</v>
      </c>
      <c r="AU512">
        <v>4.9701789264413501E-2</v>
      </c>
      <c r="AV512">
        <v>6.1927118265146401E-2</v>
      </c>
      <c r="AW512">
        <v>0.117901666682223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5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C512">
        <v>0</v>
      </c>
      <c r="DD512">
        <v>0</v>
      </c>
      <c r="DE512">
        <v>0</v>
      </c>
      <c r="DF512">
        <v>0</v>
      </c>
      <c r="DH512">
        <v>21.6</v>
      </c>
      <c r="DI512">
        <v>34.6</v>
      </c>
    </row>
    <row r="513" spans="1:113" ht="15" customHeight="1" x14ac:dyDescent="0.25">
      <c r="A513" t="s">
        <v>3195</v>
      </c>
      <c r="B513" t="s">
        <v>3196</v>
      </c>
      <c r="C513" t="s">
        <v>3197</v>
      </c>
      <c r="D513" t="s">
        <v>1243</v>
      </c>
      <c r="E513" t="s">
        <v>1190</v>
      </c>
      <c r="F513" t="s">
        <v>3198</v>
      </c>
      <c r="G513">
        <v>2025</v>
      </c>
      <c r="H513" t="s">
        <v>1160</v>
      </c>
      <c r="I513" t="s">
        <v>143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Y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S513">
        <v>0</v>
      </c>
      <c r="AU513">
        <v>0</v>
      </c>
      <c r="AV513">
        <v>0</v>
      </c>
      <c r="AW513">
        <v>0</v>
      </c>
      <c r="AX513">
        <v>0</v>
      </c>
      <c r="AY513">
        <v>7</v>
      </c>
      <c r="AZ513">
        <v>0</v>
      </c>
      <c r="BA513">
        <v>8</v>
      </c>
      <c r="BB513">
        <v>1</v>
      </c>
      <c r="BC513">
        <v>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C513">
        <v>0</v>
      </c>
      <c r="DD513">
        <v>0</v>
      </c>
      <c r="DE513">
        <v>0</v>
      </c>
      <c r="DF513">
        <v>0</v>
      </c>
      <c r="DH513">
        <v>0</v>
      </c>
      <c r="DI513">
        <v>0</v>
      </c>
    </row>
    <row r="514" spans="1:113" ht="15" customHeight="1" x14ac:dyDescent="0.25">
      <c r="A514" t="s">
        <v>3199</v>
      </c>
      <c r="B514" t="s">
        <v>3200</v>
      </c>
      <c r="C514" t="s">
        <v>3201</v>
      </c>
      <c r="D514" t="s">
        <v>1234</v>
      </c>
      <c r="E514" t="s">
        <v>1234</v>
      </c>
      <c r="F514" t="s">
        <v>3202</v>
      </c>
      <c r="G514">
        <v>2025</v>
      </c>
      <c r="H514" t="s">
        <v>1160</v>
      </c>
      <c r="I514" t="s">
        <v>141</v>
      </c>
      <c r="J514">
        <v>14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Y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S514">
        <v>0</v>
      </c>
      <c r="AU514">
        <v>0</v>
      </c>
      <c r="AV514">
        <v>0</v>
      </c>
      <c r="AW514">
        <v>0</v>
      </c>
      <c r="AX514">
        <v>0</v>
      </c>
      <c r="AY514">
        <v>12</v>
      </c>
      <c r="AZ514">
        <v>0</v>
      </c>
      <c r="BA514">
        <v>23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C514">
        <v>0</v>
      </c>
      <c r="DD514">
        <v>0</v>
      </c>
      <c r="DE514">
        <v>0</v>
      </c>
      <c r="DF514">
        <v>0</v>
      </c>
      <c r="DH514">
        <v>0</v>
      </c>
      <c r="DI514">
        <v>0</v>
      </c>
    </row>
    <row r="515" spans="1:113" ht="15" customHeight="1" x14ac:dyDescent="0.25">
      <c r="A515" t="s">
        <v>3203</v>
      </c>
      <c r="B515" t="s">
        <v>3204</v>
      </c>
      <c r="C515" t="s">
        <v>612</v>
      </c>
      <c r="D515" t="s">
        <v>10</v>
      </c>
      <c r="E515" t="s">
        <v>10</v>
      </c>
      <c r="F515" t="s">
        <v>3205</v>
      </c>
      <c r="G515">
        <v>2025</v>
      </c>
      <c r="H515" t="s">
        <v>1160</v>
      </c>
      <c r="I515" t="s">
        <v>90</v>
      </c>
      <c r="J515">
        <v>12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Y515">
        <v>0</v>
      </c>
      <c r="AA515">
        <v>7</v>
      </c>
      <c r="AB515">
        <v>15</v>
      </c>
      <c r="AC515">
        <v>1</v>
      </c>
      <c r="AD515">
        <v>0</v>
      </c>
      <c r="AE515">
        <v>0</v>
      </c>
      <c r="AF515">
        <v>1</v>
      </c>
      <c r="AG515">
        <v>-1.3889128641167201</v>
      </c>
      <c r="AH515">
        <v>0</v>
      </c>
      <c r="AI515">
        <v>29</v>
      </c>
      <c r="AJ515">
        <v>33</v>
      </c>
      <c r="AK515">
        <v>206</v>
      </c>
      <c r="AL515">
        <v>3</v>
      </c>
      <c r="AM515">
        <v>0</v>
      </c>
      <c r="AN515">
        <v>0</v>
      </c>
      <c r="AO515">
        <v>58</v>
      </c>
      <c r="AP515">
        <v>194</v>
      </c>
      <c r="AQ515">
        <v>10</v>
      </c>
      <c r="AR515">
        <v>4.2510811096335601</v>
      </c>
      <c r="AS515">
        <v>0</v>
      </c>
      <c r="AT515">
        <v>3.5517241379310298</v>
      </c>
      <c r="AU515">
        <v>5.3484602917342E-2</v>
      </c>
      <c r="AV515">
        <v>1.24463519313305E-2</v>
      </c>
      <c r="AW515">
        <v>8.8939350727944302E-2</v>
      </c>
      <c r="AX515">
        <v>0</v>
      </c>
      <c r="AY515">
        <v>1</v>
      </c>
      <c r="AZ515">
        <v>0</v>
      </c>
      <c r="BA515">
        <v>2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1</v>
      </c>
      <c r="BU515">
        <v>5</v>
      </c>
      <c r="BV515">
        <v>16</v>
      </c>
      <c r="BW515">
        <v>185</v>
      </c>
      <c r="BX515">
        <v>31</v>
      </c>
      <c r="BY515">
        <v>811</v>
      </c>
      <c r="BZ515">
        <v>0</v>
      </c>
      <c r="CA515">
        <v>0</v>
      </c>
      <c r="CB515">
        <v>0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C515">
        <v>0</v>
      </c>
      <c r="DD515">
        <v>0</v>
      </c>
      <c r="DE515">
        <v>0</v>
      </c>
      <c r="DF515">
        <v>0</v>
      </c>
      <c r="DH515">
        <v>46.1</v>
      </c>
      <c r="DI515">
        <v>75.099999999999994</v>
      </c>
    </row>
    <row r="516" spans="1:113" ht="15" customHeight="1" x14ac:dyDescent="0.25">
      <c r="A516" t="s">
        <v>3206</v>
      </c>
      <c r="B516" t="s">
        <v>3207</v>
      </c>
      <c r="C516" t="s">
        <v>3208</v>
      </c>
      <c r="D516" t="s">
        <v>1234</v>
      </c>
      <c r="E516" t="s">
        <v>1234</v>
      </c>
      <c r="F516" t="s">
        <v>3209</v>
      </c>
      <c r="G516">
        <v>2025</v>
      </c>
      <c r="H516" t="s">
        <v>1160</v>
      </c>
      <c r="I516" t="s">
        <v>109</v>
      </c>
      <c r="J516">
        <v>17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Y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S516">
        <v>0</v>
      </c>
      <c r="AU516">
        <v>0</v>
      </c>
      <c r="AV516">
        <v>0</v>
      </c>
      <c r="AW516">
        <v>0</v>
      </c>
      <c r="AX516">
        <v>0</v>
      </c>
      <c r="AY516">
        <v>61</v>
      </c>
      <c r="AZ516">
        <v>2</v>
      </c>
      <c r="BA516">
        <v>62</v>
      </c>
      <c r="BB516">
        <v>7</v>
      </c>
      <c r="BC516">
        <v>33</v>
      </c>
      <c r="BD516">
        <v>2</v>
      </c>
      <c r="BE516">
        <v>2</v>
      </c>
      <c r="BF516">
        <v>17</v>
      </c>
      <c r="BG516">
        <v>4</v>
      </c>
      <c r="BH516">
        <v>3</v>
      </c>
      <c r="BI516">
        <v>164</v>
      </c>
      <c r="BJ516">
        <v>8</v>
      </c>
      <c r="BK516">
        <v>2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1</v>
      </c>
      <c r="BS516">
        <v>0</v>
      </c>
      <c r="BT516">
        <v>2</v>
      </c>
      <c r="BU516">
        <v>20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C516">
        <v>0</v>
      </c>
      <c r="DD516">
        <v>0</v>
      </c>
      <c r="DE516">
        <v>0</v>
      </c>
      <c r="DF516">
        <v>0</v>
      </c>
      <c r="DH516">
        <v>0</v>
      </c>
      <c r="DI516">
        <v>0</v>
      </c>
    </row>
    <row r="517" spans="1:113" ht="15" customHeight="1" x14ac:dyDescent="0.25">
      <c r="A517" t="s">
        <v>3210</v>
      </c>
      <c r="B517" t="s">
        <v>3211</v>
      </c>
      <c r="C517" t="s">
        <v>3212</v>
      </c>
      <c r="D517" t="s">
        <v>1655</v>
      </c>
      <c r="E517" t="s">
        <v>1220</v>
      </c>
      <c r="F517" t="s">
        <v>3213</v>
      </c>
      <c r="G517">
        <v>2025</v>
      </c>
      <c r="H517" t="s">
        <v>1160</v>
      </c>
      <c r="I517" t="s">
        <v>118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Y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3</v>
      </c>
      <c r="BU517">
        <v>18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C517">
        <v>0</v>
      </c>
      <c r="DD517">
        <v>0</v>
      </c>
      <c r="DE517">
        <v>0</v>
      </c>
      <c r="DF517">
        <v>0</v>
      </c>
      <c r="DH517">
        <v>0</v>
      </c>
      <c r="DI517">
        <v>0</v>
      </c>
    </row>
    <row r="518" spans="1:113" ht="15" customHeight="1" x14ac:dyDescent="0.25">
      <c r="A518" t="s">
        <v>3214</v>
      </c>
      <c r="B518" t="s">
        <v>3215</v>
      </c>
      <c r="C518" t="s">
        <v>879</v>
      </c>
      <c r="D518" t="s">
        <v>10</v>
      </c>
      <c r="E518" t="s">
        <v>10</v>
      </c>
      <c r="F518" t="s">
        <v>3216</v>
      </c>
      <c r="G518">
        <v>2025</v>
      </c>
      <c r="H518" t="s">
        <v>1160</v>
      </c>
      <c r="I518" t="s">
        <v>139</v>
      </c>
      <c r="J518">
        <v>14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Y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H518">
        <v>0</v>
      </c>
      <c r="AI518">
        <v>37</v>
      </c>
      <c r="AJ518">
        <v>63</v>
      </c>
      <c r="AK518">
        <v>538</v>
      </c>
      <c r="AL518">
        <v>1</v>
      </c>
      <c r="AM518">
        <v>1</v>
      </c>
      <c r="AN518">
        <v>1</v>
      </c>
      <c r="AO518">
        <v>843</v>
      </c>
      <c r="AP518">
        <v>198</v>
      </c>
      <c r="AQ518">
        <v>23</v>
      </c>
      <c r="AR518">
        <v>18.0014051749713</v>
      </c>
      <c r="AS518">
        <v>2</v>
      </c>
      <c r="AT518">
        <v>0.63819691577698701</v>
      </c>
      <c r="AU518">
        <v>0.125248508946322</v>
      </c>
      <c r="AV518">
        <v>0.188464118041583</v>
      </c>
      <c r="AW518">
        <v>0.31979764604859101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4</v>
      </c>
      <c r="BU518">
        <v>35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C518">
        <v>0</v>
      </c>
      <c r="DD518">
        <v>0</v>
      </c>
      <c r="DE518">
        <v>0</v>
      </c>
      <c r="DF518">
        <v>0</v>
      </c>
      <c r="DH518">
        <v>61.8</v>
      </c>
      <c r="DI518">
        <v>98.8</v>
      </c>
    </row>
    <row r="519" spans="1:113" ht="15" customHeight="1" x14ac:dyDescent="0.25">
      <c r="A519" t="s">
        <v>3217</v>
      </c>
      <c r="B519" t="s">
        <v>3218</v>
      </c>
      <c r="C519" t="s">
        <v>489</v>
      </c>
      <c r="D519" t="s">
        <v>431</v>
      </c>
      <c r="E519" t="s">
        <v>431</v>
      </c>
      <c r="F519" t="s">
        <v>3219</v>
      </c>
      <c r="G519">
        <v>2025</v>
      </c>
      <c r="H519" t="s">
        <v>1160</v>
      </c>
      <c r="I519" t="s">
        <v>99</v>
      </c>
      <c r="J519">
        <v>17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Y519">
        <v>0</v>
      </c>
      <c r="AA519">
        <v>50</v>
      </c>
      <c r="AB519">
        <v>200</v>
      </c>
      <c r="AC519">
        <v>3</v>
      </c>
      <c r="AD519">
        <v>0</v>
      </c>
      <c r="AE519">
        <v>0</v>
      </c>
      <c r="AF519">
        <v>13</v>
      </c>
      <c r="AG519">
        <v>2.7632496603182499</v>
      </c>
      <c r="AH519">
        <v>0</v>
      </c>
      <c r="AI519">
        <v>24</v>
      </c>
      <c r="AJ519">
        <v>33</v>
      </c>
      <c r="AK519">
        <v>263</v>
      </c>
      <c r="AL519">
        <v>2</v>
      </c>
      <c r="AM519">
        <v>1</v>
      </c>
      <c r="AN519">
        <v>0</v>
      </c>
      <c r="AO519">
        <v>-39</v>
      </c>
      <c r="AP519">
        <v>301</v>
      </c>
      <c r="AQ519">
        <v>11</v>
      </c>
      <c r="AR519">
        <v>11.449483987875301</v>
      </c>
      <c r="AS519">
        <v>0</v>
      </c>
      <c r="AT519">
        <v>-6.7435897435897401</v>
      </c>
      <c r="AU519">
        <v>6.8893528183716093E-2</v>
      </c>
      <c r="AV519">
        <v>-1.07913669064748E-2</v>
      </c>
      <c r="AW519">
        <v>9.5786335441041801E-2</v>
      </c>
      <c r="AX519">
        <v>0</v>
      </c>
      <c r="AY519">
        <v>1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1</v>
      </c>
      <c r="BU519">
        <v>15</v>
      </c>
      <c r="BV519">
        <v>0</v>
      </c>
      <c r="BW519">
        <v>0</v>
      </c>
      <c r="BX519">
        <v>11</v>
      </c>
      <c r="BY519">
        <v>240</v>
      </c>
      <c r="BZ519">
        <v>0</v>
      </c>
      <c r="CA519">
        <v>0</v>
      </c>
      <c r="CB519">
        <v>0</v>
      </c>
      <c r="CC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C519">
        <v>0</v>
      </c>
      <c r="DD519">
        <v>0</v>
      </c>
      <c r="DE519">
        <v>0</v>
      </c>
      <c r="DF519">
        <v>0</v>
      </c>
      <c r="DH519">
        <v>76.3</v>
      </c>
      <c r="DI519">
        <v>100.3</v>
      </c>
    </row>
    <row r="520" spans="1:113" ht="15" customHeight="1" x14ac:dyDescent="0.25">
      <c r="A520" t="s">
        <v>3220</v>
      </c>
      <c r="B520" t="s">
        <v>3221</v>
      </c>
      <c r="C520" t="s">
        <v>3222</v>
      </c>
      <c r="D520" t="s">
        <v>1307</v>
      </c>
      <c r="E520" t="s">
        <v>1307</v>
      </c>
      <c r="F520" t="s">
        <v>3223</v>
      </c>
      <c r="G520">
        <v>2025</v>
      </c>
      <c r="H520" t="s">
        <v>1160</v>
      </c>
      <c r="I520" t="s">
        <v>142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Y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S520">
        <v>0</v>
      </c>
      <c r="AU520">
        <v>0</v>
      </c>
      <c r="AV520">
        <v>0</v>
      </c>
      <c r="AW520">
        <v>0</v>
      </c>
      <c r="AX520">
        <v>0</v>
      </c>
      <c r="AY520">
        <v>9</v>
      </c>
      <c r="AZ520">
        <v>0</v>
      </c>
      <c r="BA520">
        <v>0</v>
      </c>
      <c r="BB520">
        <v>2</v>
      </c>
      <c r="BC520">
        <v>3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C520">
        <v>0</v>
      </c>
      <c r="DD520">
        <v>0</v>
      </c>
      <c r="DE520">
        <v>0</v>
      </c>
      <c r="DF520">
        <v>0</v>
      </c>
      <c r="DH520">
        <v>0</v>
      </c>
      <c r="DI520">
        <v>0</v>
      </c>
    </row>
    <row r="521" spans="1:113" ht="15" customHeight="1" x14ac:dyDescent="0.25">
      <c r="A521" t="s">
        <v>3224</v>
      </c>
      <c r="B521" t="s">
        <v>3225</v>
      </c>
      <c r="C521" t="s">
        <v>617</v>
      </c>
      <c r="D521" t="s">
        <v>10</v>
      </c>
      <c r="E521" t="s">
        <v>10</v>
      </c>
      <c r="F521" t="s">
        <v>3226</v>
      </c>
      <c r="G521">
        <v>2025</v>
      </c>
      <c r="H521" t="s">
        <v>1160</v>
      </c>
      <c r="I521" t="s">
        <v>111</v>
      </c>
      <c r="J521">
        <v>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Y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H521">
        <v>0</v>
      </c>
      <c r="AI521">
        <v>4</v>
      </c>
      <c r="AJ521">
        <v>4</v>
      </c>
      <c r="AK521">
        <v>36</v>
      </c>
      <c r="AL521">
        <v>0</v>
      </c>
      <c r="AM521">
        <v>0</v>
      </c>
      <c r="AN521">
        <v>0</v>
      </c>
      <c r="AO521">
        <v>32</v>
      </c>
      <c r="AP521">
        <v>4</v>
      </c>
      <c r="AQ521">
        <v>2</v>
      </c>
      <c r="AR521">
        <v>4.5027425982989397</v>
      </c>
      <c r="AS521">
        <v>0</v>
      </c>
      <c r="AT521">
        <v>1.125</v>
      </c>
      <c r="AU521">
        <v>7.2727272727272701E-3</v>
      </c>
      <c r="AV521">
        <v>8.5744908896034297E-3</v>
      </c>
      <c r="AW521">
        <v>1.6911234531813299E-2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3</v>
      </c>
      <c r="BW521">
        <v>50</v>
      </c>
      <c r="BX521">
        <v>16</v>
      </c>
      <c r="BY521">
        <v>447</v>
      </c>
      <c r="BZ521">
        <v>0</v>
      </c>
      <c r="CA521">
        <v>0</v>
      </c>
      <c r="CB521">
        <v>0</v>
      </c>
      <c r="CC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C521">
        <v>0</v>
      </c>
      <c r="DD521">
        <v>0</v>
      </c>
      <c r="DE521">
        <v>0</v>
      </c>
      <c r="DF521">
        <v>0</v>
      </c>
      <c r="DH521">
        <v>3.6</v>
      </c>
      <c r="DI521">
        <v>7.6</v>
      </c>
    </row>
    <row r="522" spans="1:113" ht="15" customHeight="1" x14ac:dyDescent="0.25">
      <c r="A522" t="s">
        <v>3227</v>
      </c>
      <c r="B522" t="s">
        <v>3228</v>
      </c>
      <c r="C522" t="s">
        <v>3229</v>
      </c>
      <c r="D522" t="s">
        <v>431</v>
      </c>
      <c r="E522" t="s">
        <v>431</v>
      </c>
      <c r="F522" t="s">
        <v>3230</v>
      </c>
      <c r="G522">
        <v>2025</v>
      </c>
      <c r="H522" t="s">
        <v>1160</v>
      </c>
      <c r="I522" t="s">
        <v>111</v>
      </c>
      <c r="J522">
        <v>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Y522">
        <v>0</v>
      </c>
      <c r="AA522">
        <v>3</v>
      </c>
      <c r="AB522">
        <v>4</v>
      </c>
      <c r="AC522">
        <v>0</v>
      </c>
      <c r="AD522">
        <v>0</v>
      </c>
      <c r="AE522">
        <v>0</v>
      </c>
      <c r="AF522">
        <v>0</v>
      </c>
      <c r="AG522">
        <v>-2.35838936804794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>
        <v>0</v>
      </c>
      <c r="AU522">
        <v>0</v>
      </c>
      <c r="AV522">
        <v>0</v>
      </c>
      <c r="AW522">
        <v>0</v>
      </c>
      <c r="AX522">
        <v>0</v>
      </c>
      <c r="AY522">
        <v>4</v>
      </c>
      <c r="AZ522">
        <v>0</v>
      </c>
      <c r="BA522">
        <v>2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</v>
      </c>
      <c r="BU522">
        <v>5</v>
      </c>
      <c r="BV522">
        <v>0</v>
      </c>
      <c r="BW522">
        <v>0</v>
      </c>
      <c r="BX522">
        <v>5</v>
      </c>
      <c r="BY522">
        <v>118</v>
      </c>
      <c r="BZ522">
        <v>0</v>
      </c>
      <c r="CA522">
        <v>0</v>
      </c>
      <c r="CB522">
        <v>0</v>
      </c>
      <c r="CC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C522">
        <v>0</v>
      </c>
      <c r="DD522">
        <v>0</v>
      </c>
      <c r="DE522">
        <v>0</v>
      </c>
      <c r="DF522">
        <v>0</v>
      </c>
      <c r="DH522">
        <v>0.4</v>
      </c>
      <c r="DI522">
        <v>0.4</v>
      </c>
    </row>
    <row r="523" spans="1:113" ht="15" customHeight="1" x14ac:dyDescent="0.25">
      <c r="A523" t="s">
        <v>3231</v>
      </c>
      <c r="B523" t="s">
        <v>3232</v>
      </c>
      <c r="C523" t="s">
        <v>3233</v>
      </c>
      <c r="D523" t="s">
        <v>1655</v>
      </c>
      <c r="E523" t="s">
        <v>1220</v>
      </c>
      <c r="F523" t="s">
        <v>3234</v>
      </c>
      <c r="G523">
        <v>2025</v>
      </c>
      <c r="H523" t="s">
        <v>1160</v>
      </c>
      <c r="I523" t="s">
        <v>114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Y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S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2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C523">
        <v>0</v>
      </c>
      <c r="DD523">
        <v>0</v>
      </c>
      <c r="DE523">
        <v>0</v>
      </c>
      <c r="DF523">
        <v>0</v>
      </c>
      <c r="DH523">
        <v>0</v>
      </c>
      <c r="DI523">
        <v>0</v>
      </c>
    </row>
    <row r="524" spans="1:113" ht="15" customHeight="1" x14ac:dyDescent="0.25">
      <c r="A524" t="s">
        <v>3235</v>
      </c>
      <c r="B524" t="s">
        <v>3236</v>
      </c>
      <c r="C524" t="s">
        <v>923</v>
      </c>
      <c r="D524" t="s">
        <v>431</v>
      </c>
      <c r="E524" t="s">
        <v>431</v>
      </c>
      <c r="F524" t="s">
        <v>3237</v>
      </c>
      <c r="G524">
        <v>2025</v>
      </c>
      <c r="H524" t="s">
        <v>1160</v>
      </c>
      <c r="I524" t="s">
        <v>104</v>
      </c>
      <c r="J524">
        <v>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Y524">
        <v>0</v>
      </c>
      <c r="AA524">
        <v>1</v>
      </c>
      <c r="AB524">
        <v>-2</v>
      </c>
      <c r="AC524">
        <v>0</v>
      </c>
      <c r="AD524">
        <v>0</v>
      </c>
      <c r="AE524">
        <v>0</v>
      </c>
      <c r="AF524">
        <v>0</v>
      </c>
      <c r="AG524">
        <v>-1.3661332725416899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S524">
        <v>0</v>
      </c>
      <c r="AU524">
        <v>0</v>
      </c>
      <c r="AV524">
        <v>0</v>
      </c>
      <c r="AW524">
        <v>0</v>
      </c>
      <c r="AX524">
        <v>0</v>
      </c>
      <c r="AY524">
        <v>5</v>
      </c>
      <c r="AZ524">
        <v>0</v>
      </c>
      <c r="BA524">
        <v>5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</v>
      </c>
      <c r="BU524">
        <v>10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C524">
        <v>0</v>
      </c>
      <c r="DD524">
        <v>0</v>
      </c>
      <c r="DE524">
        <v>0</v>
      </c>
      <c r="DF524">
        <v>0</v>
      </c>
      <c r="DH524">
        <v>-0.2</v>
      </c>
      <c r="DI524">
        <v>-0.2</v>
      </c>
    </row>
    <row r="525" spans="1:113" ht="15" customHeight="1" x14ac:dyDescent="0.25">
      <c r="A525" t="s">
        <v>3238</v>
      </c>
      <c r="B525" t="s">
        <v>3239</v>
      </c>
      <c r="C525" t="s">
        <v>3240</v>
      </c>
      <c r="D525" t="s">
        <v>10</v>
      </c>
      <c r="E525" t="s">
        <v>10</v>
      </c>
      <c r="F525" t="s">
        <v>3241</v>
      </c>
      <c r="G525">
        <v>2025</v>
      </c>
      <c r="H525" t="s">
        <v>1160</v>
      </c>
      <c r="I525" t="s">
        <v>89</v>
      </c>
      <c r="J525">
        <v>11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Y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H525">
        <v>0</v>
      </c>
      <c r="AI525">
        <v>2</v>
      </c>
      <c r="AJ525">
        <v>3</v>
      </c>
      <c r="AK525">
        <v>12</v>
      </c>
      <c r="AL525">
        <v>0</v>
      </c>
      <c r="AM525">
        <v>0</v>
      </c>
      <c r="AN525">
        <v>0</v>
      </c>
      <c r="AO525">
        <v>14</v>
      </c>
      <c r="AP525">
        <v>2</v>
      </c>
      <c r="AQ525">
        <v>2</v>
      </c>
      <c r="AR525">
        <v>1.06502898357576</v>
      </c>
      <c r="AS525">
        <v>0</v>
      </c>
      <c r="AT525">
        <v>0.85714285714285698</v>
      </c>
      <c r="AU525">
        <v>6.0728744939271299E-3</v>
      </c>
      <c r="AV525">
        <v>4.3640897755611004E-3</v>
      </c>
      <c r="AW525">
        <v>1.2164174583783501E-2</v>
      </c>
      <c r="AX525">
        <v>0</v>
      </c>
      <c r="AY525">
        <v>0</v>
      </c>
      <c r="AZ525">
        <v>0</v>
      </c>
      <c r="BA525">
        <v>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1</v>
      </c>
      <c r="BU525">
        <v>5</v>
      </c>
      <c r="BV525">
        <v>22</v>
      </c>
      <c r="BW525">
        <v>124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C525">
        <v>0</v>
      </c>
      <c r="DD525">
        <v>0</v>
      </c>
      <c r="DE525">
        <v>0</v>
      </c>
      <c r="DF525">
        <v>0</v>
      </c>
      <c r="DH525">
        <v>1.2</v>
      </c>
      <c r="DI525">
        <v>3.2</v>
      </c>
    </row>
    <row r="526" spans="1:113" ht="15" customHeight="1" x14ac:dyDescent="0.25">
      <c r="A526" t="s">
        <v>3242</v>
      </c>
      <c r="B526" t="s">
        <v>3243</v>
      </c>
      <c r="C526" t="s">
        <v>3244</v>
      </c>
      <c r="D526" t="s">
        <v>1234</v>
      </c>
      <c r="E526" t="s">
        <v>1234</v>
      </c>
      <c r="F526" t="s">
        <v>3245</v>
      </c>
      <c r="G526">
        <v>2025</v>
      </c>
      <c r="H526" t="s">
        <v>1160</v>
      </c>
      <c r="I526" t="s">
        <v>1200</v>
      </c>
      <c r="J526">
        <v>14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Y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S526">
        <v>0</v>
      </c>
      <c r="AU526">
        <v>0</v>
      </c>
      <c r="AV526">
        <v>0</v>
      </c>
      <c r="AW526">
        <v>0</v>
      </c>
      <c r="AX526">
        <v>0</v>
      </c>
      <c r="AY526">
        <v>17</v>
      </c>
      <c r="AZ526">
        <v>0</v>
      </c>
      <c r="BA526">
        <v>8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</v>
      </c>
      <c r="BU526">
        <v>10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C526">
        <v>0</v>
      </c>
      <c r="DD526">
        <v>0</v>
      </c>
      <c r="DE526">
        <v>0</v>
      </c>
      <c r="DF526">
        <v>0</v>
      </c>
      <c r="DH526">
        <v>0</v>
      </c>
      <c r="DI526">
        <v>0</v>
      </c>
    </row>
    <row r="527" spans="1:113" ht="15" customHeight="1" x14ac:dyDescent="0.25">
      <c r="A527" t="s">
        <v>3246</v>
      </c>
      <c r="B527" t="s">
        <v>3247</v>
      </c>
      <c r="C527" t="s">
        <v>3248</v>
      </c>
      <c r="D527" t="s">
        <v>1684</v>
      </c>
      <c r="E527" t="s">
        <v>1307</v>
      </c>
      <c r="F527" t="s">
        <v>3249</v>
      </c>
      <c r="G527">
        <v>2025</v>
      </c>
      <c r="H527" t="s">
        <v>1160</v>
      </c>
      <c r="I527" t="s">
        <v>103</v>
      </c>
      <c r="J527">
        <v>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Y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S527">
        <v>0</v>
      </c>
      <c r="AU527">
        <v>0</v>
      </c>
      <c r="AV527">
        <v>0</v>
      </c>
      <c r="AW527">
        <v>0</v>
      </c>
      <c r="AX527">
        <v>0</v>
      </c>
      <c r="AY527">
        <v>23</v>
      </c>
      <c r="AZ527">
        <v>0</v>
      </c>
      <c r="BA527">
        <v>15</v>
      </c>
      <c r="BB527">
        <v>1</v>
      </c>
      <c r="BC527">
        <v>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C527">
        <v>0</v>
      </c>
      <c r="DD527">
        <v>0</v>
      </c>
      <c r="DE527">
        <v>0</v>
      </c>
      <c r="DF527">
        <v>0</v>
      </c>
      <c r="DH527">
        <v>0</v>
      </c>
      <c r="DI527">
        <v>0</v>
      </c>
    </row>
    <row r="528" spans="1:113" ht="15" customHeight="1" x14ac:dyDescent="0.25">
      <c r="A528" t="s">
        <v>3250</v>
      </c>
      <c r="B528" t="s">
        <v>3251</v>
      </c>
      <c r="C528" t="s">
        <v>3252</v>
      </c>
      <c r="D528" t="s">
        <v>431</v>
      </c>
      <c r="E528" t="s">
        <v>431</v>
      </c>
      <c r="F528" t="s">
        <v>3253</v>
      </c>
      <c r="G528">
        <v>2025</v>
      </c>
      <c r="H528" t="s">
        <v>1160</v>
      </c>
      <c r="I528" t="s">
        <v>114</v>
      </c>
      <c r="J528">
        <v>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Y528">
        <v>0</v>
      </c>
      <c r="AA528">
        <v>14</v>
      </c>
      <c r="AB528">
        <v>25</v>
      </c>
      <c r="AC528">
        <v>0</v>
      </c>
      <c r="AD528">
        <v>0</v>
      </c>
      <c r="AE528">
        <v>0</v>
      </c>
      <c r="AF528">
        <v>0</v>
      </c>
      <c r="AG528">
        <v>-5.49805589544121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S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5</v>
      </c>
      <c r="BY528">
        <v>128</v>
      </c>
      <c r="BZ528">
        <v>0</v>
      </c>
      <c r="CA528">
        <v>0</v>
      </c>
      <c r="CB528">
        <v>0</v>
      </c>
      <c r="CC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C528">
        <v>0</v>
      </c>
      <c r="DD528">
        <v>0</v>
      </c>
      <c r="DE528">
        <v>0</v>
      </c>
      <c r="DF528">
        <v>0</v>
      </c>
      <c r="DH528">
        <v>2.5</v>
      </c>
      <c r="DI528">
        <v>2.5</v>
      </c>
    </row>
    <row r="529" spans="1:113" ht="15" customHeight="1" x14ac:dyDescent="0.25">
      <c r="A529" t="s">
        <v>3254</v>
      </c>
      <c r="B529" t="s">
        <v>3255</v>
      </c>
      <c r="C529" t="s">
        <v>3256</v>
      </c>
      <c r="D529" t="s">
        <v>1219</v>
      </c>
      <c r="E529" t="s">
        <v>1220</v>
      </c>
      <c r="F529" t="s">
        <v>3257</v>
      </c>
      <c r="G529">
        <v>2025</v>
      </c>
      <c r="H529" t="s">
        <v>1160</v>
      </c>
      <c r="I529" t="s">
        <v>90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Y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S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4</v>
      </c>
      <c r="BU529">
        <v>25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C529">
        <v>0</v>
      </c>
      <c r="DD529">
        <v>0</v>
      </c>
      <c r="DE529">
        <v>0</v>
      </c>
      <c r="DF529">
        <v>0</v>
      </c>
      <c r="DH529">
        <v>0</v>
      </c>
      <c r="DI529">
        <v>0</v>
      </c>
    </row>
    <row r="530" spans="1:113" ht="15" customHeight="1" x14ac:dyDescent="0.25">
      <c r="A530" t="s">
        <v>3258</v>
      </c>
      <c r="B530" t="s">
        <v>3259</v>
      </c>
      <c r="C530" t="s">
        <v>3260</v>
      </c>
      <c r="D530" t="s">
        <v>1297</v>
      </c>
      <c r="E530" t="s">
        <v>1220</v>
      </c>
      <c r="F530" t="s">
        <v>3261</v>
      </c>
      <c r="G530">
        <v>2025</v>
      </c>
      <c r="H530" t="s">
        <v>1160</v>
      </c>
      <c r="I530" t="s">
        <v>93</v>
      </c>
      <c r="J530">
        <v>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Y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S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5</v>
      </c>
      <c r="BU530">
        <v>34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C530">
        <v>0</v>
      </c>
      <c r="DD530">
        <v>0</v>
      </c>
      <c r="DE530">
        <v>0</v>
      </c>
      <c r="DF530">
        <v>0</v>
      </c>
      <c r="DH530">
        <v>0</v>
      </c>
      <c r="DI530">
        <v>0</v>
      </c>
    </row>
    <row r="531" spans="1:113" ht="15" customHeight="1" x14ac:dyDescent="0.25">
      <c r="A531" t="s">
        <v>3262</v>
      </c>
      <c r="B531" t="s">
        <v>3263</v>
      </c>
      <c r="C531" t="s">
        <v>553</v>
      </c>
      <c r="D531" t="s">
        <v>439</v>
      </c>
      <c r="E531" t="s">
        <v>439</v>
      </c>
      <c r="F531" t="s">
        <v>3264</v>
      </c>
      <c r="G531">
        <v>2025</v>
      </c>
      <c r="H531" t="s">
        <v>1160</v>
      </c>
      <c r="I531" t="s">
        <v>107</v>
      </c>
      <c r="J531">
        <v>12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Y531">
        <v>0</v>
      </c>
      <c r="AA531">
        <v>1</v>
      </c>
      <c r="AB531">
        <v>3</v>
      </c>
      <c r="AC531">
        <v>0</v>
      </c>
      <c r="AD531">
        <v>0</v>
      </c>
      <c r="AE531">
        <v>0</v>
      </c>
      <c r="AF531">
        <v>0</v>
      </c>
      <c r="AG531">
        <v>-0.58371071494184401</v>
      </c>
      <c r="AH531">
        <v>0</v>
      </c>
      <c r="AI531">
        <v>15</v>
      </c>
      <c r="AJ531">
        <v>20</v>
      </c>
      <c r="AK531">
        <v>106</v>
      </c>
      <c r="AL531">
        <v>1</v>
      </c>
      <c r="AM531">
        <v>0</v>
      </c>
      <c r="AN531">
        <v>0</v>
      </c>
      <c r="AO531">
        <v>-7</v>
      </c>
      <c r="AP531">
        <v>109</v>
      </c>
      <c r="AQ531">
        <v>5</v>
      </c>
      <c r="AR531">
        <v>2.6518070569727601</v>
      </c>
      <c r="AS531">
        <v>0</v>
      </c>
      <c r="AT531">
        <v>0</v>
      </c>
      <c r="AU531">
        <v>3.2894736842105303E-2</v>
      </c>
      <c r="AV531">
        <v>-1.4871468026343699E-3</v>
      </c>
      <c r="AW531">
        <v>4.8301102501313802E-2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</v>
      </c>
      <c r="BU531">
        <v>10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C531">
        <v>0</v>
      </c>
      <c r="DD531">
        <v>0</v>
      </c>
      <c r="DE531">
        <v>0</v>
      </c>
      <c r="DF531">
        <v>0</v>
      </c>
      <c r="DH531">
        <v>16.899999999999999</v>
      </c>
      <c r="DI531">
        <v>31.9</v>
      </c>
    </row>
    <row r="532" spans="1:113" ht="15" customHeight="1" x14ac:dyDescent="0.25">
      <c r="A532" t="s">
        <v>3265</v>
      </c>
      <c r="B532" t="s">
        <v>3266</v>
      </c>
      <c r="C532" t="s">
        <v>3267</v>
      </c>
      <c r="D532" t="s">
        <v>1684</v>
      </c>
      <c r="E532" t="s">
        <v>1307</v>
      </c>
      <c r="F532" t="s">
        <v>3268</v>
      </c>
      <c r="G532">
        <v>2025</v>
      </c>
      <c r="H532" t="s">
        <v>1160</v>
      </c>
      <c r="I532" t="s">
        <v>142</v>
      </c>
      <c r="J532">
        <v>16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Y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S532">
        <v>0</v>
      </c>
      <c r="AU532">
        <v>0</v>
      </c>
      <c r="AV532">
        <v>0</v>
      </c>
      <c r="AW532">
        <v>0</v>
      </c>
      <c r="AX532">
        <v>0</v>
      </c>
      <c r="AY532">
        <v>58</v>
      </c>
      <c r="AZ532">
        <v>0</v>
      </c>
      <c r="BA532">
        <v>23</v>
      </c>
      <c r="BB532">
        <v>3</v>
      </c>
      <c r="BC532">
        <v>11</v>
      </c>
      <c r="BD532">
        <v>0</v>
      </c>
      <c r="BE532">
        <v>1</v>
      </c>
      <c r="BF532">
        <v>8</v>
      </c>
      <c r="BG532">
        <v>1</v>
      </c>
      <c r="BH532">
        <v>0</v>
      </c>
      <c r="BI532">
        <v>0</v>
      </c>
      <c r="BJ532">
        <v>8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</v>
      </c>
      <c r="BU532">
        <v>15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C532">
        <v>0</v>
      </c>
      <c r="DD532">
        <v>0</v>
      </c>
      <c r="DE532">
        <v>0</v>
      </c>
      <c r="DF532">
        <v>0</v>
      </c>
      <c r="DH532">
        <v>0</v>
      </c>
      <c r="DI532">
        <v>0</v>
      </c>
    </row>
    <row r="533" spans="1:113" ht="15" customHeight="1" x14ac:dyDescent="0.25">
      <c r="A533" t="s">
        <v>3269</v>
      </c>
      <c r="B533" t="s">
        <v>3270</v>
      </c>
      <c r="C533" t="s">
        <v>3271</v>
      </c>
      <c r="D533" t="s">
        <v>1307</v>
      </c>
      <c r="E533" t="s">
        <v>1307</v>
      </c>
      <c r="F533" t="s">
        <v>3272</v>
      </c>
      <c r="G533">
        <v>2025</v>
      </c>
      <c r="H533" t="s">
        <v>1160</v>
      </c>
      <c r="I533" t="s">
        <v>112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Y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S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C533">
        <v>0</v>
      </c>
      <c r="DD533">
        <v>0</v>
      </c>
      <c r="DE533">
        <v>0</v>
      </c>
      <c r="DF533">
        <v>0</v>
      </c>
      <c r="DH533">
        <v>0</v>
      </c>
      <c r="DI533">
        <v>0</v>
      </c>
    </row>
    <row r="534" spans="1:113" ht="15" customHeight="1" x14ac:dyDescent="0.25">
      <c r="A534" t="s">
        <v>3273</v>
      </c>
      <c r="B534" t="s">
        <v>3274</v>
      </c>
      <c r="C534" t="s">
        <v>3275</v>
      </c>
      <c r="D534" t="s">
        <v>1189</v>
      </c>
      <c r="E534" t="s">
        <v>1190</v>
      </c>
      <c r="F534" t="s">
        <v>3276</v>
      </c>
      <c r="G534">
        <v>2025</v>
      </c>
      <c r="H534" t="s">
        <v>1160</v>
      </c>
      <c r="I534" t="s">
        <v>90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Y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S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5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C534">
        <v>0</v>
      </c>
      <c r="DD534">
        <v>0</v>
      </c>
      <c r="DE534">
        <v>0</v>
      </c>
      <c r="DF534">
        <v>0</v>
      </c>
      <c r="DH534">
        <v>0</v>
      </c>
      <c r="DI534">
        <v>0</v>
      </c>
    </row>
    <row r="535" spans="1:113" ht="15" customHeight="1" x14ac:dyDescent="0.25">
      <c r="A535" t="s">
        <v>3277</v>
      </c>
      <c r="B535" t="s">
        <v>3278</v>
      </c>
      <c r="C535" t="s">
        <v>3279</v>
      </c>
      <c r="D535" t="s">
        <v>1350</v>
      </c>
      <c r="E535" t="s">
        <v>1307</v>
      </c>
      <c r="F535" t="s">
        <v>3280</v>
      </c>
      <c r="G535">
        <v>2025</v>
      </c>
      <c r="H535" t="s">
        <v>1160</v>
      </c>
      <c r="I535" t="s">
        <v>111</v>
      </c>
      <c r="J535">
        <v>15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Y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S535">
        <v>0</v>
      </c>
      <c r="AU535">
        <v>0</v>
      </c>
      <c r="AV535">
        <v>0</v>
      </c>
      <c r="AW535">
        <v>0</v>
      </c>
      <c r="AX535">
        <v>0</v>
      </c>
      <c r="AY535">
        <v>26</v>
      </c>
      <c r="AZ535">
        <v>1</v>
      </c>
      <c r="BA535">
        <v>20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</v>
      </c>
      <c r="BH535">
        <v>0</v>
      </c>
      <c r="BI535">
        <v>0</v>
      </c>
      <c r="BJ535">
        <v>9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7</v>
      </c>
      <c r="BU535">
        <v>84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C535">
        <v>0</v>
      </c>
      <c r="DD535">
        <v>0</v>
      </c>
      <c r="DE535">
        <v>0</v>
      </c>
      <c r="DF535">
        <v>0</v>
      </c>
      <c r="DH535">
        <v>0</v>
      </c>
      <c r="DI535">
        <v>0</v>
      </c>
    </row>
    <row r="536" spans="1:113" ht="15" customHeight="1" x14ac:dyDescent="0.25">
      <c r="A536" t="s">
        <v>3281</v>
      </c>
      <c r="B536" t="s">
        <v>3282</v>
      </c>
      <c r="C536" t="s">
        <v>577</v>
      </c>
      <c r="D536" t="s">
        <v>10</v>
      </c>
      <c r="E536" t="s">
        <v>10</v>
      </c>
      <c r="F536" t="s">
        <v>3283</v>
      </c>
      <c r="G536">
        <v>2025</v>
      </c>
      <c r="H536" t="s">
        <v>1160</v>
      </c>
      <c r="I536" t="s">
        <v>112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Y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S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C536">
        <v>0</v>
      </c>
      <c r="DD536">
        <v>0</v>
      </c>
      <c r="DE536">
        <v>0</v>
      </c>
      <c r="DF536">
        <v>0</v>
      </c>
      <c r="DH536">
        <v>0</v>
      </c>
      <c r="DI536">
        <v>0</v>
      </c>
    </row>
    <row r="537" spans="1:113" ht="15" customHeight="1" x14ac:dyDescent="0.25">
      <c r="A537" t="s">
        <v>3284</v>
      </c>
      <c r="B537" t="s">
        <v>3285</v>
      </c>
      <c r="C537" t="s">
        <v>926</v>
      </c>
      <c r="D537" t="s">
        <v>10</v>
      </c>
      <c r="E537" t="s">
        <v>10</v>
      </c>
      <c r="F537" t="s">
        <v>3286</v>
      </c>
      <c r="G537">
        <v>2025</v>
      </c>
      <c r="H537" t="s">
        <v>1160</v>
      </c>
      <c r="I537" t="s">
        <v>103</v>
      </c>
      <c r="J537">
        <v>15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Y537">
        <v>0</v>
      </c>
      <c r="AA537">
        <v>2</v>
      </c>
      <c r="AB537">
        <v>12</v>
      </c>
      <c r="AC537">
        <v>1</v>
      </c>
      <c r="AD537">
        <v>0</v>
      </c>
      <c r="AE537">
        <v>0</v>
      </c>
      <c r="AF537">
        <v>1</v>
      </c>
      <c r="AG537">
        <v>1.6868094765813999</v>
      </c>
      <c r="AH537">
        <v>0</v>
      </c>
      <c r="AI537">
        <v>59</v>
      </c>
      <c r="AJ537">
        <v>99</v>
      </c>
      <c r="AK537">
        <v>850</v>
      </c>
      <c r="AL537">
        <v>6</v>
      </c>
      <c r="AM537">
        <v>0</v>
      </c>
      <c r="AN537">
        <v>0</v>
      </c>
      <c r="AO537">
        <v>1044</v>
      </c>
      <c r="AP537">
        <v>414</v>
      </c>
      <c r="AQ537">
        <v>37</v>
      </c>
      <c r="AR537">
        <v>32.925839313528201</v>
      </c>
      <c r="AS537">
        <v>0</v>
      </c>
      <c r="AT537">
        <v>0.81417624521072796</v>
      </c>
      <c r="AU537">
        <v>0.18965517241379301</v>
      </c>
      <c r="AV537">
        <v>0.318292682926829</v>
      </c>
      <c r="AW537">
        <v>0.50728763666946997</v>
      </c>
      <c r="AX537">
        <v>0</v>
      </c>
      <c r="AY537">
        <v>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8</v>
      </c>
      <c r="BU537">
        <v>85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C537">
        <v>0</v>
      </c>
      <c r="DD537">
        <v>0</v>
      </c>
      <c r="DE537">
        <v>0</v>
      </c>
      <c r="DF537">
        <v>0</v>
      </c>
      <c r="DH537">
        <v>128.19999999999999</v>
      </c>
      <c r="DI537">
        <v>187.2</v>
      </c>
    </row>
    <row r="538" spans="1:113" ht="15" customHeight="1" x14ac:dyDescent="0.25">
      <c r="A538" t="s">
        <v>3287</v>
      </c>
      <c r="B538" t="s">
        <v>3288</v>
      </c>
      <c r="C538" t="s">
        <v>3289</v>
      </c>
      <c r="D538" t="s">
        <v>1189</v>
      </c>
      <c r="E538" t="s">
        <v>1190</v>
      </c>
      <c r="F538" t="s">
        <v>3290</v>
      </c>
      <c r="G538">
        <v>2025</v>
      </c>
      <c r="H538" t="s">
        <v>1160</v>
      </c>
      <c r="I538" t="s">
        <v>106</v>
      </c>
      <c r="J538">
        <v>17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Y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S538">
        <v>0</v>
      </c>
      <c r="AU538">
        <v>0</v>
      </c>
      <c r="AV538">
        <v>0</v>
      </c>
      <c r="AW538">
        <v>0</v>
      </c>
      <c r="AX538">
        <v>0</v>
      </c>
      <c r="AY538">
        <v>26</v>
      </c>
      <c r="AZ538">
        <v>2</v>
      </c>
      <c r="BA538">
        <v>21</v>
      </c>
      <c r="BB538">
        <v>12</v>
      </c>
      <c r="BC538">
        <v>72</v>
      </c>
      <c r="BD538">
        <v>0</v>
      </c>
      <c r="BE538">
        <v>8</v>
      </c>
      <c r="BF538">
        <v>64.5</v>
      </c>
      <c r="BG538">
        <v>28</v>
      </c>
      <c r="BH538">
        <v>0</v>
      </c>
      <c r="BI538">
        <v>0</v>
      </c>
      <c r="BJ538">
        <v>3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4</v>
      </c>
      <c r="BU538">
        <v>29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C538">
        <v>0</v>
      </c>
      <c r="DD538">
        <v>0</v>
      </c>
      <c r="DE538">
        <v>0</v>
      </c>
      <c r="DF538">
        <v>0</v>
      </c>
      <c r="DH538">
        <v>0</v>
      </c>
      <c r="DI538">
        <v>0</v>
      </c>
    </row>
    <row r="539" spans="1:113" ht="15" customHeight="1" x14ac:dyDescent="0.25">
      <c r="A539" t="s">
        <v>3291</v>
      </c>
      <c r="B539" t="s">
        <v>3292</v>
      </c>
      <c r="C539" t="s">
        <v>3293</v>
      </c>
      <c r="D539" t="s">
        <v>1243</v>
      </c>
      <c r="E539" t="s">
        <v>1190</v>
      </c>
      <c r="F539" t="s">
        <v>3294</v>
      </c>
      <c r="G539">
        <v>2025</v>
      </c>
      <c r="H539" t="s">
        <v>1160</v>
      </c>
      <c r="I539" t="s">
        <v>142</v>
      </c>
      <c r="J539">
        <v>15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Y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0</v>
      </c>
      <c r="AN539">
        <v>0</v>
      </c>
      <c r="AO539">
        <v>1</v>
      </c>
      <c r="AP539">
        <v>0</v>
      </c>
      <c r="AQ539">
        <v>1</v>
      </c>
      <c r="AR539">
        <v>0.56394608027767401</v>
      </c>
      <c r="AS539">
        <v>0</v>
      </c>
      <c r="AT539">
        <v>1</v>
      </c>
      <c r="AU539">
        <v>1.88679245283019E-3</v>
      </c>
      <c r="AV539">
        <v>2.4912805181863499E-4</v>
      </c>
      <c r="AW539">
        <v>3.0045783155183301E-3</v>
      </c>
      <c r="AX539">
        <v>0</v>
      </c>
      <c r="AY539">
        <v>37</v>
      </c>
      <c r="AZ539">
        <v>2</v>
      </c>
      <c r="BA539">
        <v>28</v>
      </c>
      <c r="BB539">
        <v>17</v>
      </c>
      <c r="BC539">
        <v>85</v>
      </c>
      <c r="BD539">
        <v>3</v>
      </c>
      <c r="BE539">
        <v>11</v>
      </c>
      <c r="BF539">
        <v>79</v>
      </c>
      <c r="BG539">
        <v>21</v>
      </c>
      <c r="BH539">
        <v>0</v>
      </c>
      <c r="BI539">
        <v>0</v>
      </c>
      <c r="BJ539">
        <v>3</v>
      </c>
      <c r="BK539">
        <v>0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10</v>
      </c>
      <c r="BU539">
        <v>84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C539">
        <v>0</v>
      </c>
      <c r="DD539">
        <v>0</v>
      </c>
      <c r="DE539">
        <v>0</v>
      </c>
      <c r="DF539">
        <v>0</v>
      </c>
      <c r="DH539">
        <v>6.1</v>
      </c>
      <c r="DI539">
        <v>7.1</v>
      </c>
    </row>
    <row r="540" spans="1:113" ht="15" customHeight="1" x14ac:dyDescent="0.25">
      <c r="A540" t="s">
        <v>3295</v>
      </c>
      <c r="B540" t="s">
        <v>3296</v>
      </c>
      <c r="C540" t="s">
        <v>839</v>
      </c>
      <c r="D540" t="s">
        <v>439</v>
      </c>
      <c r="E540" t="s">
        <v>439</v>
      </c>
      <c r="F540" t="s">
        <v>3297</v>
      </c>
      <c r="G540">
        <v>2025</v>
      </c>
      <c r="H540" t="s">
        <v>1160</v>
      </c>
      <c r="I540" t="s">
        <v>107</v>
      </c>
      <c r="J540">
        <v>13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Y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H540">
        <v>0</v>
      </c>
      <c r="AI540">
        <v>34</v>
      </c>
      <c r="AJ540">
        <v>41</v>
      </c>
      <c r="AK540">
        <v>288</v>
      </c>
      <c r="AL540">
        <v>3</v>
      </c>
      <c r="AM540">
        <v>3</v>
      </c>
      <c r="AN540">
        <v>3</v>
      </c>
      <c r="AO540">
        <v>137</v>
      </c>
      <c r="AP540">
        <v>174</v>
      </c>
      <c r="AQ540">
        <v>13</v>
      </c>
      <c r="AR540">
        <v>-11.7837950243007</v>
      </c>
      <c r="AS540">
        <v>0</v>
      </c>
      <c r="AT540">
        <v>2.1021897810219001</v>
      </c>
      <c r="AU540">
        <v>6.7434210526315805E-2</v>
      </c>
      <c r="AV540">
        <v>2.9105587422986998E-2</v>
      </c>
      <c r="AW540">
        <v>0.121525226985565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3</v>
      </c>
      <c r="BU540">
        <v>19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C540">
        <v>0</v>
      </c>
      <c r="DD540">
        <v>0</v>
      </c>
      <c r="DE540">
        <v>0</v>
      </c>
      <c r="DF540">
        <v>0</v>
      </c>
      <c r="DH540">
        <v>40.799999999999997</v>
      </c>
      <c r="DI540">
        <v>74.8</v>
      </c>
    </row>
    <row r="541" spans="1:113" ht="15" customHeight="1" x14ac:dyDescent="0.25">
      <c r="A541" t="s">
        <v>3298</v>
      </c>
      <c r="B541" t="s">
        <v>3299</v>
      </c>
      <c r="C541" t="s">
        <v>876</v>
      </c>
      <c r="D541" t="s">
        <v>10</v>
      </c>
      <c r="E541" t="s">
        <v>10</v>
      </c>
      <c r="F541" t="s">
        <v>3300</v>
      </c>
      <c r="G541">
        <v>2025</v>
      </c>
      <c r="H541" t="s">
        <v>1160</v>
      </c>
      <c r="I541" t="s">
        <v>139</v>
      </c>
      <c r="J541">
        <v>16</v>
      </c>
      <c r="K541">
        <v>1</v>
      </c>
      <c r="L541">
        <v>2</v>
      </c>
      <c r="M541">
        <v>33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23</v>
      </c>
      <c r="U541">
        <v>20</v>
      </c>
      <c r="V541">
        <v>1</v>
      </c>
      <c r="W541">
        <v>2.4279792429879299</v>
      </c>
      <c r="X541">
        <v>-2.36002504825592</v>
      </c>
      <c r="Y541">
        <v>0</v>
      </c>
      <c r="Z541">
        <v>1.4347826086956501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H541">
        <v>0</v>
      </c>
      <c r="AI541">
        <v>10</v>
      </c>
      <c r="AJ541">
        <v>13</v>
      </c>
      <c r="AK541">
        <v>145</v>
      </c>
      <c r="AL541">
        <v>1</v>
      </c>
      <c r="AM541">
        <v>0</v>
      </c>
      <c r="AN541">
        <v>0</v>
      </c>
      <c r="AO541">
        <v>130</v>
      </c>
      <c r="AP541">
        <v>74</v>
      </c>
      <c r="AQ541">
        <v>7</v>
      </c>
      <c r="AR541">
        <v>10.609890480312099</v>
      </c>
      <c r="AS541">
        <v>0</v>
      </c>
      <c r="AT541">
        <v>1.1153846153846201</v>
      </c>
      <c r="AU541">
        <v>2.5844930417494999E-2</v>
      </c>
      <c r="AV541">
        <v>2.90632684998882E-2</v>
      </c>
      <c r="AW541">
        <v>5.9111683576164302E-2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24</v>
      </c>
      <c r="BW541">
        <v>216</v>
      </c>
      <c r="BX541">
        <v>26</v>
      </c>
      <c r="BY541">
        <v>682</v>
      </c>
      <c r="BZ541">
        <v>0</v>
      </c>
      <c r="CA541">
        <v>0</v>
      </c>
      <c r="CB541">
        <v>0</v>
      </c>
      <c r="CC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C541">
        <v>0</v>
      </c>
      <c r="DD541">
        <v>0</v>
      </c>
      <c r="DE541">
        <v>0</v>
      </c>
      <c r="DF541">
        <v>0</v>
      </c>
      <c r="DH541">
        <v>25.82</v>
      </c>
      <c r="DI541">
        <v>35.82</v>
      </c>
    </row>
    <row r="542" spans="1:113" ht="15" customHeight="1" x14ac:dyDescent="0.25">
      <c r="A542" t="s">
        <v>3301</v>
      </c>
      <c r="B542" t="s">
        <v>3302</v>
      </c>
      <c r="C542" t="s">
        <v>3303</v>
      </c>
      <c r="D542" t="s">
        <v>1234</v>
      </c>
      <c r="E542" t="s">
        <v>1234</v>
      </c>
      <c r="F542" t="s">
        <v>3304</v>
      </c>
      <c r="G542">
        <v>2025</v>
      </c>
      <c r="H542" t="s">
        <v>1160</v>
      </c>
      <c r="I542" t="s">
        <v>137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Y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2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5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C542">
        <v>0</v>
      </c>
      <c r="DD542">
        <v>0</v>
      </c>
      <c r="DE542">
        <v>0</v>
      </c>
      <c r="DF542">
        <v>0</v>
      </c>
      <c r="DH542">
        <v>0</v>
      </c>
      <c r="DI542">
        <v>0</v>
      </c>
    </row>
    <row r="543" spans="1:113" ht="15" customHeight="1" x14ac:dyDescent="0.25">
      <c r="A543" t="s">
        <v>3305</v>
      </c>
      <c r="B543" t="s">
        <v>3306</v>
      </c>
      <c r="C543" t="s">
        <v>3307</v>
      </c>
      <c r="D543" t="s">
        <v>1189</v>
      </c>
      <c r="E543" t="s">
        <v>1190</v>
      </c>
      <c r="F543" t="s">
        <v>3308</v>
      </c>
      <c r="G543">
        <v>2025</v>
      </c>
      <c r="H543" t="s">
        <v>1160</v>
      </c>
      <c r="I543" t="s">
        <v>104</v>
      </c>
      <c r="J543">
        <v>17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Y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S543">
        <v>0</v>
      </c>
      <c r="AU543">
        <v>0</v>
      </c>
      <c r="AV543">
        <v>0</v>
      </c>
      <c r="AW543">
        <v>0</v>
      </c>
      <c r="AX543">
        <v>0</v>
      </c>
      <c r="AY543">
        <v>31</v>
      </c>
      <c r="AZ543">
        <v>5</v>
      </c>
      <c r="BA543">
        <v>17</v>
      </c>
      <c r="BB543">
        <v>13</v>
      </c>
      <c r="BC543">
        <v>57</v>
      </c>
      <c r="BD543">
        <v>3</v>
      </c>
      <c r="BE543">
        <v>10</v>
      </c>
      <c r="BF543">
        <v>55.5</v>
      </c>
      <c r="BG543">
        <v>18</v>
      </c>
      <c r="BH543">
        <v>0</v>
      </c>
      <c r="BI543">
        <v>0</v>
      </c>
      <c r="BJ543">
        <v>5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1</v>
      </c>
      <c r="BS543">
        <v>0</v>
      </c>
      <c r="BT543">
        <v>1</v>
      </c>
      <c r="BU543">
        <v>15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C543">
        <v>0</v>
      </c>
      <c r="DD543">
        <v>0</v>
      </c>
      <c r="DE543">
        <v>0</v>
      </c>
      <c r="DF543">
        <v>0</v>
      </c>
      <c r="DH543">
        <v>0</v>
      </c>
      <c r="DI543">
        <v>0</v>
      </c>
    </row>
    <row r="544" spans="1:113" ht="15" customHeight="1" x14ac:dyDescent="0.25">
      <c r="A544" t="s">
        <v>3309</v>
      </c>
      <c r="B544" t="s">
        <v>3310</v>
      </c>
      <c r="C544" t="s">
        <v>3311</v>
      </c>
      <c r="D544" t="s">
        <v>1684</v>
      </c>
      <c r="E544" t="s">
        <v>1307</v>
      </c>
      <c r="F544" t="s">
        <v>3312</v>
      </c>
      <c r="G544">
        <v>2025</v>
      </c>
      <c r="H544" t="s">
        <v>1160</v>
      </c>
      <c r="I544" t="s">
        <v>143</v>
      </c>
      <c r="J544">
        <v>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Y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S544">
        <v>0</v>
      </c>
      <c r="AU544">
        <v>0</v>
      </c>
      <c r="AV544">
        <v>0</v>
      </c>
      <c r="AW544">
        <v>0</v>
      </c>
      <c r="AX544">
        <v>0</v>
      </c>
      <c r="AY544">
        <v>22</v>
      </c>
      <c r="AZ544">
        <v>0</v>
      </c>
      <c r="BA544">
        <v>16</v>
      </c>
      <c r="BB544">
        <v>1</v>
      </c>
      <c r="BC544">
        <v>3</v>
      </c>
      <c r="BD544">
        <v>1</v>
      </c>
      <c r="BE544">
        <v>1</v>
      </c>
      <c r="BF544">
        <v>3</v>
      </c>
      <c r="BG544">
        <v>0</v>
      </c>
      <c r="BH544">
        <v>0</v>
      </c>
      <c r="BI544">
        <v>0</v>
      </c>
      <c r="BJ544">
        <v>3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5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C544">
        <v>0</v>
      </c>
      <c r="DD544">
        <v>0</v>
      </c>
      <c r="DE544">
        <v>0</v>
      </c>
      <c r="DF544">
        <v>0</v>
      </c>
      <c r="DH544">
        <v>0</v>
      </c>
      <c r="DI544">
        <v>0</v>
      </c>
    </row>
    <row r="545" spans="1:113" ht="15" customHeight="1" x14ac:dyDescent="0.25">
      <c r="A545" t="s">
        <v>3313</v>
      </c>
      <c r="B545" t="s">
        <v>3314</v>
      </c>
      <c r="C545" t="s">
        <v>3315</v>
      </c>
      <c r="D545" t="s">
        <v>1243</v>
      </c>
      <c r="E545" t="s">
        <v>1190</v>
      </c>
      <c r="F545" t="s">
        <v>3316</v>
      </c>
      <c r="G545">
        <v>2025</v>
      </c>
      <c r="H545" t="s">
        <v>1160</v>
      </c>
      <c r="I545" t="s">
        <v>101</v>
      </c>
      <c r="J545">
        <v>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Y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S545">
        <v>0</v>
      </c>
      <c r="AU545">
        <v>0</v>
      </c>
      <c r="AV545">
        <v>0</v>
      </c>
      <c r="AW545">
        <v>0</v>
      </c>
      <c r="AX545">
        <v>0</v>
      </c>
      <c r="AY545">
        <v>5</v>
      </c>
      <c r="AZ545">
        <v>0</v>
      </c>
      <c r="BA545">
        <v>7</v>
      </c>
      <c r="BB545">
        <v>1</v>
      </c>
      <c r="BC545">
        <v>1</v>
      </c>
      <c r="BD545">
        <v>0</v>
      </c>
      <c r="BE545">
        <v>1</v>
      </c>
      <c r="BF545">
        <v>1</v>
      </c>
      <c r="BG545">
        <v>1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15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C545">
        <v>0</v>
      </c>
      <c r="DD545">
        <v>0</v>
      </c>
      <c r="DE545">
        <v>0</v>
      </c>
      <c r="DF545">
        <v>0</v>
      </c>
      <c r="DH545">
        <v>0</v>
      </c>
      <c r="DI545">
        <v>0</v>
      </c>
    </row>
    <row r="546" spans="1:113" ht="15" customHeight="1" x14ac:dyDescent="0.25">
      <c r="A546" t="s">
        <v>3317</v>
      </c>
      <c r="B546" t="s">
        <v>3318</v>
      </c>
      <c r="C546" t="s">
        <v>1034</v>
      </c>
      <c r="D546" t="s">
        <v>10</v>
      </c>
      <c r="E546" t="s">
        <v>10</v>
      </c>
      <c r="F546" t="s">
        <v>3319</v>
      </c>
      <c r="G546">
        <v>2025</v>
      </c>
      <c r="H546" t="s">
        <v>1160</v>
      </c>
      <c r="I546" t="s">
        <v>143</v>
      </c>
      <c r="J546">
        <v>10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Y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H546">
        <v>0</v>
      </c>
      <c r="AI546">
        <v>38</v>
      </c>
      <c r="AJ546">
        <v>60</v>
      </c>
      <c r="AK546">
        <v>582</v>
      </c>
      <c r="AL546">
        <v>3</v>
      </c>
      <c r="AM546">
        <v>0</v>
      </c>
      <c r="AN546">
        <v>0</v>
      </c>
      <c r="AO546">
        <v>839</v>
      </c>
      <c r="AP546">
        <v>93</v>
      </c>
      <c r="AQ546">
        <v>33</v>
      </c>
      <c r="AR546">
        <v>31.7498265405018</v>
      </c>
      <c r="AS546">
        <v>0</v>
      </c>
      <c r="AT546">
        <v>0.69368295589988105</v>
      </c>
      <c r="AU546">
        <v>0.13888888888888901</v>
      </c>
      <c r="AV546">
        <v>0.20985492746373199</v>
      </c>
      <c r="AW546">
        <v>0.35523178255794602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2</v>
      </c>
      <c r="BU546">
        <v>10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C546">
        <v>0</v>
      </c>
      <c r="DD546">
        <v>0</v>
      </c>
      <c r="DE546">
        <v>0</v>
      </c>
      <c r="DF546">
        <v>0</v>
      </c>
      <c r="DH546">
        <v>76.2</v>
      </c>
      <c r="DI546">
        <v>114.2</v>
      </c>
    </row>
    <row r="547" spans="1:113" ht="15" customHeight="1" x14ac:dyDescent="0.25">
      <c r="A547" t="s">
        <v>3320</v>
      </c>
      <c r="B547" t="s">
        <v>3321</v>
      </c>
      <c r="C547" t="s">
        <v>3322</v>
      </c>
      <c r="D547" t="s">
        <v>10</v>
      </c>
      <c r="E547" t="s">
        <v>10</v>
      </c>
      <c r="F547" t="s">
        <v>3323</v>
      </c>
      <c r="G547">
        <v>2025</v>
      </c>
      <c r="H547" t="s">
        <v>1160</v>
      </c>
      <c r="I547" t="s">
        <v>123</v>
      </c>
      <c r="J547">
        <v>16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Y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H547">
        <v>0</v>
      </c>
      <c r="AI547">
        <v>49</v>
      </c>
      <c r="AJ547">
        <v>74</v>
      </c>
      <c r="AK547">
        <v>587</v>
      </c>
      <c r="AL547">
        <v>5</v>
      </c>
      <c r="AM547">
        <v>1</v>
      </c>
      <c r="AN547">
        <v>0</v>
      </c>
      <c r="AO547">
        <v>836</v>
      </c>
      <c r="AP547">
        <v>190</v>
      </c>
      <c r="AQ547">
        <v>29</v>
      </c>
      <c r="AR547">
        <v>22.347303343925699</v>
      </c>
      <c r="AS547">
        <v>0</v>
      </c>
      <c r="AT547">
        <v>0.70215311004784697</v>
      </c>
      <c r="AU547">
        <v>0.13479052823315099</v>
      </c>
      <c r="AV547">
        <v>0.184425325391573</v>
      </c>
      <c r="AW547">
        <v>0.331283520123828</v>
      </c>
      <c r="AX547">
        <v>0</v>
      </c>
      <c r="AY547">
        <v>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15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C547">
        <v>0</v>
      </c>
      <c r="DD547">
        <v>0</v>
      </c>
      <c r="DE547">
        <v>0</v>
      </c>
      <c r="DF547">
        <v>0</v>
      </c>
      <c r="DH547">
        <v>88.7</v>
      </c>
      <c r="DI547">
        <v>137.69999999999999</v>
      </c>
    </row>
    <row r="548" spans="1:113" ht="15" customHeight="1" x14ac:dyDescent="0.25">
      <c r="A548" t="s">
        <v>3324</v>
      </c>
      <c r="B548" t="s">
        <v>3325</v>
      </c>
      <c r="C548" t="s">
        <v>3326</v>
      </c>
      <c r="D548" t="s">
        <v>1684</v>
      </c>
      <c r="E548" t="s">
        <v>1307</v>
      </c>
      <c r="F548" t="s">
        <v>3327</v>
      </c>
      <c r="G548">
        <v>2025</v>
      </c>
      <c r="H548" t="s">
        <v>1160</v>
      </c>
      <c r="I548" t="s">
        <v>99</v>
      </c>
      <c r="J548">
        <v>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Y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S548">
        <v>0</v>
      </c>
      <c r="AU548">
        <v>0</v>
      </c>
      <c r="AV548">
        <v>0</v>
      </c>
      <c r="AW548">
        <v>0</v>
      </c>
      <c r="AX548">
        <v>0</v>
      </c>
      <c r="AY548">
        <v>17</v>
      </c>
      <c r="AZ548">
        <v>0</v>
      </c>
      <c r="BA548">
        <v>9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C548">
        <v>0</v>
      </c>
      <c r="DD548">
        <v>0</v>
      </c>
      <c r="DE548">
        <v>0</v>
      </c>
      <c r="DF548">
        <v>0</v>
      </c>
      <c r="DH548">
        <v>0</v>
      </c>
      <c r="DI548">
        <v>0</v>
      </c>
    </row>
    <row r="549" spans="1:113" ht="15" customHeight="1" x14ac:dyDescent="0.25">
      <c r="A549" t="s">
        <v>3328</v>
      </c>
      <c r="B549" t="s">
        <v>3329</v>
      </c>
      <c r="C549" t="s">
        <v>3330</v>
      </c>
      <c r="D549" t="s">
        <v>1243</v>
      </c>
      <c r="E549" t="s">
        <v>1190</v>
      </c>
      <c r="F549" t="s">
        <v>3331</v>
      </c>
      <c r="G549">
        <v>2025</v>
      </c>
      <c r="H549" t="s">
        <v>1160</v>
      </c>
      <c r="I549" t="s">
        <v>126</v>
      </c>
      <c r="J549">
        <v>14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Y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S549">
        <v>0</v>
      </c>
      <c r="AU549">
        <v>0</v>
      </c>
      <c r="AV549">
        <v>0</v>
      </c>
      <c r="AW549">
        <v>0</v>
      </c>
      <c r="AX549">
        <v>0</v>
      </c>
      <c r="AY549">
        <v>11</v>
      </c>
      <c r="AZ549">
        <v>1</v>
      </c>
      <c r="BA549">
        <v>11</v>
      </c>
      <c r="BB549">
        <v>3</v>
      </c>
      <c r="BC549">
        <v>13</v>
      </c>
      <c r="BD549">
        <v>0</v>
      </c>
      <c r="BE549">
        <v>2</v>
      </c>
      <c r="BF549">
        <v>11</v>
      </c>
      <c r="BG549">
        <v>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</v>
      </c>
      <c r="BU549">
        <v>20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C549">
        <v>0</v>
      </c>
      <c r="DD549">
        <v>0</v>
      </c>
      <c r="DE549">
        <v>0</v>
      </c>
      <c r="DF549">
        <v>0</v>
      </c>
      <c r="DH549">
        <v>0</v>
      </c>
      <c r="DI549">
        <v>0</v>
      </c>
    </row>
    <row r="550" spans="1:113" ht="15" customHeight="1" x14ac:dyDescent="0.25">
      <c r="A550" t="s">
        <v>3332</v>
      </c>
      <c r="B550" t="s">
        <v>3333</v>
      </c>
      <c r="C550" t="s">
        <v>3334</v>
      </c>
      <c r="D550" t="s">
        <v>1297</v>
      </c>
      <c r="E550" t="s">
        <v>1220</v>
      </c>
      <c r="F550" t="s">
        <v>3335</v>
      </c>
      <c r="G550">
        <v>2025</v>
      </c>
      <c r="H550" t="s">
        <v>1160</v>
      </c>
      <c r="I550" t="s">
        <v>99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Y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S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2</v>
      </c>
      <c r="BU550">
        <v>5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C550">
        <v>0</v>
      </c>
      <c r="DD550">
        <v>0</v>
      </c>
      <c r="DE550">
        <v>0</v>
      </c>
      <c r="DF550">
        <v>0</v>
      </c>
      <c r="DH550">
        <v>0</v>
      </c>
      <c r="DI550">
        <v>0</v>
      </c>
    </row>
    <row r="551" spans="1:113" ht="15" customHeight="1" x14ac:dyDescent="0.25">
      <c r="A551" t="s">
        <v>3336</v>
      </c>
      <c r="B551" t="s">
        <v>3337</v>
      </c>
      <c r="C551" t="s">
        <v>3338</v>
      </c>
      <c r="D551" t="s">
        <v>1684</v>
      </c>
      <c r="E551" t="s">
        <v>1307</v>
      </c>
      <c r="F551" t="s">
        <v>3339</v>
      </c>
      <c r="G551">
        <v>2025</v>
      </c>
      <c r="H551" t="s">
        <v>1160</v>
      </c>
      <c r="I551" t="s">
        <v>96</v>
      </c>
      <c r="J551">
        <v>17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Y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S551">
        <v>0</v>
      </c>
      <c r="AU551">
        <v>0</v>
      </c>
      <c r="AV551">
        <v>0</v>
      </c>
      <c r="AW551">
        <v>0</v>
      </c>
      <c r="AX551">
        <v>0</v>
      </c>
      <c r="AY551">
        <v>63</v>
      </c>
      <c r="AZ551">
        <v>1</v>
      </c>
      <c r="BA551">
        <v>47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3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1</v>
      </c>
      <c r="BS551">
        <v>0</v>
      </c>
      <c r="BT551">
        <v>3</v>
      </c>
      <c r="BU551">
        <v>38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C551">
        <v>0</v>
      </c>
      <c r="DD551">
        <v>0</v>
      </c>
      <c r="DE551">
        <v>0</v>
      </c>
      <c r="DF551">
        <v>0</v>
      </c>
      <c r="DH551">
        <v>0</v>
      </c>
      <c r="DI551">
        <v>0</v>
      </c>
    </row>
    <row r="552" spans="1:113" ht="15" customHeight="1" x14ac:dyDescent="0.25">
      <c r="A552" t="s">
        <v>3340</v>
      </c>
      <c r="B552" t="s">
        <v>3341</v>
      </c>
      <c r="C552" t="s">
        <v>3342</v>
      </c>
      <c r="D552" t="s">
        <v>1234</v>
      </c>
      <c r="E552" t="s">
        <v>1234</v>
      </c>
      <c r="F552" t="s">
        <v>3343</v>
      </c>
      <c r="G552">
        <v>2025</v>
      </c>
      <c r="H552" t="s">
        <v>1160</v>
      </c>
      <c r="I552" t="s">
        <v>142</v>
      </c>
      <c r="J552">
        <v>17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Y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S552">
        <v>0</v>
      </c>
      <c r="AU552">
        <v>0</v>
      </c>
      <c r="AV552">
        <v>0</v>
      </c>
      <c r="AW552">
        <v>0</v>
      </c>
      <c r="AX552">
        <v>0</v>
      </c>
      <c r="AY552">
        <v>34</v>
      </c>
      <c r="AZ552">
        <v>3</v>
      </c>
      <c r="BA552">
        <v>44</v>
      </c>
      <c r="BB552">
        <v>4</v>
      </c>
      <c r="BC552">
        <v>21</v>
      </c>
      <c r="BD552">
        <v>0</v>
      </c>
      <c r="BE552">
        <v>1</v>
      </c>
      <c r="BF552">
        <v>11</v>
      </c>
      <c r="BG552">
        <v>1</v>
      </c>
      <c r="BH552">
        <v>3</v>
      </c>
      <c r="BI552">
        <v>25</v>
      </c>
      <c r="BJ552">
        <v>11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C552">
        <v>0</v>
      </c>
      <c r="DD552">
        <v>0</v>
      </c>
      <c r="DE552">
        <v>0</v>
      </c>
      <c r="DF552">
        <v>0</v>
      </c>
      <c r="DH552">
        <v>0</v>
      </c>
      <c r="DI552">
        <v>0</v>
      </c>
    </row>
    <row r="553" spans="1:113" ht="15" customHeight="1" x14ac:dyDescent="0.25">
      <c r="A553" t="s">
        <v>3344</v>
      </c>
      <c r="B553" t="s">
        <v>3345</v>
      </c>
      <c r="C553" t="s">
        <v>3346</v>
      </c>
      <c r="D553" t="s">
        <v>1243</v>
      </c>
      <c r="E553" t="s">
        <v>1190</v>
      </c>
      <c r="F553" t="s">
        <v>3347</v>
      </c>
      <c r="G553">
        <v>2025</v>
      </c>
      <c r="H553" t="s">
        <v>1160</v>
      </c>
      <c r="I553" t="s">
        <v>123</v>
      </c>
      <c r="J553">
        <v>11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Y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S553">
        <v>0</v>
      </c>
      <c r="AU553">
        <v>0</v>
      </c>
      <c r="AV553">
        <v>0</v>
      </c>
      <c r="AW553">
        <v>0</v>
      </c>
      <c r="AX553">
        <v>0</v>
      </c>
      <c r="AY553">
        <v>8</v>
      </c>
      <c r="AZ553">
        <v>0</v>
      </c>
      <c r="BA553">
        <v>12</v>
      </c>
      <c r="BB553">
        <v>2</v>
      </c>
      <c r="BC553">
        <v>4</v>
      </c>
      <c r="BD553">
        <v>0</v>
      </c>
      <c r="BE553">
        <v>1.5</v>
      </c>
      <c r="BF553">
        <v>3.5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</v>
      </c>
      <c r="BR553">
        <v>1</v>
      </c>
      <c r="BS553">
        <v>0</v>
      </c>
      <c r="BT553">
        <v>1</v>
      </c>
      <c r="BU553">
        <v>5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C553">
        <v>0</v>
      </c>
      <c r="DD553">
        <v>0</v>
      </c>
      <c r="DE553">
        <v>0</v>
      </c>
      <c r="DF553">
        <v>0</v>
      </c>
      <c r="DH553">
        <v>0</v>
      </c>
      <c r="DI553">
        <v>0</v>
      </c>
    </row>
    <row r="554" spans="1:113" ht="15" customHeight="1" x14ac:dyDescent="0.25">
      <c r="A554" t="s">
        <v>3348</v>
      </c>
      <c r="B554" t="s">
        <v>3349</v>
      </c>
      <c r="C554" t="s">
        <v>902</v>
      </c>
      <c r="D554" t="s">
        <v>10</v>
      </c>
      <c r="E554" t="s">
        <v>10</v>
      </c>
      <c r="F554" t="s">
        <v>3350</v>
      </c>
      <c r="G554">
        <v>2025</v>
      </c>
      <c r="H554" t="s">
        <v>1160</v>
      </c>
      <c r="I554" t="s">
        <v>120</v>
      </c>
      <c r="J554">
        <v>15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Y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H554">
        <v>0</v>
      </c>
      <c r="AI554">
        <v>78</v>
      </c>
      <c r="AJ554">
        <v>121</v>
      </c>
      <c r="AK554">
        <v>1003</v>
      </c>
      <c r="AL554">
        <v>7</v>
      </c>
      <c r="AM554">
        <v>0</v>
      </c>
      <c r="AN554">
        <v>0</v>
      </c>
      <c r="AO554">
        <v>1425</v>
      </c>
      <c r="AP554">
        <v>268</v>
      </c>
      <c r="AQ554">
        <v>47</v>
      </c>
      <c r="AR554">
        <v>33.683472783769702</v>
      </c>
      <c r="AS554">
        <v>0</v>
      </c>
      <c r="AT554">
        <v>0.70385964912280696</v>
      </c>
      <c r="AU554">
        <v>0.26077586206896602</v>
      </c>
      <c r="AV554">
        <v>0.317867499442338</v>
      </c>
      <c r="AW554">
        <v>0.61367104271308504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7</v>
      </c>
      <c r="BU554">
        <v>51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C554">
        <v>0</v>
      </c>
      <c r="DD554">
        <v>0</v>
      </c>
      <c r="DE554">
        <v>0</v>
      </c>
      <c r="DF554">
        <v>0</v>
      </c>
      <c r="DH554">
        <v>142.30000000000001</v>
      </c>
      <c r="DI554">
        <v>220.3</v>
      </c>
    </row>
    <row r="555" spans="1:113" ht="15" customHeight="1" x14ac:dyDescent="0.25">
      <c r="A555" t="s">
        <v>3351</v>
      </c>
      <c r="B555" t="s">
        <v>1409</v>
      </c>
      <c r="C555" t="s">
        <v>3352</v>
      </c>
      <c r="D555" t="s">
        <v>1189</v>
      </c>
      <c r="E555" t="s">
        <v>1190</v>
      </c>
      <c r="F555" t="s">
        <v>3353</v>
      </c>
      <c r="G555">
        <v>2025</v>
      </c>
      <c r="H555" t="s">
        <v>1160</v>
      </c>
      <c r="I555" t="s">
        <v>97</v>
      </c>
      <c r="J555">
        <v>17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Y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S555">
        <v>0</v>
      </c>
      <c r="AU555">
        <v>0</v>
      </c>
      <c r="AV555">
        <v>0</v>
      </c>
      <c r="AW555">
        <v>0</v>
      </c>
      <c r="AX555">
        <v>0</v>
      </c>
      <c r="AY555">
        <v>18</v>
      </c>
      <c r="AZ555">
        <v>1</v>
      </c>
      <c r="BA555">
        <v>24</v>
      </c>
      <c r="BB555">
        <v>7</v>
      </c>
      <c r="BC555">
        <v>39</v>
      </c>
      <c r="BD555">
        <v>0</v>
      </c>
      <c r="BE555">
        <v>7</v>
      </c>
      <c r="BF555">
        <v>42</v>
      </c>
      <c r="BG555">
        <v>24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2</v>
      </c>
      <c r="BR555">
        <v>2</v>
      </c>
      <c r="BS555">
        <v>0</v>
      </c>
      <c r="BT555">
        <v>4</v>
      </c>
      <c r="BU555">
        <v>18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C555">
        <v>0</v>
      </c>
      <c r="DD555">
        <v>0</v>
      </c>
      <c r="DE555">
        <v>0</v>
      </c>
      <c r="DF555">
        <v>0</v>
      </c>
      <c r="DH555">
        <v>0</v>
      </c>
      <c r="DI555">
        <v>0</v>
      </c>
    </row>
    <row r="556" spans="1:113" ht="15" customHeight="1" x14ac:dyDescent="0.25">
      <c r="A556" t="s">
        <v>3354</v>
      </c>
      <c r="B556" t="s">
        <v>3355</v>
      </c>
      <c r="C556" t="s">
        <v>3356</v>
      </c>
      <c r="D556" t="s">
        <v>1655</v>
      </c>
      <c r="E556" t="s">
        <v>1220</v>
      </c>
      <c r="F556" t="s">
        <v>3357</v>
      </c>
      <c r="G556">
        <v>2025</v>
      </c>
      <c r="H556" t="s">
        <v>1160</v>
      </c>
      <c r="I556" t="s">
        <v>99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Y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S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3</v>
      </c>
      <c r="BU556">
        <v>22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C556">
        <v>0</v>
      </c>
      <c r="DD556">
        <v>0</v>
      </c>
      <c r="DE556">
        <v>0</v>
      </c>
      <c r="DF556">
        <v>0</v>
      </c>
      <c r="DH556">
        <v>0</v>
      </c>
      <c r="DI556">
        <v>0</v>
      </c>
    </row>
    <row r="557" spans="1:113" ht="15" customHeight="1" x14ac:dyDescent="0.25">
      <c r="A557" t="s">
        <v>3358</v>
      </c>
      <c r="B557" t="s">
        <v>3359</v>
      </c>
      <c r="C557" t="s">
        <v>3360</v>
      </c>
      <c r="D557" t="s">
        <v>1234</v>
      </c>
      <c r="E557" t="s">
        <v>1234</v>
      </c>
      <c r="F557" t="s">
        <v>3361</v>
      </c>
      <c r="G557">
        <v>2025</v>
      </c>
      <c r="H557" t="s">
        <v>1160</v>
      </c>
      <c r="I557" t="s">
        <v>101</v>
      </c>
      <c r="J557">
        <v>13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Y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S557">
        <v>0</v>
      </c>
      <c r="AU557">
        <v>0</v>
      </c>
      <c r="AV557">
        <v>0</v>
      </c>
      <c r="AW557">
        <v>0</v>
      </c>
      <c r="AX557">
        <v>0</v>
      </c>
      <c r="AY557">
        <v>43</v>
      </c>
      <c r="AZ557">
        <v>2</v>
      </c>
      <c r="BA557">
        <v>38</v>
      </c>
      <c r="BB557">
        <v>8</v>
      </c>
      <c r="BC557">
        <v>43</v>
      </c>
      <c r="BD557">
        <v>0</v>
      </c>
      <c r="BE557">
        <v>3.5</v>
      </c>
      <c r="BF557">
        <v>29</v>
      </c>
      <c r="BG557">
        <v>5</v>
      </c>
      <c r="BH557">
        <v>0</v>
      </c>
      <c r="BI557">
        <v>0</v>
      </c>
      <c r="BJ557">
        <v>7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2</v>
      </c>
      <c r="BU557">
        <v>19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C557">
        <v>0</v>
      </c>
      <c r="DD557">
        <v>0</v>
      </c>
      <c r="DE557">
        <v>0</v>
      </c>
      <c r="DF557">
        <v>0</v>
      </c>
      <c r="DH557">
        <v>0</v>
      </c>
      <c r="DI557">
        <v>0</v>
      </c>
    </row>
    <row r="558" spans="1:113" ht="15" customHeight="1" x14ac:dyDescent="0.25">
      <c r="A558" t="s">
        <v>3362</v>
      </c>
      <c r="B558" t="s">
        <v>1629</v>
      </c>
      <c r="C558" t="s">
        <v>3363</v>
      </c>
      <c r="D558" t="s">
        <v>1684</v>
      </c>
      <c r="E558" t="s">
        <v>1307</v>
      </c>
      <c r="F558" t="s">
        <v>3364</v>
      </c>
      <c r="G558">
        <v>2025</v>
      </c>
      <c r="H558" t="s">
        <v>1160</v>
      </c>
      <c r="I558" t="s">
        <v>123</v>
      </c>
      <c r="J558">
        <v>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Y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S558">
        <v>0</v>
      </c>
      <c r="AU558">
        <v>0</v>
      </c>
      <c r="AV558">
        <v>0</v>
      </c>
      <c r="AW558">
        <v>0</v>
      </c>
      <c r="AX558">
        <v>0</v>
      </c>
      <c r="AY558">
        <v>9</v>
      </c>
      <c r="AZ558">
        <v>0</v>
      </c>
      <c r="BA558">
        <v>5</v>
      </c>
      <c r="BB558">
        <v>1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2</v>
      </c>
      <c r="BU558">
        <v>6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C558">
        <v>0</v>
      </c>
      <c r="DD558">
        <v>0</v>
      </c>
      <c r="DE558">
        <v>0</v>
      </c>
      <c r="DF558">
        <v>0</v>
      </c>
      <c r="DH558">
        <v>0</v>
      </c>
      <c r="DI558">
        <v>0</v>
      </c>
    </row>
    <row r="559" spans="1:113" ht="15" customHeight="1" x14ac:dyDescent="0.25">
      <c r="A559" t="s">
        <v>3365</v>
      </c>
      <c r="B559" t="s">
        <v>1483</v>
      </c>
      <c r="C559" t="s">
        <v>3366</v>
      </c>
      <c r="D559" t="s">
        <v>1243</v>
      </c>
      <c r="E559" t="s">
        <v>1190</v>
      </c>
      <c r="F559" t="s">
        <v>3367</v>
      </c>
      <c r="G559">
        <v>2025</v>
      </c>
      <c r="H559" t="s">
        <v>1160</v>
      </c>
      <c r="I559" t="s">
        <v>139</v>
      </c>
      <c r="J559">
        <v>16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Y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S559">
        <v>0</v>
      </c>
      <c r="AU559">
        <v>0</v>
      </c>
      <c r="AV559">
        <v>0</v>
      </c>
      <c r="AW559">
        <v>0</v>
      </c>
      <c r="AX559">
        <v>0</v>
      </c>
      <c r="AY559">
        <v>13</v>
      </c>
      <c r="AZ559">
        <v>1</v>
      </c>
      <c r="BA559">
        <v>17</v>
      </c>
      <c r="BB559">
        <v>4</v>
      </c>
      <c r="BC559">
        <v>4</v>
      </c>
      <c r="BD559">
        <v>0</v>
      </c>
      <c r="BE559">
        <v>0.5</v>
      </c>
      <c r="BF559">
        <v>3.5</v>
      </c>
      <c r="BG559">
        <v>8</v>
      </c>
      <c r="BH559">
        <v>1</v>
      </c>
      <c r="BI559">
        <v>37</v>
      </c>
      <c r="BJ559">
        <v>4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5</v>
      </c>
      <c r="BU559">
        <v>25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C559">
        <v>0</v>
      </c>
      <c r="DD559">
        <v>0</v>
      </c>
      <c r="DE559">
        <v>0</v>
      </c>
      <c r="DF559">
        <v>0</v>
      </c>
      <c r="DH559">
        <v>0</v>
      </c>
      <c r="DI559">
        <v>0</v>
      </c>
    </row>
    <row r="560" spans="1:113" ht="15" customHeight="1" x14ac:dyDescent="0.25">
      <c r="A560" t="s">
        <v>3368</v>
      </c>
      <c r="B560" t="s">
        <v>3369</v>
      </c>
      <c r="C560" t="s">
        <v>660</v>
      </c>
      <c r="D560" t="s">
        <v>431</v>
      </c>
      <c r="E560" t="s">
        <v>431</v>
      </c>
      <c r="F560" t="s">
        <v>3370</v>
      </c>
      <c r="G560">
        <v>2025</v>
      </c>
      <c r="H560" t="s">
        <v>1160</v>
      </c>
      <c r="I560" t="s">
        <v>111</v>
      </c>
      <c r="J560">
        <v>17</v>
      </c>
      <c r="K560">
        <v>1</v>
      </c>
      <c r="L560">
        <v>2</v>
      </c>
      <c r="M560">
        <v>3</v>
      </c>
      <c r="N560">
        <v>1</v>
      </c>
      <c r="O560">
        <v>0</v>
      </c>
      <c r="P560">
        <v>1</v>
      </c>
      <c r="Q560">
        <v>-5</v>
      </c>
      <c r="R560">
        <v>0</v>
      </c>
      <c r="S560">
        <v>0</v>
      </c>
      <c r="T560">
        <v>7</v>
      </c>
      <c r="U560">
        <v>0</v>
      </c>
      <c r="V560">
        <v>1</v>
      </c>
      <c r="W560">
        <v>-1.7448692192556301</v>
      </c>
      <c r="X560">
        <v>3.4457921981811501</v>
      </c>
      <c r="Y560">
        <v>0</v>
      </c>
      <c r="Z560">
        <v>0.42857142857142899</v>
      </c>
      <c r="AA560">
        <v>158</v>
      </c>
      <c r="AB560">
        <v>716</v>
      </c>
      <c r="AC560">
        <v>8</v>
      </c>
      <c r="AD560">
        <v>2</v>
      </c>
      <c r="AE560">
        <v>1</v>
      </c>
      <c r="AF560">
        <v>42</v>
      </c>
      <c r="AG560">
        <v>-0.58100320264929906</v>
      </c>
      <c r="AH560">
        <v>1</v>
      </c>
      <c r="AI560">
        <v>24</v>
      </c>
      <c r="AJ560">
        <v>29</v>
      </c>
      <c r="AK560">
        <v>192</v>
      </c>
      <c r="AL560">
        <v>0</v>
      </c>
      <c r="AM560">
        <v>0</v>
      </c>
      <c r="AN560">
        <v>0</v>
      </c>
      <c r="AO560">
        <v>12</v>
      </c>
      <c r="AP560">
        <v>199</v>
      </c>
      <c r="AQ560">
        <v>11</v>
      </c>
      <c r="AR560">
        <v>3.1299317749829298</v>
      </c>
      <c r="AS560">
        <v>0</v>
      </c>
      <c r="AT560">
        <v>16</v>
      </c>
      <c r="AU560">
        <v>5.2727272727272699E-2</v>
      </c>
      <c r="AV560">
        <v>3.21543408360129E-3</v>
      </c>
      <c r="AW560">
        <v>8.1341712949430003E-2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C560">
        <v>0</v>
      </c>
      <c r="DD560">
        <v>0</v>
      </c>
      <c r="DE560">
        <v>0</v>
      </c>
      <c r="DF560">
        <v>0</v>
      </c>
      <c r="DH560">
        <v>142.91999999999999</v>
      </c>
      <c r="DI560">
        <v>166.92</v>
      </c>
    </row>
    <row r="561" spans="1:113" ht="15" customHeight="1" x14ac:dyDescent="0.25">
      <c r="A561" t="s">
        <v>3371</v>
      </c>
      <c r="B561" t="s">
        <v>3372</v>
      </c>
      <c r="C561" t="s">
        <v>3373</v>
      </c>
      <c r="D561" t="s">
        <v>2018</v>
      </c>
      <c r="E561" t="s">
        <v>1234</v>
      </c>
      <c r="F561" t="s">
        <v>3374</v>
      </c>
      <c r="G561">
        <v>2025</v>
      </c>
      <c r="H561" t="s">
        <v>1160</v>
      </c>
      <c r="I561" t="s">
        <v>139</v>
      </c>
      <c r="J561">
        <v>17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Y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S561">
        <v>0</v>
      </c>
      <c r="AU561">
        <v>0</v>
      </c>
      <c r="AV561">
        <v>0</v>
      </c>
      <c r="AW561">
        <v>0</v>
      </c>
      <c r="AX561">
        <v>0</v>
      </c>
      <c r="AY561">
        <v>75</v>
      </c>
      <c r="AZ561">
        <v>3</v>
      </c>
      <c r="BA561">
        <v>65</v>
      </c>
      <c r="BB561">
        <v>2</v>
      </c>
      <c r="BC561">
        <v>5</v>
      </c>
      <c r="BD561">
        <v>0</v>
      </c>
      <c r="BE561">
        <v>1</v>
      </c>
      <c r="BF561">
        <v>0</v>
      </c>
      <c r="BG561">
        <v>1</v>
      </c>
      <c r="BH561">
        <v>2</v>
      </c>
      <c r="BI561">
        <v>54</v>
      </c>
      <c r="BJ561">
        <v>6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1</v>
      </c>
      <c r="BR561">
        <v>1</v>
      </c>
      <c r="BS561">
        <v>0</v>
      </c>
      <c r="BT561">
        <v>2</v>
      </c>
      <c r="BU561">
        <v>20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C561">
        <v>0</v>
      </c>
      <c r="DD561">
        <v>0</v>
      </c>
      <c r="DE561">
        <v>0</v>
      </c>
      <c r="DF561">
        <v>0</v>
      </c>
      <c r="DH561">
        <v>0</v>
      </c>
      <c r="DI561">
        <v>0</v>
      </c>
    </row>
    <row r="562" spans="1:113" ht="15" customHeight="1" x14ac:dyDescent="0.25">
      <c r="A562" t="s">
        <v>3375</v>
      </c>
      <c r="B562" t="s">
        <v>3376</v>
      </c>
      <c r="C562" t="s">
        <v>3377</v>
      </c>
      <c r="D562" t="s">
        <v>1219</v>
      </c>
      <c r="E562" t="s">
        <v>1220</v>
      </c>
      <c r="F562" t="s">
        <v>3378</v>
      </c>
      <c r="G562">
        <v>2025</v>
      </c>
      <c r="H562" t="s">
        <v>1160</v>
      </c>
      <c r="I562" t="s">
        <v>131</v>
      </c>
      <c r="J562">
        <v>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Y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S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7</v>
      </c>
      <c r="BU562">
        <v>38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C562">
        <v>0</v>
      </c>
      <c r="DD562">
        <v>0</v>
      </c>
      <c r="DE562">
        <v>0</v>
      </c>
      <c r="DF562">
        <v>0</v>
      </c>
      <c r="DH562">
        <v>0</v>
      </c>
      <c r="DI562">
        <v>0</v>
      </c>
    </row>
    <row r="563" spans="1:113" ht="15" customHeight="1" x14ac:dyDescent="0.25">
      <c r="A563" t="s">
        <v>3379</v>
      </c>
      <c r="B563" t="s">
        <v>3380</v>
      </c>
      <c r="C563" t="s">
        <v>491</v>
      </c>
      <c r="D563" t="s">
        <v>439</v>
      </c>
      <c r="E563" t="s">
        <v>439</v>
      </c>
      <c r="F563" t="s">
        <v>3381</v>
      </c>
      <c r="G563">
        <v>2025</v>
      </c>
      <c r="H563" t="s">
        <v>1160</v>
      </c>
      <c r="I563" t="s">
        <v>99</v>
      </c>
      <c r="J563">
        <v>16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Y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H563">
        <v>0</v>
      </c>
      <c r="AI563">
        <v>36</v>
      </c>
      <c r="AJ563">
        <v>49</v>
      </c>
      <c r="AK563">
        <v>417</v>
      </c>
      <c r="AL563">
        <v>4</v>
      </c>
      <c r="AM563">
        <v>0</v>
      </c>
      <c r="AN563">
        <v>0</v>
      </c>
      <c r="AO563">
        <v>329</v>
      </c>
      <c r="AP563">
        <v>183</v>
      </c>
      <c r="AQ563">
        <v>23</v>
      </c>
      <c r="AR563">
        <v>17.479681118900899</v>
      </c>
      <c r="AS563">
        <v>1</v>
      </c>
      <c r="AT563">
        <v>1.26747720364742</v>
      </c>
      <c r="AU563">
        <v>0.102296450939457</v>
      </c>
      <c r="AV563">
        <v>9.1034864416159406E-2</v>
      </c>
      <c r="AW563">
        <v>0.21716908150049699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10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C563">
        <v>0</v>
      </c>
      <c r="DD563">
        <v>0</v>
      </c>
      <c r="DE563">
        <v>0</v>
      </c>
      <c r="DF563">
        <v>0</v>
      </c>
      <c r="DH563">
        <v>67.7</v>
      </c>
      <c r="DI563">
        <v>103.7</v>
      </c>
    </row>
    <row r="564" spans="1:113" ht="15" customHeight="1" x14ac:dyDescent="0.25">
      <c r="A564" t="s">
        <v>3382</v>
      </c>
      <c r="B564" t="s">
        <v>3383</v>
      </c>
      <c r="C564" t="s">
        <v>3384</v>
      </c>
      <c r="D564" t="s">
        <v>1189</v>
      </c>
      <c r="E564" t="s">
        <v>1190</v>
      </c>
      <c r="F564" t="s">
        <v>3385</v>
      </c>
      <c r="G564">
        <v>2025</v>
      </c>
      <c r="H564" t="s">
        <v>1160</v>
      </c>
      <c r="I564" t="s">
        <v>141</v>
      </c>
      <c r="J564">
        <v>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Y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>
        <v>0</v>
      </c>
      <c r="AU564">
        <v>0</v>
      </c>
      <c r="AV564">
        <v>0</v>
      </c>
      <c r="AW564">
        <v>0</v>
      </c>
      <c r="AX564">
        <v>0</v>
      </c>
      <c r="AY564">
        <v>13</v>
      </c>
      <c r="AZ564">
        <v>0</v>
      </c>
      <c r="BA564">
        <v>12</v>
      </c>
      <c r="BB564">
        <v>4</v>
      </c>
      <c r="BC564">
        <v>37</v>
      </c>
      <c r="BD564">
        <v>0</v>
      </c>
      <c r="BE564">
        <v>4</v>
      </c>
      <c r="BF564">
        <v>37</v>
      </c>
      <c r="BG564">
        <v>5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</v>
      </c>
      <c r="BU564">
        <v>5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C564">
        <v>0</v>
      </c>
      <c r="DD564">
        <v>0</v>
      </c>
      <c r="DE564">
        <v>0</v>
      </c>
      <c r="DF564">
        <v>0</v>
      </c>
      <c r="DH564">
        <v>0</v>
      </c>
      <c r="DI564">
        <v>0</v>
      </c>
    </row>
    <row r="565" spans="1:113" ht="15" customHeight="1" x14ac:dyDescent="0.25">
      <c r="A565" t="s">
        <v>3386</v>
      </c>
      <c r="B565" t="s">
        <v>3387</v>
      </c>
      <c r="C565" t="s">
        <v>3388</v>
      </c>
      <c r="D565" t="s">
        <v>1234</v>
      </c>
      <c r="E565" t="s">
        <v>1234</v>
      </c>
      <c r="F565" t="s">
        <v>3389</v>
      </c>
      <c r="G565">
        <v>2025</v>
      </c>
      <c r="H565" t="s">
        <v>1160</v>
      </c>
      <c r="I565" t="s">
        <v>124</v>
      </c>
      <c r="J565">
        <v>16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Y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S565">
        <v>0</v>
      </c>
      <c r="AU565">
        <v>0</v>
      </c>
      <c r="AV565">
        <v>0</v>
      </c>
      <c r="AW565">
        <v>0</v>
      </c>
      <c r="AX565">
        <v>0</v>
      </c>
      <c r="AY565">
        <v>65</v>
      </c>
      <c r="AZ565">
        <v>1</v>
      </c>
      <c r="BA565">
        <v>59</v>
      </c>
      <c r="BB565">
        <v>6</v>
      </c>
      <c r="BC565">
        <v>20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10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</v>
      </c>
      <c r="BR565">
        <v>2</v>
      </c>
      <c r="BS565">
        <v>0</v>
      </c>
      <c r="BT565">
        <v>1</v>
      </c>
      <c r="BU565">
        <v>5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C565">
        <v>0</v>
      </c>
      <c r="DD565">
        <v>0</v>
      </c>
      <c r="DE565">
        <v>0</v>
      </c>
      <c r="DF565">
        <v>0</v>
      </c>
      <c r="DH565">
        <v>0</v>
      </c>
      <c r="DI565">
        <v>0</v>
      </c>
    </row>
    <row r="566" spans="1:113" ht="15" customHeight="1" x14ac:dyDescent="0.25">
      <c r="A566" t="s">
        <v>3390</v>
      </c>
      <c r="B566" t="s">
        <v>3391</v>
      </c>
      <c r="C566" t="s">
        <v>3392</v>
      </c>
      <c r="D566" t="s">
        <v>1219</v>
      </c>
      <c r="E566" t="s">
        <v>1220</v>
      </c>
      <c r="F566" t="s">
        <v>3393</v>
      </c>
      <c r="G566">
        <v>2025</v>
      </c>
      <c r="H566" t="s">
        <v>1160</v>
      </c>
      <c r="I566" t="s">
        <v>106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Y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S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4</v>
      </c>
      <c r="BU566">
        <v>25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C566">
        <v>0</v>
      </c>
      <c r="DD566">
        <v>0</v>
      </c>
      <c r="DE566">
        <v>0</v>
      </c>
      <c r="DF566">
        <v>0</v>
      </c>
      <c r="DH566">
        <v>0</v>
      </c>
      <c r="DI566">
        <v>0</v>
      </c>
    </row>
    <row r="567" spans="1:113" ht="15" customHeight="1" x14ac:dyDescent="0.25">
      <c r="A567" t="s">
        <v>3394</v>
      </c>
      <c r="B567" t="s">
        <v>3395</v>
      </c>
      <c r="C567" t="s">
        <v>3396</v>
      </c>
      <c r="D567" t="s">
        <v>1350</v>
      </c>
      <c r="E567" t="s">
        <v>1307</v>
      </c>
      <c r="F567" t="s">
        <v>3397</v>
      </c>
      <c r="G567">
        <v>2025</v>
      </c>
      <c r="H567" t="s">
        <v>1160</v>
      </c>
      <c r="I567" t="s">
        <v>126</v>
      </c>
      <c r="J567">
        <v>13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Y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S567">
        <v>0</v>
      </c>
      <c r="AU567">
        <v>0</v>
      </c>
      <c r="AV567">
        <v>0</v>
      </c>
      <c r="AW567">
        <v>0</v>
      </c>
      <c r="AX567">
        <v>0</v>
      </c>
      <c r="AY567">
        <v>38</v>
      </c>
      <c r="AZ567">
        <v>0</v>
      </c>
      <c r="BA567">
        <v>8</v>
      </c>
      <c r="BB567">
        <v>1</v>
      </c>
      <c r="BC567">
        <v>5</v>
      </c>
      <c r="BD567">
        <v>2</v>
      </c>
      <c r="BE567">
        <v>1</v>
      </c>
      <c r="BF567">
        <v>8</v>
      </c>
      <c r="BG567">
        <v>2</v>
      </c>
      <c r="BH567">
        <v>3</v>
      </c>
      <c r="BI567">
        <v>74</v>
      </c>
      <c r="BJ567">
        <v>9</v>
      </c>
      <c r="BK567">
        <v>1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3</v>
      </c>
      <c r="BU567">
        <v>35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C567">
        <v>0</v>
      </c>
      <c r="DD567">
        <v>0</v>
      </c>
      <c r="DE567">
        <v>0</v>
      </c>
      <c r="DF567">
        <v>0</v>
      </c>
      <c r="DH567">
        <v>0</v>
      </c>
      <c r="DI567">
        <v>0</v>
      </c>
    </row>
    <row r="568" spans="1:113" ht="15" customHeight="1" x14ac:dyDescent="0.25">
      <c r="A568" t="s">
        <v>3398</v>
      </c>
      <c r="B568" t="s">
        <v>3399</v>
      </c>
      <c r="C568" t="s">
        <v>634</v>
      </c>
      <c r="D568" t="s">
        <v>431</v>
      </c>
      <c r="E568" t="s">
        <v>431</v>
      </c>
      <c r="F568" t="s">
        <v>3400</v>
      </c>
      <c r="G568">
        <v>2025</v>
      </c>
      <c r="H568" t="s">
        <v>1160</v>
      </c>
      <c r="I568" t="s">
        <v>118</v>
      </c>
      <c r="J568">
        <v>15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Y568">
        <v>0</v>
      </c>
      <c r="AA568">
        <v>234</v>
      </c>
      <c r="AB568">
        <v>929</v>
      </c>
      <c r="AC568">
        <v>13</v>
      </c>
      <c r="AD568">
        <v>3</v>
      </c>
      <c r="AE568">
        <v>2</v>
      </c>
      <c r="AF568">
        <v>56</v>
      </c>
      <c r="AG568">
        <v>-14.8359953293267</v>
      </c>
      <c r="AH568">
        <v>0</v>
      </c>
      <c r="AI568">
        <v>36</v>
      </c>
      <c r="AJ568">
        <v>44</v>
      </c>
      <c r="AK568">
        <v>282</v>
      </c>
      <c r="AL568">
        <v>1</v>
      </c>
      <c r="AM568">
        <v>0</v>
      </c>
      <c r="AN568">
        <v>0</v>
      </c>
      <c r="AO568">
        <v>-39</v>
      </c>
      <c r="AP568">
        <v>304</v>
      </c>
      <c r="AQ568">
        <v>8</v>
      </c>
      <c r="AR568">
        <v>11.8480351399896</v>
      </c>
      <c r="AS568">
        <v>0</v>
      </c>
      <c r="AT568">
        <v>-7.2307692307692299</v>
      </c>
      <c r="AU568">
        <v>9.5652173913043495E-2</v>
      </c>
      <c r="AV568">
        <v>-9.1057669857576504E-3</v>
      </c>
      <c r="AW568">
        <v>0.13710422397953501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1</v>
      </c>
      <c r="BU568">
        <v>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C568">
        <v>0</v>
      </c>
      <c r="DD568">
        <v>0</v>
      </c>
      <c r="DE568">
        <v>0</v>
      </c>
      <c r="DF568">
        <v>0</v>
      </c>
      <c r="DH568">
        <v>201.1</v>
      </c>
      <c r="DI568">
        <v>237.1</v>
      </c>
    </row>
    <row r="569" spans="1:113" ht="15" customHeight="1" x14ac:dyDescent="0.25">
      <c r="A569" t="s">
        <v>3401</v>
      </c>
      <c r="B569" t="s">
        <v>3402</v>
      </c>
      <c r="C569" t="s">
        <v>3403</v>
      </c>
      <c r="D569" t="s">
        <v>1297</v>
      </c>
      <c r="E569" t="s">
        <v>1220</v>
      </c>
      <c r="F569" t="s">
        <v>3404</v>
      </c>
      <c r="G569">
        <v>2025</v>
      </c>
      <c r="H569" t="s">
        <v>1160</v>
      </c>
      <c r="I569" t="s">
        <v>107</v>
      </c>
      <c r="J569">
        <v>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Y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S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4</v>
      </c>
      <c r="BU569">
        <v>19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C569">
        <v>0</v>
      </c>
      <c r="DD569">
        <v>0</v>
      </c>
      <c r="DE569">
        <v>0</v>
      </c>
      <c r="DF569">
        <v>0</v>
      </c>
      <c r="DH569">
        <v>0</v>
      </c>
      <c r="DI569">
        <v>0</v>
      </c>
    </row>
    <row r="570" spans="1:113" ht="15" customHeight="1" x14ac:dyDescent="0.25">
      <c r="A570" t="s">
        <v>3405</v>
      </c>
      <c r="B570" t="s">
        <v>3406</v>
      </c>
      <c r="C570" t="s">
        <v>3407</v>
      </c>
      <c r="D570" t="s">
        <v>1158</v>
      </c>
      <c r="E570" t="s">
        <v>1158</v>
      </c>
      <c r="F570" t="s">
        <v>3408</v>
      </c>
      <c r="G570">
        <v>2025</v>
      </c>
      <c r="H570" t="s">
        <v>1160</v>
      </c>
      <c r="I570" t="s">
        <v>140</v>
      </c>
      <c r="J570">
        <v>3</v>
      </c>
      <c r="K570">
        <v>2</v>
      </c>
      <c r="L570">
        <v>3</v>
      </c>
      <c r="M570">
        <v>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5</v>
      </c>
      <c r="U570">
        <v>16</v>
      </c>
      <c r="V570">
        <v>1</v>
      </c>
      <c r="W570">
        <v>-0.89272280875593402</v>
      </c>
      <c r="X570">
        <v>-14.2897804578145</v>
      </c>
      <c r="Y570">
        <v>0</v>
      </c>
      <c r="Z570">
        <v>3</v>
      </c>
      <c r="AA570">
        <v>6</v>
      </c>
      <c r="AB570">
        <v>-5</v>
      </c>
      <c r="AC570">
        <v>0</v>
      </c>
      <c r="AD570">
        <v>2</v>
      </c>
      <c r="AE570">
        <v>0</v>
      </c>
      <c r="AF570">
        <v>2</v>
      </c>
      <c r="AG570">
        <v>-0.96694847010076002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S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2</v>
      </c>
      <c r="BP570">
        <v>2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C570">
        <v>0</v>
      </c>
      <c r="DD570">
        <v>0</v>
      </c>
      <c r="DE570">
        <v>0</v>
      </c>
      <c r="DF570">
        <v>0</v>
      </c>
      <c r="DH570">
        <v>0.1</v>
      </c>
      <c r="DI570">
        <v>0.1</v>
      </c>
    </row>
    <row r="571" spans="1:113" ht="15" customHeight="1" x14ac:dyDescent="0.25">
      <c r="A571" t="s">
        <v>3409</v>
      </c>
      <c r="B571" t="s">
        <v>3410</v>
      </c>
      <c r="C571" t="s">
        <v>3411</v>
      </c>
      <c r="D571" t="s">
        <v>1684</v>
      </c>
      <c r="E571" t="s">
        <v>1307</v>
      </c>
      <c r="F571" t="s">
        <v>3412</v>
      </c>
      <c r="G571">
        <v>2025</v>
      </c>
      <c r="H571" t="s">
        <v>1160</v>
      </c>
      <c r="I571" t="s">
        <v>90</v>
      </c>
      <c r="J571">
        <v>15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Y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S571">
        <v>0</v>
      </c>
      <c r="AU571">
        <v>0</v>
      </c>
      <c r="AV571">
        <v>0</v>
      </c>
      <c r="AW571">
        <v>0</v>
      </c>
      <c r="AX571">
        <v>0</v>
      </c>
      <c r="AY571">
        <v>57</v>
      </c>
      <c r="AZ571">
        <v>1</v>
      </c>
      <c r="BA571">
        <v>36</v>
      </c>
      <c r="BB571">
        <v>2</v>
      </c>
      <c r="BC571">
        <v>6</v>
      </c>
      <c r="BD571">
        <v>1</v>
      </c>
      <c r="BE571">
        <v>1</v>
      </c>
      <c r="BF571">
        <v>5</v>
      </c>
      <c r="BG571">
        <v>0</v>
      </c>
      <c r="BH571">
        <v>0</v>
      </c>
      <c r="BI571">
        <v>0</v>
      </c>
      <c r="BJ571">
        <v>6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5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C571">
        <v>0</v>
      </c>
      <c r="DD571">
        <v>0</v>
      </c>
      <c r="DE571">
        <v>0</v>
      </c>
      <c r="DF571">
        <v>0</v>
      </c>
      <c r="DH571">
        <v>0</v>
      </c>
      <c r="DI571">
        <v>0</v>
      </c>
    </row>
    <row r="572" spans="1:113" ht="15" customHeight="1" x14ac:dyDescent="0.25">
      <c r="A572" t="s">
        <v>3413</v>
      </c>
      <c r="B572" t="s">
        <v>3414</v>
      </c>
      <c r="C572" t="s">
        <v>3415</v>
      </c>
      <c r="D572" t="s">
        <v>1234</v>
      </c>
      <c r="E572" t="s">
        <v>1234</v>
      </c>
      <c r="F572" t="s">
        <v>3416</v>
      </c>
      <c r="G572">
        <v>2025</v>
      </c>
      <c r="H572" t="s">
        <v>1160</v>
      </c>
      <c r="I572" t="s">
        <v>89</v>
      </c>
      <c r="J572">
        <v>17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Y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S572">
        <v>0</v>
      </c>
      <c r="AU572">
        <v>0</v>
      </c>
      <c r="AV572">
        <v>0</v>
      </c>
      <c r="AW572">
        <v>0</v>
      </c>
      <c r="AX572">
        <v>0</v>
      </c>
      <c r="AY572">
        <v>90</v>
      </c>
      <c r="AZ572">
        <v>5</v>
      </c>
      <c r="BA572">
        <v>79</v>
      </c>
      <c r="BB572">
        <v>11</v>
      </c>
      <c r="BC572">
        <v>34</v>
      </c>
      <c r="BD572">
        <v>1</v>
      </c>
      <c r="BE572">
        <v>2.5</v>
      </c>
      <c r="BF572">
        <v>18.5</v>
      </c>
      <c r="BG572">
        <v>7</v>
      </c>
      <c r="BH572">
        <v>1</v>
      </c>
      <c r="BI572">
        <v>0</v>
      </c>
      <c r="BJ572">
        <v>3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4</v>
      </c>
      <c r="BU572">
        <v>50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C572">
        <v>0</v>
      </c>
      <c r="DD572">
        <v>0</v>
      </c>
      <c r="DE572">
        <v>0</v>
      </c>
      <c r="DF572">
        <v>0</v>
      </c>
      <c r="DH572">
        <v>0</v>
      </c>
      <c r="DI572">
        <v>0</v>
      </c>
    </row>
    <row r="573" spans="1:113" ht="15" customHeight="1" x14ac:dyDescent="0.25">
      <c r="A573" t="s">
        <v>3417</v>
      </c>
      <c r="B573" t="s">
        <v>1409</v>
      </c>
      <c r="C573" t="s">
        <v>3418</v>
      </c>
      <c r="D573" t="s">
        <v>1158</v>
      </c>
      <c r="E573" t="s">
        <v>1158</v>
      </c>
      <c r="F573" t="s">
        <v>3419</v>
      </c>
      <c r="G573">
        <v>2025</v>
      </c>
      <c r="H573" t="s">
        <v>1160</v>
      </c>
      <c r="I573" t="s">
        <v>124</v>
      </c>
      <c r="J573">
        <v>13</v>
      </c>
      <c r="K573">
        <v>261</v>
      </c>
      <c r="L573">
        <v>384</v>
      </c>
      <c r="M573">
        <v>3101</v>
      </c>
      <c r="N573">
        <v>19</v>
      </c>
      <c r="O573">
        <v>8</v>
      </c>
      <c r="P573">
        <v>22</v>
      </c>
      <c r="Q573">
        <v>-158</v>
      </c>
      <c r="R573">
        <v>6</v>
      </c>
      <c r="S573">
        <v>3</v>
      </c>
      <c r="T573">
        <v>3073</v>
      </c>
      <c r="U573">
        <v>1351</v>
      </c>
      <c r="V573">
        <v>150</v>
      </c>
      <c r="W573">
        <v>65.255514997586701</v>
      </c>
      <c r="X573">
        <v>2.2971419322906201</v>
      </c>
      <c r="Y573">
        <v>1</v>
      </c>
      <c r="Z573">
        <v>1.00911161731207</v>
      </c>
      <c r="AA573">
        <v>45</v>
      </c>
      <c r="AB573">
        <v>164</v>
      </c>
      <c r="AC573">
        <v>5</v>
      </c>
      <c r="AD573">
        <v>2</v>
      </c>
      <c r="AE573">
        <v>0</v>
      </c>
      <c r="AF573">
        <v>21</v>
      </c>
      <c r="AG573">
        <v>16.1764076690454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3</v>
      </c>
      <c r="BP573">
        <v>3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C573">
        <v>0</v>
      </c>
      <c r="DD573">
        <v>0</v>
      </c>
      <c r="DE573">
        <v>0</v>
      </c>
      <c r="DF573">
        <v>0</v>
      </c>
      <c r="DH573">
        <v>226.44</v>
      </c>
      <c r="DI573">
        <v>226.44</v>
      </c>
    </row>
    <row r="574" spans="1:113" ht="15" customHeight="1" x14ac:dyDescent="0.25">
      <c r="A574" t="s">
        <v>3420</v>
      </c>
      <c r="B574" t="s">
        <v>3421</v>
      </c>
      <c r="C574" t="s">
        <v>3422</v>
      </c>
      <c r="D574" t="s">
        <v>1234</v>
      </c>
      <c r="E574" t="s">
        <v>1234</v>
      </c>
      <c r="F574" t="s">
        <v>3423</v>
      </c>
      <c r="G574">
        <v>2025</v>
      </c>
      <c r="H574" t="s">
        <v>1160</v>
      </c>
      <c r="I574" t="s">
        <v>139</v>
      </c>
      <c r="J574">
        <v>17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Y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>
        <v>0</v>
      </c>
      <c r="AU574">
        <v>0</v>
      </c>
      <c r="AV574">
        <v>0</v>
      </c>
      <c r="AW574">
        <v>0</v>
      </c>
      <c r="AX574">
        <v>0</v>
      </c>
      <c r="AY574">
        <v>39</v>
      </c>
      <c r="AZ574">
        <v>0</v>
      </c>
      <c r="BA574">
        <v>28</v>
      </c>
      <c r="BB574">
        <v>22</v>
      </c>
      <c r="BC574">
        <v>150</v>
      </c>
      <c r="BD574">
        <v>3</v>
      </c>
      <c r="BE574">
        <v>16.5</v>
      </c>
      <c r="BF574">
        <v>136</v>
      </c>
      <c r="BG574">
        <v>31</v>
      </c>
      <c r="BH574">
        <v>0</v>
      </c>
      <c r="BI574">
        <v>0</v>
      </c>
      <c r="BJ574">
        <v>7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1</v>
      </c>
      <c r="BS574">
        <v>0</v>
      </c>
      <c r="BT574">
        <v>1</v>
      </c>
      <c r="BU574">
        <v>5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C574">
        <v>0</v>
      </c>
      <c r="DD574">
        <v>0</v>
      </c>
      <c r="DE574">
        <v>0</v>
      </c>
      <c r="DF574">
        <v>0</v>
      </c>
      <c r="DH574">
        <v>0</v>
      </c>
      <c r="DI574">
        <v>0</v>
      </c>
    </row>
    <row r="575" spans="1:113" ht="15" customHeight="1" x14ac:dyDescent="0.25">
      <c r="A575" t="s">
        <v>3424</v>
      </c>
      <c r="B575" t="s">
        <v>3425</v>
      </c>
      <c r="C575" t="s">
        <v>3426</v>
      </c>
      <c r="D575" t="s">
        <v>1189</v>
      </c>
      <c r="E575" t="s">
        <v>1190</v>
      </c>
      <c r="F575" t="s">
        <v>3427</v>
      </c>
      <c r="G575">
        <v>2025</v>
      </c>
      <c r="H575" t="s">
        <v>1160</v>
      </c>
      <c r="I575" t="s">
        <v>141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Y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S575">
        <v>0</v>
      </c>
      <c r="AU575">
        <v>0</v>
      </c>
      <c r="AV575">
        <v>0</v>
      </c>
      <c r="AW575">
        <v>0</v>
      </c>
      <c r="AX575">
        <v>0</v>
      </c>
      <c r="AY575">
        <v>9</v>
      </c>
      <c r="AZ575">
        <v>0</v>
      </c>
      <c r="BA575">
        <v>8</v>
      </c>
      <c r="BB575">
        <v>4</v>
      </c>
      <c r="BC575">
        <v>20</v>
      </c>
      <c r="BD575">
        <v>2</v>
      </c>
      <c r="BE575">
        <v>2</v>
      </c>
      <c r="BF575">
        <v>9</v>
      </c>
      <c r="BG575">
        <v>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C575">
        <v>0</v>
      </c>
      <c r="DD575">
        <v>0</v>
      </c>
      <c r="DE575">
        <v>0</v>
      </c>
      <c r="DF575">
        <v>0</v>
      </c>
      <c r="DH575">
        <v>0</v>
      </c>
      <c r="DI575">
        <v>0</v>
      </c>
    </row>
    <row r="576" spans="1:113" ht="15" customHeight="1" x14ac:dyDescent="0.25">
      <c r="A576" t="s">
        <v>3428</v>
      </c>
      <c r="B576" t="s">
        <v>3359</v>
      </c>
      <c r="C576" t="s">
        <v>3429</v>
      </c>
      <c r="D576" t="s">
        <v>1243</v>
      </c>
      <c r="E576" t="s">
        <v>1190</v>
      </c>
      <c r="F576" t="s">
        <v>3430</v>
      </c>
      <c r="G576">
        <v>2025</v>
      </c>
      <c r="H576" t="s">
        <v>1160</v>
      </c>
      <c r="I576" t="s">
        <v>112</v>
      </c>
      <c r="J576">
        <v>15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Y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S576">
        <v>0</v>
      </c>
      <c r="AU576">
        <v>0</v>
      </c>
      <c r="AV576">
        <v>0</v>
      </c>
      <c r="AW576">
        <v>0</v>
      </c>
      <c r="AX576">
        <v>0</v>
      </c>
      <c r="AY576">
        <v>25</v>
      </c>
      <c r="AZ576">
        <v>1</v>
      </c>
      <c r="BA576">
        <v>27</v>
      </c>
      <c r="BB576">
        <v>10</v>
      </c>
      <c r="BC576">
        <v>31</v>
      </c>
      <c r="BD576">
        <v>3</v>
      </c>
      <c r="BE576">
        <v>2.5</v>
      </c>
      <c r="BF576">
        <v>15.5</v>
      </c>
      <c r="BG576">
        <v>12</v>
      </c>
      <c r="BH576">
        <v>1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4</v>
      </c>
      <c r="BU576">
        <v>40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C576">
        <v>0</v>
      </c>
      <c r="DD576">
        <v>0</v>
      </c>
      <c r="DE576">
        <v>0</v>
      </c>
      <c r="DF576">
        <v>0</v>
      </c>
      <c r="DH576">
        <v>0</v>
      </c>
      <c r="DI576">
        <v>0</v>
      </c>
    </row>
    <row r="577" spans="1:113" ht="15" customHeight="1" x14ac:dyDescent="0.25">
      <c r="A577" t="s">
        <v>3431</v>
      </c>
      <c r="B577" t="s">
        <v>3432</v>
      </c>
      <c r="C577" t="s">
        <v>3433</v>
      </c>
      <c r="D577" t="s">
        <v>10</v>
      </c>
      <c r="E577" t="s">
        <v>10</v>
      </c>
      <c r="F577" t="s">
        <v>3434</v>
      </c>
      <c r="G577">
        <v>2025</v>
      </c>
      <c r="H577" t="s">
        <v>1160</v>
      </c>
      <c r="I577" t="s">
        <v>143</v>
      </c>
      <c r="J577">
        <v>16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Y577">
        <v>0</v>
      </c>
      <c r="AA577">
        <v>17</v>
      </c>
      <c r="AB577">
        <v>75</v>
      </c>
      <c r="AC577">
        <v>1</v>
      </c>
      <c r="AD577">
        <v>1</v>
      </c>
      <c r="AE577">
        <v>0</v>
      </c>
      <c r="AF577">
        <v>4</v>
      </c>
      <c r="AG577">
        <v>0.14260056189959899</v>
      </c>
      <c r="AH577">
        <v>0</v>
      </c>
      <c r="AI577">
        <v>72</v>
      </c>
      <c r="AJ577">
        <v>99</v>
      </c>
      <c r="AK577">
        <v>727</v>
      </c>
      <c r="AL577">
        <v>5</v>
      </c>
      <c r="AM577">
        <v>1</v>
      </c>
      <c r="AN577">
        <v>0</v>
      </c>
      <c r="AO577">
        <v>527</v>
      </c>
      <c r="AP577">
        <v>466</v>
      </c>
      <c r="AQ577">
        <v>32</v>
      </c>
      <c r="AR577">
        <v>17.6210900149823</v>
      </c>
      <c r="AS577">
        <v>0</v>
      </c>
      <c r="AT577">
        <v>1.37950664136622</v>
      </c>
      <c r="AU577">
        <v>0.22916666666666699</v>
      </c>
      <c r="AV577">
        <v>0.13181590795397699</v>
      </c>
      <c r="AW577">
        <v>0.43602113556778399</v>
      </c>
      <c r="AX577">
        <v>0</v>
      </c>
      <c r="AY577">
        <v>4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2</v>
      </c>
      <c r="BP577">
        <v>2</v>
      </c>
      <c r="BQ577">
        <v>0</v>
      </c>
      <c r="BR577">
        <v>0</v>
      </c>
      <c r="BS577">
        <v>0</v>
      </c>
      <c r="BT577">
        <v>3</v>
      </c>
      <c r="BU577">
        <v>25</v>
      </c>
      <c r="BV577">
        <v>0</v>
      </c>
      <c r="BW577">
        <v>0</v>
      </c>
      <c r="BX577">
        <v>15</v>
      </c>
      <c r="BY577">
        <v>452</v>
      </c>
      <c r="BZ577">
        <v>0</v>
      </c>
      <c r="CA577">
        <v>0</v>
      </c>
      <c r="CB577">
        <v>0</v>
      </c>
      <c r="CC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C577">
        <v>0</v>
      </c>
      <c r="DD577">
        <v>0</v>
      </c>
      <c r="DE577">
        <v>0</v>
      </c>
      <c r="DF577">
        <v>0</v>
      </c>
      <c r="DH577">
        <v>116.2</v>
      </c>
      <c r="DI577">
        <v>188.2</v>
      </c>
    </row>
    <row r="578" spans="1:113" ht="15" customHeight="1" x14ac:dyDescent="0.25">
      <c r="A578" t="s">
        <v>3435</v>
      </c>
      <c r="B578" t="s">
        <v>1193</v>
      </c>
      <c r="C578" t="s">
        <v>3436</v>
      </c>
      <c r="D578" t="s">
        <v>431</v>
      </c>
      <c r="E578" t="s">
        <v>431</v>
      </c>
      <c r="F578" t="s">
        <v>3437</v>
      </c>
      <c r="G578">
        <v>2025</v>
      </c>
      <c r="H578" t="s">
        <v>1160</v>
      </c>
      <c r="I578" t="s">
        <v>121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Y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C578">
        <v>0</v>
      </c>
      <c r="DD578">
        <v>0</v>
      </c>
      <c r="DE578">
        <v>0</v>
      </c>
      <c r="DF578">
        <v>0</v>
      </c>
      <c r="DH578">
        <v>0</v>
      </c>
      <c r="DI578">
        <v>0</v>
      </c>
    </row>
    <row r="579" spans="1:113" ht="15" customHeight="1" x14ac:dyDescent="0.25">
      <c r="A579" t="s">
        <v>3438</v>
      </c>
      <c r="B579" t="s">
        <v>3439</v>
      </c>
      <c r="C579" t="s">
        <v>3440</v>
      </c>
      <c r="D579" t="s">
        <v>1297</v>
      </c>
      <c r="E579" t="s">
        <v>1220</v>
      </c>
      <c r="F579" t="s">
        <v>3441</v>
      </c>
      <c r="G579">
        <v>2025</v>
      </c>
      <c r="H579" t="s">
        <v>1160</v>
      </c>
      <c r="I579" t="s">
        <v>120</v>
      </c>
      <c r="J579">
        <v>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Y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3</v>
      </c>
      <c r="BU579">
        <v>25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C579">
        <v>0</v>
      </c>
      <c r="DD579">
        <v>0</v>
      </c>
      <c r="DE579">
        <v>0</v>
      </c>
      <c r="DF579">
        <v>0</v>
      </c>
      <c r="DH579">
        <v>0</v>
      </c>
      <c r="DI579">
        <v>0</v>
      </c>
    </row>
    <row r="580" spans="1:113" ht="15" customHeight="1" x14ac:dyDescent="0.25">
      <c r="A580" t="s">
        <v>3442</v>
      </c>
      <c r="B580" t="s">
        <v>3443</v>
      </c>
      <c r="C580" t="s">
        <v>3444</v>
      </c>
      <c r="D580" t="s">
        <v>1214</v>
      </c>
      <c r="E580" t="s">
        <v>1169</v>
      </c>
      <c r="F580" t="s">
        <v>3445</v>
      </c>
      <c r="G580">
        <v>2025</v>
      </c>
      <c r="H580" t="s">
        <v>1160</v>
      </c>
      <c r="I580" t="s">
        <v>89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Y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S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3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C580">
        <v>0</v>
      </c>
      <c r="DD580">
        <v>0</v>
      </c>
      <c r="DE580">
        <v>0</v>
      </c>
      <c r="DF580">
        <v>0</v>
      </c>
      <c r="DH580">
        <v>0</v>
      </c>
      <c r="DI580">
        <v>0</v>
      </c>
    </row>
    <row r="581" spans="1:113" ht="15" customHeight="1" x14ac:dyDescent="0.25">
      <c r="A581" t="s">
        <v>3446</v>
      </c>
      <c r="B581" t="s">
        <v>3447</v>
      </c>
      <c r="C581" t="s">
        <v>3448</v>
      </c>
      <c r="D581" t="s">
        <v>1243</v>
      </c>
      <c r="E581" t="s">
        <v>1190</v>
      </c>
      <c r="F581" t="s">
        <v>3449</v>
      </c>
      <c r="G581">
        <v>2025</v>
      </c>
      <c r="H581" t="s">
        <v>1160</v>
      </c>
      <c r="I581" t="s">
        <v>115</v>
      </c>
      <c r="J581">
        <v>12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Y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S581">
        <v>0</v>
      </c>
      <c r="AU581">
        <v>0</v>
      </c>
      <c r="AV581">
        <v>0</v>
      </c>
      <c r="AW581">
        <v>0</v>
      </c>
      <c r="AX581">
        <v>0</v>
      </c>
      <c r="AY581">
        <v>14</v>
      </c>
      <c r="AZ581">
        <v>1</v>
      </c>
      <c r="BA581">
        <v>26</v>
      </c>
      <c r="BB581">
        <v>3</v>
      </c>
      <c r="BC581">
        <v>21</v>
      </c>
      <c r="BD581">
        <v>0</v>
      </c>
      <c r="BE581">
        <v>4</v>
      </c>
      <c r="BF581">
        <v>21</v>
      </c>
      <c r="BG581">
        <v>5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2</v>
      </c>
      <c r="BU581">
        <v>27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C581">
        <v>0</v>
      </c>
      <c r="DD581">
        <v>0</v>
      </c>
      <c r="DE581">
        <v>0</v>
      </c>
      <c r="DF581">
        <v>0</v>
      </c>
      <c r="DH581">
        <v>0</v>
      </c>
      <c r="DI581">
        <v>0</v>
      </c>
    </row>
    <row r="582" spans="1:113" ht="15" customHeight="1" x14ac:dyDescent="0.25">
      <c r="A582" t="s">
        <v>3450</v>
      </c>
      <c r="B582" t="s">
        <v>3451</v>
      </c>
      <c r="C582" t="s">
        <v>3452</v>
      </c>
      <c r="D582" t="s">
        <v>1350</v>
      </c>
      <c r="E582" t="s">
        <v>1307</v>
      </c>
      <c r="F582" t="s">
        <v>3453</v>
      </c>
      <c r="G582">
        <v>2025</v>
      </c>
      <c r="H582" t="s">
        <v>1160</v>
      </c>
      <c r="I582" t="s">
        <v>103</v>
      </c>
      <c r="J582">
        <v>10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Y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S582">
        <v>0</v>
      </c>
      <c r="AU582">
        <v>0</v>
      </c>
      <c r="AV582">
        <v>0</v>
      </c>
      <c r="AW582">
        <v>0</v>
      </c>
      <c r="AX582">
        <v>0</v>
      </c>
      <c r="AY582">
        <v>14</v>
      </c>
      <c r="AZ582">
        <v>0</v>
      </c>
      <c r="BA582">
        <v>16</v>
      </c>
      <c r="BB582">
        <v>1</v>
      </c>
      <c r="BC582">
        <v>2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9</v>
      </c>
      <c r="BJ582">
        <v>11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1</v>
      </c>
      <c r="BS582">
        <v>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C582">
        <v>0</v>
      </c>
      <c r="DD582">
        <v>0</v>
      </c>
      <c r="DE582">
        <v>0</v>
      </c>
      <c r="DF582">
        <v>0</v>
      </c>
      <c r="DH582">
        <v>0</v>
      </c>
      <c r="DI582">
        <v>0</v>
      </c>
    </row>
    <row r="583" spans="1:113" ht="15" customHeight="1" x14ac:dyDescent="0.25">
      <c r="A583" t="s">
        <v>3454</v>
      </c>
      <c r="B583" t="s">
        <v>3455</v>
      </c>
      <c r="C583" t="s">
        <v>3456</v>
      </c>
      <c r="D583" t="s">
        <v>1209</v>
      </c>
      <c r="E583" t="s">
        <v>1169</v>
      </c>
      <c r="F583" t="s">
        <v>3457</v>
      </c>
      <c r="G583">
        <v>2025</v>
      </c>
      <c r="H583" t="s">
        <v>1160</v>
      </c>
      <c r="I583" t="s">
        <v>103</v>
      </c>
      <c r="J583">
        <v>17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Y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S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C583">
        <v>0</v>
      </c>
      <c r="DD583">
        <v>0</v>
      </c>
      <c r="DE583">
        <v>0</v>
      </c>
      <c r="DF583">
        <v>0</v>
      </c>
      <c r="DH583">
        <v>0</v>
      </c>
      <c r="DI583">
        <v>0</v>
      </c>
    </row>
    <row r="584" spans="1:113" ht="15" customHeight="1" x14ac:dyDescent="0.25">
      <c r="A584" t="s">
        <v>3458</v>
      </c>
      <c r="B584" t="s">
        <v>3459</v>
      </c>
      <c r="C584" t="s">
        <v>3460</v>
      </c>
      <c r="D584" t="s">
        <v>1214</v>
      </c>
      <c r="E584" t="s">
        <v>1169</v>
      </c>
      <c r="F584" t="s">
        <v>3461</v>
      </c>
      <c r="G584">
        <v>2025</v>
      </c>
      <c r="H584" t="s">
        <v>1160</v>
      </c>
      <c r="I584" t="s">
        <v>106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Y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S584">
        <v>0</v>
      </c>
      <c r="AU584">
        <v>0</v>
      </c>
      <c r="AV584">
        <v>0</v>
      </c>
      <c r="AW584">
        <v>0</v>
      </c>
      <c r="AX584">
        <v>0</v>
      </c>
      <c r="AY584">
        <v>2</v>
      </c>
      <c r="AZ584">
        <v>0</v>
      </c>
      <c r="BA584">
        <v>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C584">
        <v>0</v>
      </c>
      <c r="DD584">
        <v>0</v>
      </c>
      <c r="DE584">
        <v>0</v>
      </c>
      <c r="DF584">
        <v>0</v>
      </c>
      <c r="DH584">
        <v>0</v>
      </c>
      <c r="DI584">
        <v>0</v>
      </c>
    </row>
    <row r="585" spans="1:113" ht="15" customHeight="1" x14ac:dyDescent="0.25">
      <c r="A585" t="s">
        <v>3462</v>
      </c>
      <c r="B585" t="s">
        <v>3463</v>
      </c>
      <c r="C585" t="s">
        <v>3464</v>
      </c>
      <c r="D585" t="s">
        <v>1243</v>
      </c>
      <c r="E585" t="s">
        <v>1190</v>
      </c>
      <c r="F585" t="s">
        <v>3465</v>
      </c>
      <c r="G585">
        <v>2025</v>
      </c>
      <c r="H585" t="s">
        <v>1160</v>
      </c>
      <c r="I585" t="s">
        <v>133</v>
      </c>
      <c r="J585">
        <v>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Y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S585">
        <v>0</v>
      </c>
      <c r="AU585">
        <v>0</v>
      </c>
      <c r="AV585">
        <v>0</v>
      </c>
      <c r="AW585">
        <v>0</v>
      </c>
      <c r="AX585">
        <v>0</v>
      </c>
      <c r="AY585">
        <v>5</v>
      </c>
      <c r="AZ585">
        <v>1</v>
      </c>
      <c r="BA585">
        <v>9</v>
      </c>
      <c r="BB585">
        <v>2</v>
      </c>
      <c r="BC585">
        <v>11</v>
      </c>
      <c r="BD585">
        <v>0</v>
      </c>
      <c r="BE585">
        <v>1</v>
      </c>
      <c r="BF585">
        <v>10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2</v>
      </c>
      <c r="BU585">
        <v>10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C585">
        <v>0</v>
      </c>
      <c r="DD585">
        <v>0</v>
      </c>
      <c r="DE585">
        <v>0</v>
      </c>
      <c r="DF585">
        <v>0</v>
      </c>
      <c r="DH585">
        <v>0</v>
      </c>
      <c r="DI585">
        <v>0</v>
      </c>
    </row>
    <row r="586" spans="1:113" ht="15" customHeight="1" x14ac:dyDescent="0.25">
      <c r="A586" t="s">
        <v>3466</v>
      </c>
      <c r="B586" t="s">
        <v>3467</v>
      </c>
      <c r="C586" t="s">
        <v>3468</v>
      </c>
      <c r="D586" t="s">
        <v>1190</v>
      </c>
      <c r="E586" t="s">
        <v>1190</v>
      </c>
      <c r="F586" t="s">
        <v>3469</v>
      </c>
      <c r="G586">
        <v>2025</v>
      </c>
      <c r="H586" t="s">
        <v>1160</v>
      </c>
      <c r="I586" t="s">
        <v>104</v>
      </c>
      <c r="J586">
        <v>10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Y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S586">
        <v>0</v>
      </c>
      <c r="AU586">
        <v>0</v>
      </c>
      <c r="AV586">
        <v>0</v>
      </c>
      <c r="AW586">
        <v>0</v>
      </c>
      <c r="AX586">
        <v>0</v>
      </c>
      <c r="AY586">
        <v>6</v>
      </c>
      <c r="AZ586">
        <v>0</v>
      </c>
      <c r="BA586">
        <v>8</v>
      </c>
      <c r="BB586">
        <v>1</v>
      </c>
      <c r="BC586">
        <v>2</v>
      </c>
      <c r="BD586">
        <v>0</v>
      </c>
      <c r="BE586">
        <v>1</v>
      </c>
      <c r="BF586">
        <v>0</v>
      </c>
      <c r="BG586">
        <v>2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C586">
        <v>0</v>
      </c>
      <c r="DD586">
        <v>0</v>
      </c>
      <c r="DE586">
        <v>0</v>
      </c>
      <c r="DF586">
        <v>0</v>
      </c>
      <c r="DH586">
        <v>0</v>
      </c>
      <c r="DI586">
        <v>0</v>
      </c>
    </row>
    <row r="587" spans="1:113" ht="15" customHeight="1" x14ac:dyDescent="0.25">
      <c r="A587" t="s">
        <v>3470</v>
      </c>
      <c r="B587" t="s">
        <v>3471</v>
      </c>
      <c r="C587" t="s">
        <v>3472</v>
      </c>
      <c r="D587" t="s">
        <v>1209</v>
      </c>
      <c r="E587" t="s">
        <v>1169</v>
      </c>
      <c r="F587" t="s">
        <v>3473</v>
      </c>
      <c r="G587">
        <v>2025</v>
      </c>
      <c r="H587" t="s">
        <v>1160</v>
      </c>
      <c r="I587" t="s">
        <v>90</v>
      </c>
      <c r="J587">
        <v>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Y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S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C587">
        <v>0</v>
      </c>
      <c r="DD587">
        <v>0</v>
      </c>
      <c r="DE587">
        <v>0</v>
      </c>
      <c r="DF587">
        <v>0</v>
      </c>
      <c r="DH587">
        <v>0</v>
      </c>
      <c r="DI587">
        <v>0</v>
      </c>
    </row>
    <row r="588" spans="1:113" ht="15" customHeight="1" x14ac:dyDescent="0.25">
      <c r="A588" t="s">
        <v>3474</v>
      </c>
      <c r="B588" t="s">
        <v>3475</v>
      </c>
      <c r="C588" t="s">
        <v>432</v>
      </c>
      <c r="D588" t="s">
        <v>10</v>
      </c>
      <c r="E588" t="s">
        <v>10</v>
      </c>
      <c r="F588" t="s">
        <v>3476</v>
      </c>
      <c r="G588">
        <v>2025</v>
      </c>
      <c r="H588" t="s">
        <v>1160</v>
      </c>
      <c r="I588" t="s">
        <v>90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Y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H588">
        <v>0</v>
      </c>
      <c r="AI588">
        <v>2</v>
      </c>
      <c r="AJ588">
        <v>4</v>
      </c>
      <c r="AK588">
        <v>8</v>
      </c>
      <c r="AL588">
        <v>0</v>
      </c>
      <c r="AM588">
        <v>0</v>
      </c>
      <c r="AN588">
        <v>0</v>
      </c>
      <c r="AO588">
        <v>7</v>
      </c>
      <c r="AP588">
        <v>7</v>
      </c>
      <c r="AQ588">
        <v>0</v>
      </c>
      <c r="AR588">
        <v>-1.8098246662411801</v>
      </c>
      <c r="AS588">
        <v>0</v>
      </c>
      <c r="AT588">
        <v>1.1428571428571399</v>
      </c>
      <c r="AU588">
        <v>6.4829821717990298E-3</v>
      </c>
      <c r="AV588">
        <v>1.5021459227467799E-3</v>
      </c>
      <c r="AW588">
        <v>1.07759754036213E-2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9</v>
      </c>
      <c r="BY588">
        <v>236</v>
      </c>
      <c r="BZ588">
        <v>0</v>
      </c>
      <c r="CA588">
        <v>0</v>
      </c>
      <c r="CB588">
        <v>0</v>
      </c>
      <c r="CC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C588">
        <v>0</v>
      </c>
      <c r="DD588">
        <v>0</v>
      </c>
      <c r="DE588">
        <v>0</v>
      </c>
      <c r="DF588">
        <v>0</v>
      </c>
      <c r="DH588">
        <v>0.8</v>
      </c>
      <c r="DI588">
        <v>2.8</v>
      </c>
    </row>
    <row r="589" spans="1:113" ht="15" customHeight="1" x14ac:dyDescent="0.25">
      <c r="A589" t="s">
        <v>3477</v>
      </c>
      <c r="B589" t="s">
        <v>3478</v>
      </c>
      <c r="C589" t="s">
        <v>3479</v>
      </c>
      <c r="D589" t="s">
        <v>1209</v>
      </c>
      <c r="E589" t="s">
        <v>1169</v>
      </c>
      <c r="F589" t="s">
        <v>3480</v>
      </c>
      <c r="G589">
        <v>2025</v>
      </c>
      <c r="H589" t="s">
        <v>1160</v>
      </c>
      <c r="I589" t="s">
        <v>121</v>
      </c>
      <c r="J589">
        <v>17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Y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S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C589">
        <v>0</v>
      </c>
      <c r="DD589">
        <v>0</v>
      </c>
      <c r="DE589">
        <v>0</v>
      </c>
      <c r="DF589">
        <v>0</v>
      </c>
      <c r="DH589">
        <v>0</v>
      </c>
      <c r="DI589">
        <v>0</v>
      </c>
    </row>
    <row r="590" spans="1:113" ht="15" customHeight="1" x14ac:dyDescent="0.25">
      <c r="A590" t="s">
        <v>3481</v>
      </c>
      <c r="B590" t="s">
        <v>3482</v>
      </c>
      <c r="C590" t="s">
        <v>3483</v>
      </c>
      <c r="D590" t="s">
        <v>1189</v>
      </c>
      <c r="E590" t="s">
        <v>1190</v>
      </c>
      <c r="F590" t="s">
        <v>3484</v>
      </c>
      <c r="G590">
        <v>2025</v>
      </c>
      <c r="H590" t="s">
        <v>1160</v>
      </c>
      <c r="I590" t="s">
        <v>96</v>
      </c>
      <c r="J590">
        <v>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Y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S590">
        <v>0</v>
      </c>
      <c r="AU590">
        <v>0</v>
      </c>
      <c r="AV590">
        <v>0</v>
      </c>
      <c r="AW590">
        <v>0</v>
      </c>
      <c r="AX590">
        <v>0</v>
      </c>
      <c r="AY590">
        <v>10</v>
      </c>
      <c r="AZ590">
        <v>1</v>
      </c>
      <c r="BA590">
        <v>25</v>
      </c>
      <c r="BB590">
        <v>2</v>
      </c>
      <c r="BC590">
        <v>9</v>
      </c>
      <c r="BD590">
        <v>0</v>
      </c>
      <c r="BE590">
        <v>2</v>
      </c>
      <c r="BF590">
        <v>8</v>
      </c>
      <c r="BG590">
        <v>3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2</v>
      </c>
      <c r="BU590">
        <v>10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C590">
        <v>0</v>
      </c>
      <c r="DD590">
        <v>0</v>
      </c>
      <c r="DE590">
        <v>0</v>
      </c>
      <c r="DF590">
        <v>0</v>
      </c>
      <c r="DH590">
        <v>0</v>
      </c>
      <c r="DI590">
        <v>0</v>
      </c>
    </row>
    <row r="591" spans="1:113" ht="15" customHeight="1" x14ac:dyDescent="0.25">
      <c r="A591" t="s">
        <v>3485</v>
      </c>
      <c r="B591" t="s">
        <v>3486</v>
      </c>
      <c r="C591" t="s">
        <v>955</v>
      </c>
      <c r="D591" t="s">
        <v>10</v>
      </c>
      <c r="E591" t="s">
        <v>10</v>
      </c>
      <c r="F591" t="s">
        <v>3487</v>
      </c>
      <c r="G591">
        <v>2025</v>
      </c>
      <c r="H591" t="s">
        <v>1160</v>
      </c>
      <c r="I591" t="s">
        <v>140</v>
      </c>
      <c r="J591">
        <v>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Y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H591">
        <v>0</v>
      </c>
      <c r="AI591">
        <v>3</v>
      </c>
      <c r="AJ591">
        <v>4</v>
      </c>
      <c r="AK591">
        <v>90</v>
      </c>
      <c r="AL591">
        <v>1</v>
      </c>
      <c r="AM591">
        <v>0</v>
      </c>
      <c r="AN591">
        <v>0</v>
      </c>
      <c r="AO591">
        <v>39</v>
      </c>
      <c r="AP591">
        <v>58</v>
      </c>
      <c r="AQ591">
        <v>2</v>
      </c>
      <c r="AR591">
        <v>4.8423199583776304</v>
      </c>
      <c r="AS591">
        <v>0</v>
      </c>
      <c r="AT591">
        <v>2.3076923076923102</v>
      </c>
      <c r="AU591">
        <v>8.7912087912087895E-3</v>
      </c>
      <c r="AV591">
        <v>1.03778605641299E-2</v>
      </c>
      <c r="AW591">
        <v>2.0451315581704099E-2</v>
      </c>
      <c r="AX591">
        <v>0</v>
      </c>
      <c r="AY591">
        <v>5</v>
      </c>
      <c r="AZ591">
        <v>0</v>
      </c>
      <c r="BA591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4</v>
      </c>
      <c r="BY591">
        <v>106</v>
      </c>
      <c r="BZ591">
        <v>0</v>
      </c>
      <c r="CA591">
        <v>0</v>
      </c>
      <c r="CB591">
        <v>0</v>
      </c>
      <c r="CC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C591">
        <v>0</v>
      </c>
      <c r="DD591">
        <v>0</v>
      </c>
      <c r="DE591">
        <v>0</v>
      </c>
      <c r="DF591">
        <v>0</v>
      </c>
      <c r="DH591">
        <v>15</v>
      </c>
      <c r="DI591">
        <v>18</v>
      </c>
    </row>
    <row r="592" spans="1:113" ht="15" customHeight="1" x14ac:dyDescent="0.25">
      <c r="A592" t="s">
        <v>3488</v>
      </c>
      <c r="B592" t="s">
        <v>3489</v>
      </c>
      <c r="C592" t="s">
        <v>3490</v>
      </c>
      <c r="D592" t="s">
        <v>1234</v>
      </c>
      <c r="E592" t="s">
        <v>1234</v>
      </c>
      <c r="F592" t="s">
        <v>3491</v>
      </c>
      <c r="G592">
        <v>2025</v>
      </c>
      <c r="H592" t="s">
        <v>1160</v>
      </c>
      <c r="I592" t="s">
        <v>142</v>
      </c>
      <c r="J592">
        <v>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Y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>
        <v>0</v>
      </c>
      <c r="AU592">
        <v>0</v>
      </c>
      <c r="AV592">
        <v>0</v>
      </c>
      <c r="AW592">
        <v>0</v>
      </c>
      <c r="AX592">
        <v>0</v>
      </c>
      <c r="AY592">
        <v>12</v>
      </c>
      <c r="AZ592">
        <v>0</v>
      </c>
      <c r="BA592">
        <v>17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3</v>
      </c>
      <c r="BU592">
        <v>35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C592">
        <v>0</v>
      </c>
      <c r="DD592">
        <v>0</v>
      </c>
      <c r="DE592">
        <v>0</v>
      </c>
      <c r="DF592">
        <v>0</v>
      </c>
      <c r="DH592">
        <v>0</v>
      </c>
      <c r="DI592">
        <v>0</v>
      </c>
    </row>
    <row r="593" spans="1:113" ht="15" customHeight="1" x14ac:dyDescent="0.25">
      <c r="A593" t="s">
        <v>3492</v>
      </c>
      <c r="B593" t="s">
        <v>3493</v>
      </c>
      <c r="C593" t="s">
        <v>3494</v>
      </c>
      <c r="D593" t="s">
        <v>1234</v>
      </c>
      <c r="E593" t="s">
        <v>1234</v>
      </c>
      <c r="F593" t="s">
        <v>3495</v>
      </c>
      <c r="G593">
        <v>2025</v>
      </c>
      <c r="H593" t="s">
        <v>1160</v>
      </c>
      <c r="I593" t="s">
        <v>123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Y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S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C593">
        <v>0</v>
      </c>
      <c r="DD593">
        <v>0</v>
      </c>
      <c r="DE593">
        <v>0</v>
      </c>
      <c r="DF593">
        <v>0</v>
      </c>
      <c r="DH593">
        <v>0</v>
      </c>
      <c r="DI593">
        <v>0</v>
      </c>
    </row>
    <row r="594" spans="1:113" ht="15" customHeight="1" x14ac:dyDescent="0.25">
      <c r="A594" t="s">
        <v>3496</v>
      </c>
      <c r="B594" t="s">
        <v>3497</v>
      </c>
      <c r="C594" t="s">
        <v>3498</v>
      </c>
      <c r="D594" t="s">
        <v>1234</v>
      </c>
      <c r="E594" t="s">
        <v>1234</v>
      </c>
      <c r="F594" t="s">
        <v>3499</v>
      </c>
      <c r="G594">
        <v>2025</v>
      </c>
      <c r="H594" t="s">
        <v>1160</v>
      </c>
      <c r="I594" t="s">
        <v>99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Y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S594">
        <v>0</v>
      </c>
      <c r="AU594">
        <v>0</v>
      </c>
      <c r="AV594">
        <v>0</v>
      </c>
      <c r="AW594">
        <v>0</v>
      </c>
      <c r="AX594">
        <v>0</v>
      </c>
      <c r="AY594">
        <v>2</v>
      </c>
      <c r="AZ594">
        <v>0</v>
      </c>
      <c r="BA594">
        <v>3</v>
      </c>
      <c r="BB594">
        <v>1</v>
      </c>
      <c r="BC594">
        <v>4</v>
      </c>
      <c r="BD594">
        <v>1</v>
      </c>
      <c r="BE594">
        <v>2</v>
      </c>
      <c r="BF594">
        <v>10.5</v>
      </c>
      <c r="BG594">
        <v>2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15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C594">
        <v>0</v>
      </c>
      <c r="DD594">
        <v>0</v>
      </c>
      <c r="DE594">
        <v>0</v>
      </c>
      <c r="DF594">
        <v>0</v>
      </c>
      <c r="DH594">
        <v>0</v>
      </c>
      <c r="DI594">
        <v>0</v>
      </c>
    </row>
    <row r="595" spans="1:113" ht="15" customHeight="1" x14ac:dyDescent="0.25">
      <c r="A595" t="s">
        <v>3500</v>
      </c>
      <c r="B595" t="s">
        <v>3501</v>
      </c>
      <c r="C595" t="s">
        <v>3502</v>
      </c>
      <c r="D595" t="s">
        <v>1234</v>
      </c>
      <c r="E595" t="s">
        <v>1234</v>
      </c>
      <c r="F595" t="s">
        <v>3503</v>
      </c>
      <c r="G595">
        <v>2025</v>
      </c>
      <c r="H595" t="s">
        <v>1160</v>
      </c>
      <c r="I595" t="s">
        <v>96</v>
      </c>
      <c r="J595">
        <v>15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Y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S595">
        <v>0</v>
      </c>
      <c r="AU595">
        <v>0</v>
      </c>
      <c r="AV595">
        <v>0</v>
      </c>
      <c r="AW595">
        <v>0</v>
      </c>
      <c r="AX595">
        <v>0</v>
      </c>
      <c r="AY595">
        <v>56</v>
      </c>
      <c r="AZ595">
        <v>3</v>
      </c>
      <c r="BA595">
        <v>63</v>
      </c>
      <c r="BB595">
        <v>7</v>
      </c>
      <c r="BC595">
        <v>20</v>
      </c>
      <c r="BD595">
        <v>1</v>
      </c>
      <c r="BE595">
        <v>2</v>
      </c>
      <c r="BF595">
        <v>9</v>
      </c>
      <c r="BG595">
        <v>2</v>
      </c>
      <c r="BH595">
        <v>1</v>
      </c>
      <c r="BI595">
        <v>20</v>
      </c>
      <c r="BJ595">
        <v>3</v>
      </c>
      <c r="BK595">
        <v>0</v>
      </c>
      <c r="BL595">
        <v>0</v>
      </c>
      <c r="BM595">
        <v>0</v>
      </c>
      <c r="BN595">
        <v>0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1</v>
      </c>
      <c r="BU595">
        <v>15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C595">
        <v>0</v>
      </c>
      <c r="DD595">
        <v>0</v>
      </c>
      <c r="DE595">
        <v>0</v>
      </c>
      <c r="DF595">
        <v>0</v>
      </c>
      <c r="DH595">
        <v>0</v>
      </c>
      <c r="DI595">
        <v>0</v>
      </c>
    </row>
    <row r="596" spans="1:113" ht="15" customHeight="1" x14ac:dyDescent="0.25">
      <c r="A596" t="s">
        <v>3504</v>
      </c>
      <c r="B596" t="s">
        <v>3255</v>
      </c>
      <c r="C596" t="s">
        <v>3256</v>
      </c>
      <c r="D596" t="s">
        <v>1189</v>
      </c>
      <c r="E596" t="s">
        <v>1190</v>
      </c>
      <c r="F596" t="s">
        <v>3505</v>
      </c>
      <c r="G596">
        <v>2025</v>
      </c>
      <c r="H596" t="s">
        <v>1160</v>
      </c>
      <c r="I596" t="s">
        <v>138</v>
      </c>
      <c r="J596">
        <v>10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Y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S596">
        <v>0</v>
      </c>
      <c r="AU596">
        <v>0</v>
      </c>
      <c r="AV596">
        <v>0</v>
      </c>
      <c r="AW596">
        <v>0</v>
      </c>
      <c r="AX596">
        <v>0</v>
      </c>
      <c r="AY596">
        <v>7</v>
      </c>
      <c r="AZ596">
        <v>1</v>
      </c>
      <c r="BA596">
        <v>10</v>
      </c>
      <c r="BB596">
        <v>5</v>
      </c>
      <c r="BC596">
        <v>22</v>
      </c>
      <c r="BD596">
        <v>0</v>
      </c>
      <c r="BE596">
        <v>3</v>
      </c>
      <c r="BF596">
        <v>10</v>
      </c>
      <c r="BG596">
        <v>5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</v>
      </c>
      <c r="BU596">
        <v>20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C596">
        <v>0</v>
      </c>
      <c r="DD596">
        <v>0</v>
      </c>
      <c r="DE596">
        <v>0</v>
      </c>
      <c r="DF596">
        <v>0</v>
      </c>
      <c r="DH596">
        <v>0</v>
      </c>
      <c r="DI596">
        <v>0</v>
      </c>
    </row>
    <row r="597" spans="1:113" ht="15" customHeight="1" x14ac:dyDescent="0.25">
      <c r="A597" t="s">
        <v>3506</v>
      </c>
      <c r="B597" t="s">
        <v>3507</v>
      </c>
      <c r="C597" t="s">
        <v>3508</v>
      </c>
      <c r="D597" t="s">
        <v>439</v>
      </c>
      <c r="E597" t="s">
        <v>439</v>
      </c>
      <c r="F597" t="s">
        <v>3509</v>
      </c>
      <c r="G597">
        <v>2025</v>
      </c>
      <c r="H597" t="s">
        <v>1160</v>
      </c>
      <c r="I597" t="s">
        <v>111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Y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3</v>
      </c>
      <c r="AP597">
        <v>0</v>
      </c>
      <c r="AQ597">
        <v>0</v>
      </c>
      <c r="AR597">
        <v>-0.90185708890203398</v>
      </c>
      <c r="AS597">
        <v>0</v>
      </c>
      <c r="AT597">
        <v>0</v>
      </c>
      <c r="AU597">
        <v>1.8181818181818199E-3</v>
      </c>
      <c r="AV597">
        <v>8.0385852090032197E-4</v>
      </c>
      <c r="AW597">
        <v>3.2899736919029502E-3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2</v>
      </c>
      <c r="BU597">
        <v>15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C597">
        <v>0</v>
      </c>
      <c r="DD597">
        <v>0</v>
      </c>
      <c r="DE597">
        <v>0</v>
      </c>
      <c r="DF597">
        <v>0</v>
      </c>
      <c r="DH597">
        <v>0</v>
      </c>
      <c r="DI597">
        <v>0</v>
      </c>
    </row>
    <row r="598" spans="1:113" ht="15" customHeight="1" x14ac:dyDescent="0.25">
      <c r="A598" t="s">
        <v>3510</v>
      </c>
      <c r="B598" t="s">
        <v>3511</v>
      </c>
      <c r="C598" t="s">
        <v>3512</v>
      </c>
      <c r="D598" t="s">
        <v>1234</v>
      </c>
      <c r="E598" t="s">
        <v>1234</v>
      </c>
      <c r="F598" t="s">
        <v>3513</v>
      </c>
      <c r="G598">
        <v>2025</v>
      </c>
      <c r="H598" t="s">
        <v>1160</v>
      </c>
      <c r="I598" t="s">
        <v>96</v>
      </c>
      <c r="J598">
        <v>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Y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>
        <v>0</v>
      </c>
      <c r="AU598">
        <v>0</v>
      </c>
      <c r="AV598">
        <v>0</v>
      </c>
      <c r="AW598">
        <v>0</v>
      </c>
      <c r="AX598">
        <v>0</v>
      </c>
      <c r="AY598">
        <v>5</v>
      </c>
      <c r="AZ598">
        <v>1</v>
      </c>
      <c r="BA598">
        <v>17</v>
      </c>
      <c r="BB598">
        <v>1</v>
      </c>
      <c r="BC598">
        <v>1</v>
      </c>
      <c r="BD598">
        <v>0</v>
      </c>
      <c r="BE598">
        <v>0.5</v>
      </c>
      <c r="BF598">
        <v>0.5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C598">
        <v>0</v>
      </c>
      <c r="DD598">
        <v>0</v>
      </c>
      <c r="DE598">
        <v>0</v>
      </c>
      <c r="DF598">
        <v>0</v>
      </c>
      <c r="DH598">
        <v>0</v>
      </c>
      <c r="DI598">
        <v>0</v>
      </c>
    </row>
    <row r="599" spans="1:113" ht="15" customHeight="1" x14ac:dyDescent="0.25">
      <c r="A599" t="s">
        <v>3514</v>
      </c>
      <c r="B599" t="s">
        <v>3515</v>
      </c>
      <c r="C599" t="s">
        <v>3516</v>
      </c>
      <c r="D599" t="s">
        <v>1158</v>
      </c>
      <c r="E599" t="s">
        <v>1158</v>
      </c>
      <c r="F599" t="s">
        <v>3517</v>
      </c>
      <c r="G599">
        <v>2025</v>
      </c>
      <c r="H599" t="s">
        <v>1160</v>
      </c>
      <c r="I599" t="s">
        <v>97</v>
      </c>
      <c r="J599">
        <v>5</v>
      </c>
      <c r="K599">
        <v>52</v>
      </c>
      <c r="L599">
        <v>67</v>
      </c>
      <c r="M599">
        <v>426</v>
      </c>
      <c r="N599">
        <v>2</v>
      </c>
      <c r="O599">
        <v>0</v>
      </c>
      <c r="P599">
        <v>8</v>
      </c>
      <c r="Q599">
        <v>-38</v>
      </c>
      <c r="R599">
        <v>0</v>
      </c>
      <c r="S599">
        <v>0</v>
      </c>
      <c r="T599">
        <v>429</v>
      </c>
      <c r="U599">
        <v>148</v>
      </c>
      <c r="V599">
        <v>19</v>
      </c>
      <c r="W599">
        <v>5.65948320099755</v>
      </c>
      <c r="X599">
        <v>12.930897978635899</v>
      </c>
      <c r="Y599">
        <v>0</v>
      </c>
      <c r="Z599">
        <v>0.99300699300699302</v>
      </c>
      <c r="AA599">
        <v>24</v>
      </c>
      <c r="AB599">
        <v>151</v>
      </c>
      <c r="AC599">
        <v>0</v>
      </c>
      <c r="AD599">
        <v>0</v>
      </c>
      <c r="AE599">
        <v>0</v>
      </c>
      <c r="AF599">
        <v>12</v>
      </c>
      <c r="AG599">
        <v>10.847624528454601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S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C599">
        <v>0</v>
      </c>
      <c r="DD599">
        <v>0</v>
      </c>
      <c r="DE599">
        <v>0</v>
      </c>
      <c r="DF599">
        <v>0</v>
      </c>
      <c r="DH599">
        <v>40.14</v>
      </c>
      <c r="DI599">
        <v>40.14</v>
      </c>
    </row>
    <row r="600" spans="1:113" ht="15" customHeight="1" x14ac:dyDescent="0.25">
      <c r="A600" t="s">
        <v>3518</v>
      </c>
      <c r="B600" t="s">
        <v>3519</v>
      </c>
      <c r="C600" t="s">
        <v>3520</v>
      </c>
      <c r="D600" t="s">
        <v>1219</v>
      </c>
      <c r="E600" t="s">
        <v>1220</v>
      </c>
      <c r="F600" t="s">
        <v>3521</v>
      </c>
      <c r="G600">
        <v>2025</v>
      </c>
      <c r="H600" t="s">
        <v>1160</v>
      </c>
      <c r="I600" t="s">
        <v>112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Y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S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3</v>
      </c>
      <c r="BU600">
        <v>25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C600">
        <v>0</v>
      </c>
      <c r="DD600">
        <v>0</v>
      </c>
      <c r="DE600">
        <v>0</v>
      </c>
      <c r="DF600">
        <v>0</v>
      </c>
      <c r="DH600">
        <v>0</v>
      </c>
      <c r="DI600">
        <v>0</v>
      </c>
    </row>
    <row r="601" spans="1:113" ht="15" customHeight="1" x14ac:dyDescent="0.25">
      <c r="A601" t="s">
        <v>3522</v>
      </c>
      <c r="B601" t="s">
        <v>3523</v>
      </c>
      <c r="C601" t="s">
        <v>3524</v>
      </c>
      <c r="D601" t="s">
        <v>1684</v>
      </c>
      <c r="E601" t="s">
        <v>1307</v>
      </c>
      <c r="F601" t="s">
        <v>3525</v>
      </c>
      <c r="G601">
        <v>2025</v>
      </c>
      <c r="H601" t="s">
        <v>1160</v>
      </c>
      <c r="I601" t="s">
        <v>99</v>
      </c>
      <c r="J601">
        <v>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Y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S601">
        <v>0</v>
      </c>
      <c r="AU601">
        <v>0</v>
      </c>
      <c r="AV601">
        <v>0</v>
      </c>
      <c r="AW601">
        <v>0</v>
      </c>
      <c r="AX601">
        <v>0</v>
      </c>
      <c r="AY601">
        <v>10</v>
      </c>
      <c r="AZ601">
        <v>0</v>
      </c>
      <c r="BA601">
        <v>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4</v>
      </c>
      <c r="BU601">
        <v>50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C601">
        <v>0</v>
      </c>
      <c r="DD601">
        <v>0</v>
      </c>
      <c r="DE601">
        <v>0</v>
      </c>
      <c r="DF601">
        <v>0</v>
      </c>
      <c r="DH601">
        <v>0</v>
      </c>
      <c r="DI601">
        <v>0</v>
      </c>
    </row>
    <row r="602" spans="1:113" ht="15" customHeight="1" x14ac:dyDescent="0.25">
      <c r="A602" t="s">
        <v>3526</v>
      </c>
      <c r="B602" t="s">
        <v>1193</v>
      </c>
      <c r="C602" t="s">
        <v>841</v>
      </c>
      <c r="D602" t="s">
        <v>439</v>
      </c>
      <c r="E602" t="s">
        <v>439</v>
      </c>
      <c r="F602" t="s">
        <v>3527</v>
      </c>
      <c r="G602">
        <v>2025</v>
      </c>
      <c r="H602" t="s">
        <v>1160</v>
      </c>
      <c r="I602" t="s">
        <v>138</v>
      </c>
      <c r="J602">
        <v>17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Y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H602">
        <v>0</v>
      </c>
      <c r="AI602">
        <v>77</v>
      </c>
      <c r="AJ602">
        <v>102</v>
      </c>
      <c r="AK602">
        <v>889</v>
      </c>
      <c r="AL602">
        <v>3</v>
      </c>
      <c r="AM602">
        <v>2</v>
      </c>
      <c r="AN602">
        <v>2</v>
      </c>
      <c r="AO602">
        <v>773</v>
      </c>
      <c r="AP602">
        <v>362</v>
      </c>
      <c r="AQ602">
        <v>41</v>
      </c>
      <c r="AR602">
        <v>35.216421199273697</v>
      </c>
      <c r="AS602">
        <v>0</v>
      </c>
      <c r="AT602">
        <v>1.1500646830530401</v>
      </c>
      <c r="AU602">
        <v>0.18053097345132699</v>
      </c>
      <c r="AV602">
        <v>0.16147900564027601</v>
      </c>
      <c r="AW602">
        <v>0.38383176412518399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2</v>
      </c>
      <c r="BU602">
        <v>15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C602">
        <v>0</v>
      </c>
      <c r="DD602">
        <v>0</v>
      </c>
      <c r="DE602">
        <v>0</v>
      </c>
      <c r="DF602">
        <v>0</v>
      </c>
      <c r="DH602">
        <v>102.9</v>
      </c>
      <c r="DI602">
        <v>179.9</v>
      </c>
    </row>
    <row r="603" spans="1:113" ht="15" customHeight="1" x14ac:dyDescent="0.25">
      <c r="A603" t="s">
        <v>3528</v>
      </c>
      <c r="B603" t="s">
        <v>3529</v>
      </c>
      <c r="C603" t="s">
        <v>3530</v>
      </c>
      <c r="D603" t="s">
        <v>1243</v>
      </c>
      <c r="E603" t="s">
        <v>1190</v>
      </c>
      <c r="F603" t="s">
        <v>3531</v>
      </c>
      <c r="G603">
        <v>2025</v>
      </c>
      <c r="H603" t="s">
        <v>1160</v>
      </c>
      <c r="I603" t="s">
        <v>97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Y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C603">
        <v>0</v>
      </c>
      <c r="DD603">
        <v>0</v>
      </c>
      <c r="DE603">
        <v>0</v>
      </c>
      <c r="DF603">
        <v>0</v>
      </c>
      <c r="DH603">
        <v>0</v>
      </c>
      <c r="DI603">
        <v>0</v>
      </c>
    </row>
    <row r="604" spans="1:113" ht="15" customHeight="1" x14ac:dyDescent="0.25">
      <c r="A604" t="s">
        <v>3532</v>
      </c>
      <c r="B604" t="s">
        <v>3533</v>
      </c>
      <c r="C604" t="s">
        <v>3534</v>
      </c>
      <c r="D604" t="s">
        <v>1214</v>
      </c>
      <c r="E604" t="s">
        <v>1169</v>
      </c>
      <c r="F604" t="s">
        <v>3535</v>
      </c>
      <c r="G604">
        <v>2025</v>
      </c>
      <c r="H604" t="s">
        <v>1160</v>
      </c>
      <c r="I604" t="s">
        <v>93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Y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S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C604">
        <v>0</v>
      </c>
      <c r="DD604">
        <v>0</v>
      </c>
      <c r="DE604">
        <v>0</v>
      </c>
      <c r="DF604">
        <v>0</v>
      </c>
      <c r="DH604">
        <v>0</v>
      </c>
      <c r="DI604">
        <v>0</v>
      </c>
    </row>
    <row r="605" spans="1:113" ht="15" customHeight="1" x14ac:dyDescent="0.25">
      <c r="A605" t="s">
        <v>3536</v>
      </c>
      <c r="B605" t="s">
        <v>3537</v>
      </c>
      <c r="C605" t="s">
        <v>3538</v>
      </c>
      <c r="D605" t="s">
        <v>1350</v>
      </c>
      <c r="E605" t="s">
        <v>1307</v>
      </c>
      <c r="F605" t="s">
        <v>3539</v>
      </c>
      <c r="G605">
        <v>2025</v>
      </c>
      <c r="H605" t="s">
        <v>1160</v>
      </c>
      <c r="I605" t="s">
        <v>121</v>
      </c>
      <c r="J605">
        <v>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Y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S605">
        <v>0</v>
      </c>
      <c r="AU605">
        <v>0</v>
      </c>
      <c r="AV605">
        <v>0</v>
      </c>
      <c r="AW605">
        <v>0</v>
      </c>
      <c r="AX605">
        <v>0</v>
      </c>
      <c r="AY605">
        <v>22</v>
      </c>
      <c r="AZ605">
        <v>0</v>
      </c>
      <c r="BA605">
        <v>18</v>
      </c>
      <c r="BB605">
        <v>1</v>
      </c>
      <c r="BC605">
        <v>3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C605">
        <v>0</v>
      </c>
      <c r="DD605">
        <v>0</v>
      </c>
      <c r="DE605">
        <v>0</v>
      </c>
      <c r="DF605">
        <v>0</v>
      </c>
      <c r="DH605">
        <v>0</v>
      </c>
      <c r="DI605">
        <v>0</v>
      </c>
    </row>
    <row r="606" spans="1:113" ht="15" customHeight="1" x14ac:dyDescent="0.25">
      <c r="A606" t="s">
        <v>3540</v>
      </c>
      <c r="B606" t="s">
        <v>3541</v>
      </c>
      <c r="C606" t="s">
        <v>3542</v>
      </c>
      <c r="D606" t="s">
        <v>1350</v>
      </c>
      <c r="E606" t="s">
        <v>1307</v>
      </c>
      <c r="F606" t="s">
        <v>3543</v>
      </c>
      <c r="G606">
        <v>2025</v>
      </c>
      <c r="H606" t="s">
        <v>1160</v>
      </c>
      <c r="I606" t="s">
        <v>133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Y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C606">
        <v>0</v>
      </c>
      <c r="DD606">
        <v>0</v>
      </c>
      <c r="DE606">
        <v>0</v>
      </c>
      <c r="DF606">
        <v>0</v>
      </c>
      <c r="DH606">
        <v>0</v>
      </c>
      <c r="DI606">
        <v>0</v>
      </c>
    </row>
    <row r="607" spans="1:113" ht="15" customHeight="1" x14ac:dyDescent="0.25">
      <c r="A607" t="s">
        <v>3544</v>
      </c>
      <c r="B607" t="s">
        <v>3545</v>
      </c>
      <c r="C607" t="s">
        <v>3546</v>
      </c>
      <c r="D607" t="s">
        <v>1219</v>
      </c>
      <c r="E607" t="s">
        <v>1220</v>
      </c>
      <c r="F607" t="s">
        <v>3547</v>
      </c>
      <c r="G607">
        <v>2025</v>
      </c>
      <c r="H607" t="s">
        <v>1160</v>
      </c>
      <c r="I607" t="s">
        <v>96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Y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C607">
        <v>0</v>
      </c>
      <c r="DD607">
        <v>0</v>
      </c>
      <c r="DE607">
        <v>0</v>
      </c>
      <c r="DF607">
        <v>0</v>
      </c>
      <c r="DH607">
        <v>0</v>
      </c>
      <c r="DI607">
        <v>0</v>
      </c>
    </row>
    <row r="608" spans="1:113" ht="15" customHeight="1" x14ac:dyDescent="0.25">
      <c r="A608" t="s">
        <v>3548</v>
      </c>
      <c r="B608" t="s">
        <v>3549</v>
      </c>
      <c r="C608" t="s">
        <v>3550</v>
      </c>
      <c r="D608" t="s">
        <v>1350</v>
      </c>
      <c r="E608" t="s">
        <v>1307</v>
      </c>
      <c r="F608" t="s">
        <v>3551</v>
      </c>
      <c r="G608">
        <v>2025</v>
      </c>
      <c r="H608" t="s">
        <v>1160</v>
      </c>
      <c r="I608" t="s">
        <v>111</v>
      </c>
      <c r="J608">
        <v>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Y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S608">
        <v>0</v>
      </c>
      <c r="AU608">
        <v>0</v>
      </c>
      <c r="AV608">
        <v>0</v>
      </c>
      <c r="AW608">
        <v>0</v>
      </c>
      <c r="AX608">
        <v>0</v>
      </c>
      <c r="AY608">
        <v>6</v>
      </c>
      <c r="AZ608">
        <v>0</v>
      </c>
      <c r="BA608">
        <v>2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C608">
        <v>0</v>
      </c>
      <c r="DD608">
        <v>0</v>
      </c>
      <c r="DE608">
        <v>0</v>
      </c>
      <c r="DF608">
        <v>0</v>
      </c>
      <c r="DH608">
        <v>0</v>
      </c>
      <c r="DI608">
        <v>0</v>
      </c>
    </row>
    <row r="609" spans="1:113" ht="15" customHeight="1" x14ac:dyDescent="0.25">
      <c r="A609" t="s">
        <v>3552</v>
      </c>
      <c r="B609" t="s">
        <v>3553</v>
      </c>
      <c r="C609" t="s">
        <v>3554</v>
      </c>
      <c r="D609" t="s">
        <v>1243</v>
      </c>
      <c r="E609" t="s">
        <v>1190</v>
      </c>
      <c r="F609" t="s">
        <v>3555</v>
      </c>
      <c r="G609">
        <v>2025</v>
      </c>
      <c r="H609" t="s">
        <v>1160</v>
      </c>
      <c r="I609" t="s">
        <v>97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Y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S609">
        <v>0</v>
      </c>
      <c r="AU609">
        <v>0</v>
      </c>
      <c r="AV609">
        <v>0</v>
      </c>
      <c r="AW609">
        <v>0</v>
      </c>
      <c r="AX609">
        <v>0</v>
      </c>
      <c r="AY609">
        <v>5</v>
      </c>
      <c r="AZ609">
        <v>0</v>
      </c>
      <c r="BA609">
        <v>2</v>
      </c>
      <c r="BB609">
        <v>2</v>
      </c>
      <c r="BC609">
        <v>12</v>
      </c>
      <c r="BD609">
        <v>0</v>
      </c>
      <c r="BE609">
        <v>2</v>
      </c>
      <c r="BF609">
        <v>12</v>
      </c>
      <c r="BG609">
        <v>3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5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C609">
        <v>0</v>
      </c>
      <c r="DD609">
        <v>0</v>
      </c>
      <c r="DE609">
        <v>0</v>
      </c>
      <c r="DF609">
        <v>0</v>
      </c>
      <c r="DH609">
        <v>0</v>
      </c>
      <c r="DI609">
        <v>0</v>
      </c>
    </row>
    <row r="610" spans="1:113" ht="15" customHeight="1" x14ac:dyDescent="0.25">
      <c r="A610" t="s">
        <v>3556</v>
      </c>
      <c r="B610" t="s">
        <v>3557</v>
      </c>
      <c r="C610" t="s">
        <v>3558</v>
      </c>
      <c r="D610" t="s">
        <v>1297</v>
      </c>
      <c r="E610" t="s">
        <v>1220</v>
      </c>
      <c r="F610" t="s">
        <v>3559</v>
      </c>
      <c r="G610">
        <v>2025</v>
      </c>
      <c r="H610" t="s">
        <v>1160</v>
      </c>
      <c r="I610" t="s">
        <v>126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Y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3</v>
      </c>
      <c r="BU610">
        <v>20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C610">
        <v>0</v>
      </c>
      <c r="DD610">
        <v>0</v>
      </c>
      <c r="DE610">
        <v>0</v>
      </c>
      <c r="DF610">
        <v>0</v>
      </c>
      <c r="DH610">
        <v>0</v>
      </c>
      <c r="DI610">
        <v>0</v>
      </c>
    </row>
    <row r="611" spans="1:113" ht="15" customHeight="1" x14ac:dyDescent="0.25">
      <c r="A611" t="s">
        <v>3560</v>
      </c>
      <c r="B611" t="s">
        <v>3561</v>
      </c>
      <c r="C611" t="s">
        <v>3562</v>
      </c>
      <c r="D611" t="s">
        <v>10</v>
      </c>
      <c r="E611" t="s">
        <v>10</v>
      </c>
      <c r="F611" t="s">
        <v>3563</v>
      </c>
      <c r="G611">
        <v>2025</v>
      </c>
      <c r="H611" t="s">
        <v>1160</v>
      </c>
      <c r="I611" t="s">
        <v>142</v>
      </c>
      <c r="J611">
        <v>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Y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H611">
        <v>0</v>
      </c>
      <c r="AI611">
        <v>6</v>
      </c>
      <c r="AJ611">
        <v>12</v>
      </c>
      <c r="AK611">
        <v>65</v>
      </c>
      <c r="AL611">
        <v>0</v>
      </c>
      <c r="AM611">
        <v>0</v>
      </c>
      <c r="AN611">
        <v>0</v>
      </c>
      <c r="AO611">
        <v>175</v>
      </c>
      <c r="AP611">
        <v>2</v>
      </c>
      <c r="AQ611">
        <v>2</v>
      </c>
      <c r="AR611">
        <v>1.6769203548901701</v>
      </c>
      <c r="AS611">
        <v>0</v>
      </c>
      <c r="AT611">
        <v>0.371428571428571</v>
      </c>
      <c r="AU611">
        <v>2.2641509433962301E-2</v>
      </c>
      <c r="AV611">
        <v>4.3597409068261102E-2</v>
      </c>
      <c r="AW611">
        <v>6.4480450498726194E-2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</v>
      </c>
      <c r="BU611">
        <v>15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C611">
        <v>0</v>
      </c>
      <c r="DD611">
        <v>0</v>
      </c>
      <c r="DE611">
        <v>0</v>
      </c>
      <c r="DF611">
        <v>0</v>
      </c>
      <c r="DH611">
        <v>6.5</v>
      </c>
      <c r="DI611">
        <v>12.5</v>
      </c>
    </row>
    <row r="612" spans="1:113" ht="15" customHeight="1" x14ac:dyDescent="0.25">
      <c r="A612" t="s">
        <v>3564</v>
      </c>
      <c r="B612" t="s">
        <v>3565</v>
      </c>
      <c r="C612" t="s">
        <v>920</v>
      </c>
      <c r="D612" t="s">
        <v>431</v>
      </c>
      <c r="E612" t="s">
        <v>431</v>
      </c>
      <c r="F612" t="s">
        <v>3566</v>
      </c>
      <c r="G612">
        <v>2025</v>
      </c>
      <c r="H612" t="s">
        <v>1160</v>
      </c>
      <c r="I612" t="s">
        <v>96</v>
      </c>
      <c r="J612">
        <v>17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Y612">
        <v>0</v>
      </c>
      <c r="AA612">
        <v>236</v>
      </c>
      <c r="AB612">
        <v>1076</v>
      </c>
      <c r="AC612">
        <v>6</v>
      </c>
      <c r="AD612">
        <v>1</v>
      </c>
      <c r="AE612">
        <v>1</v>
      </c>
      <c r="AF612">
        <v>52</v>
      </c>
      <c r="AG612">
        <v>-2.3056625725313902</v>
      </c>
      <c r="AH612">
        <v>0</v>
      </c>
      <c r="AI612">
        <v>39</v>
      </c>
      <c r="AJ612">
        <v>50</v>
      </c>
      <c r="AK612">
        <v>297</v>
      </c>
      <c r="AL612">
        <v>1</v>
      </c>
      <c r="AM612">
        <v>0</v>
      </c>
      <c r="AN612">
        <v>0</v>
      </c>
      <c r="AO612">
        <v>-52</v>
      </c>
      <c r="AP612">
        <v>350</v>
      </c>
      <c r="AQ612">
        <v>14</v>
      </c>
      <c r="AR612">
        <v>-0.90271915770648004</v>
      </c>
      <c r="AS612">
        <v>0</v>
      </c>
      <c r="AT612">
        <v>-5.7115384615384599</v>
      </c>
      <c r="AU612">
        <v>0.104166666666667</v>
      </c>
      <c r="AV612">
        <v>-1.50724637681159E-2</v>
      </c>
      <c r="AW612">
        <v>0.145699275362319</v>
      </c>
      <c r="AX612">
        <v>0</v>
      </c>
      <c r="AY612">
        <v>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2</v>
      </c>
      <c r="BP612">
        <v>3</v>
      </c>
      <c r="BQ612">
        <v>0</v>
      </c>
      <c r="BR612">
        <v>0</v>
      </c>
      <c r="BS612">
        <v>0</v>
      </c>
      <c r="BT612">
        <v>3</v>
      </c>
      <c r="BU612">
        <v>33</v>
      </c>
      <c r="BV612">
        <v>0</v>
      </c>
      <c r="BW612">
        <v>0</v>
      </c>
      <c r="BX612">
        <v>8</v>
      </c>
      <c r="BY612">
        <v>197</v>
      </c>
      <c r="BZ612">
        <v>0</v>
      </c>
      <c r="CA612">
        <v>0</v>
      </c>
      <c r="CB612">
        <v>0</v>
      </c>
      <c r="CC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C612">
        <v>0</v>
      </c>
      <c r="DD612">
        <v>0</v>
      </c>
      <c r="DE612">
        <v>0</v>
      </c>
      <c r="DF612">
        <v>0</v>
      </c>
      <c r="DH612">
        <v>177.3</v>
      </c>
      <c r="DI612">
        <v>216.3</v>
      </c>
    </row>
    <row r="613" spans="1:113" ht="15" customHeight="1" x14ac:dyDescent="0.25">
      <c r="A613" t="s">
        <v>3567</v>
      </c>
      <c r="B613" t="s">
        <v>3568</v>
      </c>
      <c r="C613" t="s">
        <v>3569</v>
      </c>
      <c r="D613" t="s">
        <v>1189</v>
      </c>
      <c r="E613" t="s">
        <v>1190</v>
      </c>
      <c r="F613" t="s">
        <v>3570</v>
      </c>
      <c r="G613">
        <v>2025</v>
      </c>
      <c r="H613" t="s">
        <v>1160</v>
      </c>
      <c r="I613" t="s">
        <v>141</v>
      </c>
      <c r="J613">
        <v>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Y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S613">
        <v>0</v>
      </c>
      <c r="AU613">
        <v>0</v>
      </c>
      <c r="AV613">
        <v>0</v>
      </c>
      <c r="AW613">
        <v>0</v>
      </c>
      <c r="AX613">
        <v>0</v>
      </c>
      <c r="AY613">
        <v>13</v>
      </c>
      <c r="AZ613">
        <v>1</v>
      </c>
      <c r="BA613">
        <v>16</v>
      </c>
      <c r="BB613">
        <v>6</v>
      </c>
      <c r="BC613">
        <v>43</v>
      </c>
      <c r="BD613">
        <v>2</v>
      </c>
      <c r="BE613">
        <v>4</v>
      </c>
      <c r="BF613">
        <v>31</v>
      </c>
      <c r="BG613">
        <v>15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</v>
      </c>
      <c r="BU613">
        <v>5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C613">
        <v>0</v>
      </c>
      <c r="DD613">
        <v>0</v>
      </c>
      <c r="DE613">
        <v>0</v>
      </c>
      <c r="DF613">
        <v>0</v>
      </c>
      <c r="DH613">
        <v>0</v>
      </c>
      <c r="DI613">
        <v>0</v>
      </c>
    </row>
    <row r="614" spans="1:113" ht="15" customHeight="1" x14ac:dyDescent="0.25">
      <c r="A614" t="s">
        <v>3571</v>
      </c>
      <c r="B614" t="s">
        <v>3572</v>
      </c>
      <c r="C614" t="s">
        <v>3573</v>
      </c>
      <c r="D614" t="s">
        <v>1234</v>
      </c>
      <c r="E614" t="s">
        <v>1234</v>
      </c>
      <c r="F614" t="s">
        <v>3574</v>
      </c>
      <c r="G614">
        <v>2025</v>
      </c>
      <c r="H614" t="s">
        <v>1160</v>
      </c>
      <c r="I614" t="s">
        <v>118</v>
      </c>
      <c r="J614">
        <v>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Y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C614">
        <v>0</v>
      </c>
      <c r="DD614">
        <v>0</v>
      </c>
      <c r="DE614">
        <v>0</v>
      </c>
      <c r="DF614">
        <v>0</v>
      </c>
      <c r="DH614">
        <v>0</v>
      </c>
      <c r="DI614">
        <v>0</v>
      </c>
    </row>
    <row r="615" spans="1:113" ht="15" customHeight="1" x14ac:dyDescent="0.25">
      <c r="A615" t="s">
        <v>3575</v>
      </c>
      <c r="B615" t="s">
        <v>3576</v>
      </c>
      <c r="C615" t="s">
        <v>596</v>
      </c>
      <c r="D615" t="s">
        <v>431</v>
      </c>
      <c r="E615" t="s">
        <v>431</v>
      </c>
      <c r="F615" t="s">
        <v>3577</v>
      </c>
      <c r="G615">
        <v>2025</v>
      </c>
      <c r="H615" t="s">
        <v>1160</v>
      </c>
      <c r="I615" t="s">
        <v>115</v>
      </c>
      <c r="J615">
        <v>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Y615">
        <v>0</v>
      </c>
      <c r="AA615">
        <v>153</v>
      </c>
      <c r="AB615">
        <v>772</v>
      </c>
      <c r="AC615">
        <v>4</v>
      </c>
      <c r="AD615">
        <v>0</v>
      </c>
      <c r="AE615">
        <v>0</v>
      </c>
      <c r="AF615">
        <v>38</v>
      </c>
      <c r="AG615">
        <v>4.1842368179059104</v>
      </c>
      <c r="AH615">
        <v>0</v>
      </c>
      <c r="AI615">
        <v>11</v>
      </c>
      <c r="AJ615">
        <v>14</v>
      </c>
      <c r="AK615">
        <v>37</v>
      </c>
      <c r="AL615">
        <v>0</v>
      </c>
      <c r="AM615">
        <v>0</v>
      </c>
      <c r="AN615">
        <v>0</v>
      </c>
      <c r="AO615">
        <v>-30</v>
      </c>
      <c r="AP615">
        <v>56</v>
      </c>
      <c r="AQ615">
        <v>0</v>
      </c>
      <c r="AR615">
        <v>-4.9857112826430203</v>
      </c>
      <c r="AS615">
        <v>0</v>
      </c>
      <c r="AT615">
        <v>-1.2333333333333301</v>
      </c>
      <c r="AU615">
        <v>2.3972602739725998E-2</v>
      </c>
      <c r="AV615">
        <v>-6.6844919786096298E-3</v>
      </c>
      <c r="AW615">
        <v>3.1279759724562303E-2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5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C615">
        <v>0</v>
      </c>
      <c r="DD615">
        <v>0</v>
      </c>
      <c r="DE615">
        <v>0</v>
      </c>
      <c r="DF615">
        <v>0</v>
      </c>
      <c r="DH615">
        <v>104.9</v>
      </c>
      <c r="DI615">
        <v>115.9</v>
      </c>
    </row>
    <row r="616" spans="1:113" ht="15" customHeight="1" x14ac:dyDescent="0.25">
      <c r="A616" t="s">
        <v>3578</v>
      </c>
      <c r="B616" t="s">
        <v>3579</v>
      </c>
      <c r="C616" t="s">
        <v>3580</v>
      </c>
      <c r="D616" t="s">
        <v>1234</v>
      </c>
      <c r="E616" t="s">
        <v>1234</v>
      </c>
      <c r="F616" t="s">
        <v>3581</v>
      </c>
      <c r="G616">
        <v>2025</v>
      </c>
      <c r="H616" t="s">
        <v>1160</v>
      </c>
      <c r="I616" t="s">
        <v>120</v>
      </c>
      <c r="J616">
        <v>11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Y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S616">
        <v>0</v>
      </c>
      <c r="AU616">
        <v>0</v>
      </c>
      <c r="AV616">
        <v>0</v>
      </c>
      <c r="AW616">
        <v>0</v>
      </c>
      <c r="AX616">
        <v>0</v>
      </c>
      <c r="AY616">
        <v>13</v>
      </c>
      <c r="AZ616">
        <v>1</v>
      </c>
      <c r="BA616">
        <v>9</v>
      </c>
      <c r="BB616">
        <v>2</v>
      </c>
      <c r="BC616">
        <v>9</v>
      </c>
      <c r="BD616">
        <v>0</v>
      </c>
      <c r="BE616">
        <v>1</v>
      </c>
      <c r="BF616">
        <v>8</v>
      </c>
      <c r="BG616">
        <v>3</v>
      </c>
      <c r="BH616">
        <v>0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2</v>
      </c>
      <c r="BU616">
        <v>25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C616">
        <v>0</v>
      </c>
      <c r="DD616">
        <v>0</v>
      </c>
      <c r="DE616">
        <v>0</v>
      </c>
      <c r="DF616">
        <v>0</v>
      </c>
      <c r="DH616">
        <v>0</v>
      </c>
      <c r="DI616">
        <v>0</v>
      </c>
    </row>
    <row r="617" spans="1:113" ht="15" customHeight="1" x14ac:dyDescent="0.25">
      <c r="A617" t="s">
        <v>3582</v>
      </c>
      <c r="B617" t="s">
        <v>3583</v>
      </c>
      <c r="C617" t="s">
        <v>866</v>
      </c>
      <c r="D617" t="s">
        <v>10</v>
      </c>
      <c r="E617" t="s">
        <v>10</v>
      </c>
      <c r="F617" t="s">
        <v>3584</v>
      </c>
      <c r="G617">
        <v>2025</v>
      </c>
      <c r="H617" t="s">
        <v>1160</v>
      </c>
      <c r="I617" t="s">
        <v>139</v>
      </c>
      <c r="J617">
        <v>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Y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0</v>
      </c>
      <c r="AI617">
        <v>10</v>
      </c>
      <c r="AJ617">
        <v>19</v>
      </c>
      <c r="AK617">
        <v>115</v>
      </c>
      <c r="AL617">
        <v>1</v>
      </c>
      <c r="AM617">
        <v>0</v>
      </c>
      <c r="AN617">
        <v>0</v>
      </c>
      <c r="AO617">
        <v>207</v>
      </c>
      <c r="AP617">
        <v>17</v>
      </c>
      <c r="AQ617">
        <v>6</v>
      </c>
      <c r="AR617">
        <v>5.51442927891165</v>
      </c>
      <c r="AS617">
        <v>0</v>
      </c>
      <c r="AT617">
        <v>0.55555555555555602</v>
      </c>
      <c r="AU617">
        <v>3.7773359840954299E-2</v>
      </c>
      <c r="AV617">
        <v>4.6277665995975902E-2</v>
      </c>
      <c r="AW617">
        <v>8.9054405958614496E-2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C617">
        <v>0</v>
      </c>
      <c r="DD617">
        <v>0</v>
      </c>
      <c r="DE617">
        <v>0</v>
      </c>
      <c r="DF617">
        <v>0</v>
      </c>
      <c r="DH617">
        <v>17.5</v>
      </c>
      <c r="DI617">
        <v>27.5</v>
      </c>
    </row>
    <row r="618" spans="1:113" ht="15" customHeight="1" x14ac:dyDescent="0.25">
      <c r="A618" t="s">
        <v>3585</v>
      </c>
      <c r="B618" t="s">
        <v>2473</v>
      </c>
      <c r="C618" t="s">
        <v>3586</v>
      </c>
      <c r="D618" t="s">
        <v>1350</v>
      </c>
      <c r="E618" t="s">
        <v>1307</v>
      </c>
      <c r="F618" t="s">
        <v>3587</v>
      </c>
      <c r="G618">
        <v>2025</v>
      </c>
      <c r="H618" t="s">
        <v>1160</v>
      </c>
      <c r="I618" t="s">
        <v>99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Y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S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C618">
        <v>0</v>
      </c>
      <c r="DD618">
        <v>0</v>
      </c>
      <c r="DE618">
        <v>0</v>
      </c>
      <c r="DF618">
        <v>0</v>
      </c>
      <c r="DH618">
        <v>0</v>
      </c>
      <c r="DI618">
        <v>0</v>
      </c>
    </row>
    <row r="619" spans="1:113" ht="15" customHeight="1" x14ac:dyDescent="0.25">
      <c r="A619" t="s">
        <v>3588</v>
      </c>
      <c r="B619" t="s">
        <v>1270</v>
      </c>
      <c r="C619" t="s">
        <v>1271</v>
      </c>
      <c r="D619" t="s">
        <v>1655</v>
      </c>
      <c r="E619" t="s">
        <v>1220</v>
      </c>
      <c r="F619" t="s">
        <v>3589</v>
      </c>
      <c r="G619">
        <v>2025</v>
      </c>
      <c r="H619" t="s">
        <v>1160</v>
      </c>
      <c r="I619" t="s">
        <v>133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Y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S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5</v>
      </c>
      <c r="BU619">
        <v>40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C619">
        <v>0</v>
      </c>
      <c r="DD619">
        <v>0</v>
      </c>
      <c r="DE619">
        <v>0</v>
      </c>
      <c r="DF619">
        <v>0</v>
      </c>
      <c r="DH619">
        <v>0</v>
      </c>
      <c r="DI619">
        <v>0</v>
      </c>
    </row>
    <row r="620" spans="1:113" ht="15" customHeight="1" x14ac:dyDescent="0.25">
      <c r="A620" t="s">
        <v>3590</v>
      </c>
      <c r="B620" t="s">
        <v>3591</v>
      </c>
      <c r="C620" t="s">
        <v>1005</v>
      </c>
      <c r="D620" t="s">
        <v>10</v>
      </c>
      <c r="E620" t="s">
        <v>10</v>
      </c>
      <c r="F620" t="s">
        <v>3592</v>
      </c>
      <c r="G620">
        <v>2025</v>
      </c>
      <c r="H620" t="s">
        <v>1160</v>
      </c>
      <c r="I620" t="s">
        <v>142</v>
      </c>
      <c r="J620">
        <v>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Y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H620">
        <v>0</v>
      </c>
      <c r="AI620">
        <v>2</v>
      </c>
      <c r="AJ620">
        <v>4</v>
      </c>
      <c r="AK620">
        <v>48</v>
      </c>
      <c r="AL620">
        <v>0</v>
      </c>
      <c r="AM620">
        <v>0</v>
      </c>
      <c r="AN620">
        <v>0</v>
      </c>
      <c r="AO620">
        <v>92</v>
      </c>
      <c r="AP620">
        <v>3</v>
      </c>
      <c r="AQ620">
        <v>2</v>
      </c>
      <c r="AR620">
        <v>3.3984646108583498</v>
      </c>
      <c r="AS620">
        <v>0</v>
      </c>
      <c r="AT620">
        <v>0.52173913043478304</v>
      </c>
      <c r="AU620">
        <v>7.54716981132076E-3</v>
      </c>
      <c r="AV620">
        <v>2.29197807673144E-2</v>
      </c>
      <c r="AW620">
        <v>2.7364601254101201E-2</v>
      </c>
      <c r="AX620">
        <v>0</v>
      </c>
      <c r="AY620">
        <v>4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C620">
        <v>0</v>
      </c>
      <c r="DD620">
        <v>0</v>
      </c>
      <c r="DE620">
        <v>0</v>
      </c>
      <c r="DF620">
        <v>0</v>
      </c>
      <c r="DH620">
        <v>4.8</v>
      </c>
      <c r="DI620">
        <v>6.8</v>
      </c>
    </row>
    <row r="621" spans="1:113" ht="15" customHeight="1" x14ac:dyDescent="0.25">
      <c r="A621" t="s">
        <v>3593</v>
      </c>
      <c r="B621" t="s">
        <v>3594</v>
      </c>
      <c r="C621" t="s">
        <v>3595</v>
      </c>
      <c r="D621" t="s">
        <v>1243</v>
      </c>
      <c r="E621" t="s">
        <v>1190</v>
      </c>
      <c r="F621" t="s">
        <v>3596</v>
      </c>
      <c r="G621">
        <v>2025</v>
      </c>
      <c r="H621" t="s">
        <v>1160</v>
      </c>
      <c r="I621" t="s">
        <v>131</v>
      </c>
      <c r="J621">
        <v>17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Y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S621">
        <v>0</v>
      </c>
      <c r="AU621">
        <v>0</v>
      </c>
      <c r="AV621">
        <v>0</v>
      </c>
      <c r="AW621">
        <v>0</v>
      </c>
      <c r="AX621">
        <v>0</v>
      </c>
      <c r="AY621">
        <v>22</v>
      </c>
      <c r="AZ621">
        <v>0</v>
      </c>
      <c r="BA621">
        <v>10</v>
      </c>
      <c r="BB621">
        <v>4</v>
      </c>
      <c r="BC621">
        <v>16</v>
      </c>
      <c r="BD621">
        <v>1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4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1</v>
      </c>
      <c r="BS621">
        <v>0</v>
      </c>
      <c r="BT621">
        <v>5</v>
      </c>
      <c r="BU621">
        <v>44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C621">
        <v>0</v>
      </c>
      <c r="DD621">
        <v>0</v>
      </c>
      <c r="DE621">
        <v>0</v>
      </c>
      <c r="DF621">
        <v>0</v>
      </c>
      <c r="DH621">
        <v>0</v>
      </c>
      <c r="DI621">
        <v>0</v>
      </c>
    </row>
    <row r="622" spans="1:113" ht="15" customHeight="1" x14ac:dyDescent="0.25">
      <c r="A622" t="s">
        <v>3597</v>
      </c>
      <c r="B622" t="s">
        <v>3598</v>
      </c>
      <c r="C622" t="s">
        <v>687</v>
      </c>
      <c r="D622" t="s">
        <v>10</v>
      </c>
      <c r="E622" t="s">
        <v>10</v>
      </c>
      <c r="F622" t="s">
        <v>3599</v>
      </c>
      <c r="G622">
        <v>2025</v>
      </c>
      <c r="H622" t="s">
        <v>1160</v>
      </c>
      <c r="I622" t="s">
        <v>133</v>
      </c>
      <c r="J622">
        <v>13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Y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H622">
        <v>0</v>
      </c>
      <c r="AI622">
        <v>11</v>
      </c>
      <c r="AJ622">
        <v>20</v>
      </c>
      <c r="AK622">
        <v>89</v>
      </c>
      <c r="AL622">
        <v>0</v>
      </c>
      <c r="AM622">
        <v>0</v>
      </c>
      <c r="AN622">
        <v>0</v>
      </c>
      <c r="AO622">
        <v>110</v>
      </c>
      <c r="AP622">
        <v>28</v>
      </c>
      <c r="AQ622">
        <v>8</v>
      </c>
      <c r="AR622">
        <v>1.16213954053819</v>
      </c>
      <c r="AS622">
        <v>0</v>
      </c>
      <c r="AT622">
        <v>0.80909090909090897</v>
      </c>
      <c r="AU622">
        <v>4.3290043290043302E-2</v>
      </c>
      <c r="AV622">
        <v>3.2718619869125498E-2</v>
      </c>
      <c r="AW622">
        <v>8.7838098843452797E-2</v>
      </c>
      <c r="AX622">
        <v>0</v>
      </c>
      <c r="AY622">
        <v>5</v>
      </c>
      <c r="AZ622">
        <v>0</v>
      </c>
      <c r="BA622">
        <v>2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4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C622">
        <v>0</v>
      </c>
      <c r="DD622">
        <v>0</v>
      </c>
      <c r="DE622">
        <v>0</v>
      </c>
      <c r="DF622">
        <v>0</v>
      </c>
      <c r="DH622">
        <v>8.9</v>
      </c>
      <c r="DI622">
        <v>19.899999999999999</v>
      </c>
    </row>
    <row r="623" spans="1:113" ht="15" customHeight="1" x14ac:dyDescent="0.25">
      <c r="A623" t="s">
        <v>3600</v>
      </c>
      <c r="B623" t="s">
        <v>3601</v>
      </c>
      <c r="C623" t="s">
        <v>3602</v>
      </c>
      <c r="D623" t="s">
        <v>1334</v>
      </c>
      <c r="E623" t="s">
        <v>431</v>
      </c>
      <c r="F623" t="s">
        <v>3603</v>
      </c>
      <c r="G623">
        <v>2025</v>
      </c>
      <c r="H623" t="s">
        <v>1160</v>
      </c>
      <c r="I623" t="s">
        <v>99</v>
      </c>
      <c r="J623">
        <v>11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Y623">
        <v>0</v>
      </c>
      <c r="AA623">
        <v>2</v>
      </c>
      <c r="AB623">
        <v>4</v>
      </c>
      <c r="AC623">
        <v>0</v>
      </c>
      <c r="AD623">
        <v>0</v>
      </c>
      <c r="AE623">
        <v>0</v>
      </c>
      <c r="AF623">
        <v>1</v>
      </c>
      <c r="AG623">
        <v>-0.26065855185151998</v>
      </c>
      <c r="AH623">
        <v>0</v>
      </c>
      <c r="AI623">
        <v>2</v>
      </c>
      <c r="AJ623">
        <v>2</v>
      </c>
      <c r="AK623">
        <v>24</v>
      </c>
      <c r="AL623">
        <v>0</v>
      </c>
      <c r="AM623">
        <v>0</v>
      </c>
      <c r="AN623">
        <v>0</v>
      </c>
      <c r="AO623">
        <v>22</v>
      </c>
      <c r="AP623">
        <v>2</v>
      </c>
      <c r="AQ623">
        <v>1</v>
      </c>
      <c r="AR623">
        <v>-8.4617196945939194E-2</v>
      </c>
      <c r="AS623">
        <v>0</v>
      </c>
      <c r="AT623">
        <v>1.0909090909090899</v>
      </c>
      <c r="AU623">
        <v>4.1753653444676396E-3</v>
      </c>
      <c r="AV623">
        <v>6.0874377421139998E-3</v>
      </c>
      <c r="AW623">
        <v>1.05242544361813E-2</v>
      </c>
      <c r="AX623">
        <v>0</v>
      </c>
      <c r="AY623">
        <v>6</v>
      </c>
      <c r="AZ623">
        <v>0</v>
      </c>
      <c r="BA623">
        <v>7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C623">
        <v>0</v>
      </c>
      <c r="DD623">
        <v>0</v>
      </c>
      <c r="DE623">
        <v>0</v>
      </c>
      <c r="DF623">
        <v>0</v>
      </c>
      <c r="DH623">
        <v>2.8</v>
      </c>
      <c r="DI623">
        <v>4.8</v>
      </c>
    </row>
    <row r="624" spans="1:113" ht="15" customHeight="1" x14ac:dyDescent="0.25">
      <c r="A624" t="s">
        <v>3604</v>
      </c>
      <c r="B624" t="s">
        <v>3605</v>
      </c>
      <c r="C624" t="s">
        <v>3606</v>
      </c>
      <c r="D624" t="s">
        <v>1189</v>
      </c>
      <c r="E624" t="s">
        <v>1190</v>
      </c>
      <c r="F624" t="s">
        <v>3607</v>
      </c>
      <c r="G624">
        <v>2025</v>
      </c>
      <c r="H624" t="s">
        <v>1160</v>
      </c>
      <c r="I624" t="s">
        <v>99</v>
      </c>
      <c r="J624">
        <v>15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Y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S624">
        <v>0</v>
      </c>
      <c r="AU624">
        <v>0</v>
      </c>
      <c r="AV624">
        <v>0</v>
      </c>
      <c r="AW624">
        <v>0</v>
      </c>
      <c r="AX624">
        <v>0</v>
      </c>
      <c r="AY624">
        <v>17</v>
      </c>
      <c r="AZ624">
        <v>0</v>
      </c>
      <c r="BA624">
        <v>15</v>
      </c>
      <c r="BB624">
        <v>2</v>
      </c>
      <c r="BC624">
        <v>15</v>
      </c>
      <c r="BD624">
        <v>0</v>
      </c>
      <c r="BE624">
        <v>2.5</v>
      </c>
      <c r="BF624">
        <v>16</v>
      </c>
      <c r="BG624">
        <v>9</v>
      </c>
      <c r="BH624">
        <v>2</v>
      </c>
      <c r="BI624">
        <v>25</v>
      </c>
      <c r="BJ624">
        <v>4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1</v>
      </c>
      <c r="BR624">
        <v>1</v>
      </c>
      <c r="BS624">
        <v>0</v>
      </c>
      <c r="BT624">
        <v>4</v>
      </c>
      <c r="BU624">
        <v>50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C624">
        <v>0</v>
      </c>
      <c r="DD624">
        <v>0</v>
      </c>
      <c r="DE624">
        <v>0</v>
      </c>
      <c r="DF624">
        <v>0</v>
      </c>
      <c r="DH624">
        <v>0</v>
      </c>
      <c r="DI624">
        <v>0</v>
      </c>
    </row>
    <row r="625" spans="1:113" ht="15" customHeight="1" x14ac:dyDescent="0.25">
      <c r="A625" t="s">
        <v>3608</v>
      </c>
      <c r="B625" t="s">
        <v>3609</v>
      </c>
      <c r="C625" t="s">
        <v>3610</v>
      </c>
      <c r="D625" t="s">
        <v>1234</v>
      </c>
      <c r="E625" t="s">
        <v>1234</v>
      </c>
      <c r="F625" t="s">
        <v>3611</v>
      </c>
      <c r="G625">
        <v>2025</v>
      </c>
      <c r="H625" t="s">
        <v>1160</v>
      </c>
      <c r="I625" t="s">
        <v>114</v>
      </c>
      <c r="J625">
        <v>13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Y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S625">
        <v>0</v>
      </c>
      <c r="AU625">
        <v>0</v>
      </c>
      <c r="AV625">
        <v>0</v>
      </c>
      <c r="AW625">
        <v>0</v>
      </c>
      <c r="AX625">
        <v>0</v>
      </c>
      <c r="AY625">
        <v>14</v>
      </c>
      <c r="AZ625">
        <v>1</v>
      </c>
      <c r="BA625">
        <v>11</v>
      </c>
      <c r="BB625">
        <v>5</v>
      </c>
      <c r="BC625">
        <v>36</v>
      </c>
      <c r="BD625">
        <v>0</v>
      </c>
      <c r="BE625">
        <v>2</v>
      </c>
      <c r="BF625">
        <v>18</v>
      </c>
      <c r="BG625">
        <v>7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C625">
        <v>0</v>
      </c>
      <c r="DD625">
        <v>0</v>
      </c>
      <c r="DE625">
        <v>0</v>
      </c>
      <c r="DF625">
        <v>0</v>
      </c>
      <c r="DH625">
        <v>0</v>
      </c>
      <c r="DI625">
        <v>0</v>
      </c>
    </row>
    <row r="626" spans="1:113" ht="15" customHeight="1" x14ac:dyDescent="0.25">
      <c r="A626" t="s">
        <v>3612</v>
      </c>
      <c r="B626" t="s">
        <v>3613</v>
      </c>
      <c r="C626" t="s">
        <v>3614</v>
      </c>
      <c r="D626" t="s">
        <v>1219</v>
      </c>
      <c r="E626" t="s">
        <v>1220</v>
      </c>
      <c r="F626" t="s">
        <v>3615</v>
      </c>
      <c r="G626">
        <v>2025</v>
      </c>
      <c r="H626" t="s">
        <v>1160</v>
      </c>
      <c r="I626" t="s">
        <v>126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Y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S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2</v>
      </c>
      <c r="BU626">
        <v>10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C626">
        <v>0</v>
      </c>
      <c r="DD626">
        <v>0</v>
      </c>
      <c r="DE626">
        <v>0</v>
      </c>
      <c r="DF626">
        <v>0</v>
      </c>
      <c r="DH626">
        <v>0</v>
      </c>
      <c r="DI626">
        <v>0</v>
      </c>
    </row>
    <row r="627" spans="1:113" ht="15" customHeight="1" x14ac:dyDescent="0.25">
      <c r="A627" t="s">
        <v>3616</v>
      </c>
      <c r="B627" t="s">
        <v>3617</v>
      </c>
      <c r="C627" t="s">
        <v>3618</v>
      </c>
      <c r="D627" t="s">
        <v>10</v>
      </c>
      <c r="E627" t="s">
        <v>10</v>
      </c>
      <c r="F627" t="s">
        <v>3619</v>
      </c>
      <c r="G627">
        <v>2025</v>
      </c>
      <c r="H627" t="s">
        <v>1160</v>
      </c>
      <c r="I627" t="s">
        <v>99</v>
      </c>
      <c r="J627">
        <v>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Y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>
        <v>0</v>
      </c>
      <c r="AI627">
        <v>12</v>
      </c>
      <c r="AJ627">
        <v>18</v>
      </c>
      <c r="AK627">
        <v>129</v>
      </c>
      <c r="AL627">
        <v>1</v>
      </c>
      <c r="AM627">
        <v>0</v>
      </c>
      <c r="AN627">
        <v>0</v>
      </c>
      <c r="AO627">
        <v>159</v>
      </c>
      <c r="AP627">
        <v>30</v>
      </c>
      <c r="AQ627">
        <v>8</v>
      </c>
      <c r="AR627">
        <v>10.331152991741</v>
      </c>
      <c r="AS627">
        <v>0</v>
      </c>
      <c r="AT627">
        <v>0.81132075471698095</v>
      </c>
      <c r="AU627">
        <v>3.7578288100208801E-2</v>
      </c>
      <c r="AV627">
        <v>4.39955727725512E-2</v>
      </c>
      <c r="AW627">
        <v>8.7164333091099E-2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C627">
        <v>0</v>
      </c>
      <c r="DD627">
        <v>0</v>
      </c>
      <c r="DE627">
        <v>0</v>
      </c>
      <c r="DF627">
        <v>0</v>
      </c>
      <c r="DH627">
        <v>18.899999999999999</v>
      </c>
      <c r="DI627">
        <v>30.9</v>
      </c>
    </row>
    <row r="628" spans="1:113" ht="15" customHeight="1" x14ac:dyDescent="0.25">
      <c r="A628" t="s">
        <v>3620</v>
      </c>
      <c r="B628" t="s">
        <v>3621</v>
      </c>
      <c r="C628" t="s">
        <v>3622</v>
      </c>
      <c r="D628" t="s">
        <v>1297</v>
      </c>
      <c r="E628" t="s">
        <v>1220</v>
      </c>
      <c r="F628" t="s">
        <v>3623</v>
      </c>
      <c r="G628">
        <v>2025</v>
      </c>
      <c r="H628" t="s">
        <v>1160</v>
      </c>
      <c r="I628" t="s">
        <v>114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Y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S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3</v>
      </c>
      <c r="BU628">
        <v>19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C628">
        <v>0</v>
      </c>
      <c r="DD628">
        <v>0</v>
      </c>
      <c r="DE628">
        <v>0</v>
      </c>
      <c r="DF628">
        <v>0</v>
      </c>
      <c r="DH628">
        <v>0</v>
      </c>
      <c r="DI628">
        <v>0</v>
      </c>
    </row>
    <row r="629" spans="1:113" ht="15" customHeight="1" x14ac:dyDescent="0.25">
      <c r="A629" t="s">
        <v>3624</v>
      </c>
      <c r="B629" t="s">
        <v>3625</v>
      </c>
      <c r="C629" t="s">
        <v>3626</v>
      </c>
      <c r="D629" t="s">
        <v>1684</v>
      </c>
      <c r="E629" t="s">
        <v>1307</v>
      </c>
      <c r="F629" t="s">
        <v>3627</v>
      </c>
      <c r="G629">
        <v>2025</v>
      </c>
      <c r="H629" t="s">
        <v>1160</v>
      </c>
      <c r="I629" t="s">
        <v>107</v>
      </c>
      <c r="J629">
        <v>16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Y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S629">
        <v>0</v>
      </c>
      <c r="AU629">
        <v>0</v>
      </c>
      <c r="AV629">
        <v>0</v>
      </c>
      <c r="AW629">
        <v>0</v>
      </c>
      <c r="AX629">
        <v>0</v>
      </c>
      <c r="AY629">
        <v>64</v>
      </c>
      <c r="AZ629">
        <v>1</v>
      </c>
      <c r="BA629">
        <v>39</v>
      </c>
      <c r="BB629">
        <v>4</v>
      </c>
      <c r="BC629">
        <v>14</v>
      </c>
      <c r="BD629">
        <v>0</v>
      </c>
      <c r="BE629">
        <v>2</v>
      </c>
      <c r="BF629">
        <v>11</v>
      </c>
      <c r="BG629">
        <v>4</v>
      </c>
      <c r="BH629">
        <v>2</v>
      </c>
      <c r="BI629">
        <v>57</v>
      </c>
      <c r="BJ629">
        <v>4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C629">
        <v>0</v>
      </c>
      <c r="DD629">
        <v>0</v>
      </c>
      <c r="DE629">
        <v>0</v>
      </c>
      <c r="DF629">
        <v>0</v>
      </c>
      <c r="DH629">
        <v>0</v>
      </c>
      <c r="DI629">
        <v>0</v>
      </c>
    </row>
    <row r="630" spans="1:113" ht="15" customHeight="1" x14ac:dyDescent="0.25">
      <c r="A630" t="s">
        <v>3628</v>
      </c>
      <c r="B630" t="s">
        <v>3629</v>
      </c>
      <c r="C630" t="s">
        <v>3630</v>
      </c>
      <c r="D630" t="s">
        <v>1243</v>
      </c>
      <c r="E630" t="s">
        <v>1190</v>
      </c>
      <c r="F630" t="s">
        <v>3631</v>
      </c>
      <c r="G630">
        <v>2025</v>
      </c>
      <c r="H630" t="s">
        <v>1160</v>
      </c>
      <c r="I630" t="s">
        <v>93</v>
      </c>
      <c r="J630">
        <v>10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Y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S630">
        <v>0</v>
      </c>
      <c r="AU630">
        <v>0</v>
      </c>
      <c r="AV630">
        <v>0</v>
      </c>
      <c r="AW630">
        <v>0</v>
      </c>
      <c r="AX630">
        <v>0</v>
      </c>
      <c r="AY630">
        <v>17</v>
      </c>
      <c r="AZ630">
        <v>0</v>
      </c>
      <c r="BA630">
        <v>13</v>
      </c>
      <c r="BB630">
        <v>7</v>
      </c>
      <c r="BC630">
        <v>26</v>
      </c>
      <c r="BD630">
        <v>1</v>
      </c>
      <c r="BE630">
        <v>5</v>
      </c>
      <c r="BF630">
        <v>22</v>
      </c>
      <c r="BG630">
        <v>4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15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C630">
        <v>0</v>
      </c>
      <c r="DD630">
        <v>0</v>
      </c>
      <c r="DE630">
        <v>0</v>
      </c>
      <c r="DF630">
        <v>0</v>
      </c>
      <c r="DH630">
        <v>0</v>
      </c>
      <c r="DI630">
        <v>0</v>
      </c>
    </row>
    <row r="631" spans="1:113" ht="15" customHeight="1" x14ac:dyDescent="0.25">
      <c r="A631" t="s">
        <v>3632</v>
      </c>
      <c r="B631" t="s">
        <v>3633</v>
      </c>
      <c r="C631" t="s">
        <v>3634</v>
      </c>
      <c r="D631" t="s">
        <v>1158</v>
      </c>
      <c r="E631" t="s">
        <v>1158</v>
      </c>
      <c r="F631" t="s">
        <v>3635</v>
      </c>
      <c r="G631">
        <v>2025</v>
      </c>
      <c r="H631" t="s">
        <v>1160</v>
      </c>
      <c r="I631" t="s">
        <v>133</v>
      </c>
      <c r="J631">
        <v>14</v>
      </c>
      <c r="K631">
        <v>260</v>
      </c>
      <c r="L631">
        <v>384</v>
      </c>
      <c r="M631">
        <v>2660</v>
      </c>
      <c r="N631">
        <v>20</v>
      </c>
      <c r="O631">
        <v>15</v>
      </c>
      <c r="P631">
        <v>30</v>
      </c>
      <c r="Q631">
        <v>-195</v>
      </c>
      <c r="R631">
        <v>1</v>
      </c>
      <c r="S631">
        <v>1</v>
      </c>
      <c r="T631">
        <v>2613</v>
      </c>
      <c r="U631">
        <v>1417</v>
      </c>
      <c r="V631">
        <v>142</v>
      </c>
      <c r="W631">
        <v>14.3950634196548</v>
      </c>
      <c r="X631">
        <v>2.0202706984388099</v>
      </c>
      <c r="Y631">
        <v>1</v>
      </c>
      <c r="Z631">
        <v>1.01798698813624</v>
      </c>
      <c r="AA631">
        <v>20</v>
      </c>
      <c r="AB631">
        <v>43</v>
      </c>
      <c r="AC631">
        <v>0</v>
      </c>
      <c r="AD631">
        <v>5</v>
      </c>
      <c r="AE631">
        <v>0</v>
      </c>
      <c r="AF631">
        <v>6</v>
      </c>
      <c r="AG631">
        <v>-7.4699868628080397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S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4</v>
      </c>
      <c r="BP631">
        <v>7</v>
      </c>
      <c r="BQ631">
        <v>0</v>
      </c>
      <c r="BR631">
        <v>0</v>
      </c>
      <c r="BS631">
        <v>0</v>
      </c>
      <c r="BT631">
        <v>1</v>
      </c>
      <c r="BU631">
        <v>10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C631">
        <v>0</v>
      </c>
      <c r="DD631">
        <v>0</v>
      </c>
      <c r="DE631">
        <v>0</v>
      </c>
      <c r="DF631">
        <v>0</v>
      </c>
      <c r="DH631">
        <v>160.69999999999999</v>
      </c>
      <c r="DI631">
        <v>160.69999999999999</v>
      </c>
    </row>
    <row r="632" spans="1:113" ht="15" customHeight="1" x14ac:dyDescent="0.25">
      <c r="A632" t="s">
        <v>3636</v>
      </c>
      <c r="B632" t="s">
        <v>3637</v>
      </c>
      <c r="C632" t="s">
        <v>3638</v>
      </c>
      <c r="D632" t="s">
        <v>1655</v>
      </c>
      <c r="E632" t="s">
        <v>1220</v>
      </c>
      <c r="F632" t="s">
        <v>3639</v>
      </c>
      <c r="G632">
        <v>2025</v>
      </c>
      <c r="H632" t="s">
        <v>1160</v>
      </c>
      <c r="I632" t="s">
        <v>124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Y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S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C632">
        <v>0</v>
      </c>
      <c r="DD632">
        <v>0</v>
      </c>
      <c r="DE632">
        <v>0</v>
      </c>
      <c r="DF632">
        <v>0</v>
      </c>
      <c r="DH632">
        <v>0</v>
      </c>
      <c r="DI632">
        <v>0</v>
      </c>
    </row>
    <row r="633" spans="1:113" ht="15" customHeight="1" x14ac:dyDescent="0.25">
      <c r="A633" t="s">
        <v>3640</v>
      </c>
      <c r="B633" t="s">
        <v>3641</v>
      </c>
      <c r="C633" t="s">
        <v>3642</v>
      </c>
      <c r="D633" t="s">
        <v>1189</v>
      </c>
      <c r="E633" t="s">
        <v>1190</v>
      </c>
      <c r="F633" t="s">
        <v>3643</v>
      </c>
      <c r="G633">
        <v>2025</v>
      </c>
      <c r="H633" t="s">
        <v>1160</v>
      </c>
      <c r="I633" t="s">
        <v>96</v>
      </c>
      <c r="J633">
        <v>16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Y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S633">
        <v>0</v>
      </c>
      <c r="AU633">
        <v>0</v>
      </c>
      <c r="AV633">
        <v>0</v>
      </c>
      <c r="AW633">
        <v>0</v>
      </c>
      <c r="AX633">
        <v>0</v>
      </c>
      <c r="AY633">
        <v>32</v>
      </c>
      <c r="AZ633">
        <v>1</v>
      </c>
      <c r="BA633">
        <v>40</v>
      </c>
      <c r="BB633">
        <v>5</v>
      </c>
      <c r="BC633">
        <v>29</v>
      </c>
      <c r="BD633">
        <v>1</v>
      </c>
      <c r="BE633">
        <v>5</v>
      </c>
      <c r="BF633">
        <v>32.5</v>
      </c>
      <c r="BG633">
        <v>11</v>
      </c>
      <c r="BH633">
        <v>0</v>
      </c>
      <c r="BI633">
        <v>0</v>
      </c>
      <c r="BJ633">
        <v>7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3</v>
      </c>
      <c r="BU633">
        <v>35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C633">
        <v>0</v>
      </c>
      <c r="DD633">
        <v>0</v>
      </c>
      <c r="DE633">
        <v>0</v>
      </c>
      <c r="DF633">
        <v>0</v>
      </c>
      <c r="DH633">
        <v>0</v>
      </c>
      <c r="DI633">
        <v>0</v>
      </c>
    </row>
    <row r="634" spans="1:113" ht="15" customHeight="1" x14ac:dyDescent="0.25">
      <c r="A634" t="s">
        <v>3644</v>
      </c>
      <c r="B634" t="s">
        <v>3463</v>
      </c>
      <c r="C634" t="s">
        <v>3645</v>
      </c>
      <c r="D634" t="s">
        <v>1684</v>
      </c>
      <c r="E634" t="s">
        <v>1307</v>
      </c>
      <c r="F634" t="s">
        <v>3646</v>
      </c>
      <c r="G634">
        <v>2025</v>
      </c>
      <c r="H634" t="s">
        <v>1160</v>
      </c>
      <c r="I634" t="s">
        <v>115</v>
      </c>
      <c r="J634">
        <v>14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Y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S634">
        <v>0</v>
      </c>
      <c r="AU634">
        <v>0</v>
      </c>
      <c r="AV634">
        <v>0</v>
      </c>
      <c r="AW634">
        <v>0</v>
      </c>
      <c r="AX634">
        <v>0</v>
      </c>
      <c r="AY634">
        <v>42</v>
      </c>
      <c r="AZ634">
        <v>1</v>
      </c>
      <c r="BA634">
        <v>35</v>
      </c>
      <c r="BB634">
        <v>0</v>
      </c>
      <c r="BC634">
        <v>0</v>
      </c>
      <c r="BD634">
        <v>0</v>
      </c>
      <c r="BE634">
        <v>0.5</v>
      </c>
      <c r="BF634">
        <v>6</v>
      </c>
      <c r="BG634">
        <v>2</v>
      </c>
      <c r="BH634">
        <v>1</v>
      </c>
      <c r="BI634">
        <v>0</v>
      </c>
      <c r="BJ634">
        <v>7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</v>
      </c>
      <c r="BR634">
        <v>1</v>
      </c>
      <c r="BS634">
        <v>0</v>
      </c>
      <c r="BT634">
        <v>3</v>
      </c>
      <c r="BU634">
        <v>21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C634">
        <v>0</v>
      </c>
      <c r="DD634">
        <v>0</v>
      </c>
      <c r="DE634">
        <v>0</v>
      </c>
      <c r="DF634">
        <v>0</v>
      </c>
      <c r="DH634">
        <v>0</v>
      </c>
      <c r="DI634">
        <v>0</v>
      </c>
    </row>
    <row r="635" spans="1:113" ht="15" customHeight="1" x14ac:dyDescent="0.25">
      <c r="A635" t="s">
        <v>3647</v>
      </c>
      <c r="B635" t="s">
        <v>3648</v>
      </c>
      <c r="C635" t="s">
        <v>3649</v>
      </c>
      <c r="D635" t="s">
        <v>1350</v>
      </c>
      <c r="E635" t="s">
        <v>1307</v>
      </c>
      <c r="F635" t="s">
        <v>3650</v>
      </c>
      <c r="G635">
        <v>2025</v>
      </c>
      <c r="H635" t="s">
        <v>1160</v>
      </c>
      <c r="I635" t="s">
        <v>137</v>
      </c>
      <c r="J635">
        <v>17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Y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S635">
        <v>0</v>
      </c>
      <c r="AU635">
        <v>0</v>
      </c>
      <c r="AV635">
        <v>0</v>
      </c>
      <c r="AW635">
        <v>0</v>
      </c>
      <c r="AX635">
        <v>0</v>
      </c>
      <c r="AY635">
        <v>46</v>
      </c>
      <c r="AZ635">
        <v>1</v>
      </c>
      <c r="BA635">
        <v>19</v>
      </c>
      <c r="BB635">
        <v>4</v>
      </c>
      <c r="BC635">
        <v>8</v>
      </c>
      <c r="BD635">
        <v>2</v>
      </c>
      <c r="BE635">
        <v>0</v>
      </c>
      <c r="BF635">
        <v>0</v>
      </c>
      <c r="BG635">
        <v>0</v>
      </c>
      <c r="BH635">
        <v>1</v>
      </c>
      <c r="BI635">
        <v>87</v>
      </c>
      <c r="BJ635">
        <v>4</v>
      </c>
      <c r="BK635">
        <v>1</v>
      </c>
      <c r="BL635">
        <v>0</v>
      </c>
      <c r="BM635">
        <v>0</v>
      </c>
      <c r="BN635">
        <v>41</v>
      </c>
      <c r="BO635">
        <v>0</v>
      </c>
      <c r="BP635">
        <v>0</v>
      </c>
      <c r="BQ635">
        <v>1</v>
      </c>
      <c r="BR635">
        <v>1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C635">
        <v>0</v>
      </c>
      <c r="DD635">
        <v>0</v>
      </c>
      <c r="DE635">
        <v>0</v>
      </c>
      <c r="DF635">
        <v>0</v>
      </c>
      <c r="DH635">
        <v>0</v>
      </c>
      <c r="DI635">
        <v>0</v>
      </c>
    </row>
    <row r="636" spans="1:113" ht="15" customHeight="1" x14ac:dyDescent="0.25">
      <c r="A636" t="s">
        <v>3651</v>
      </c>
      <c r="B636" t="s">
        <v>3028</v>
      </c>
      <c r="C636" t="s">
        <v>683</v>
      </c>
      <c r="D636" t="s">
        <v>431</v>
      </c>
      <c r="E636" t="s">
        <v>431</v>
      </c>
      <c r="F636" t="s">
        <v>3652</v>
      </c>
      <c r="G636">
        <v>2025</v>
      </c>
      <c r="H636" t="s">
        <v>1160</v>
      </c>
      <c r="I636" t="s">
        <v>124</v>
      </c>
      <c r="J636">
        <v>17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Y636">
        <v>0</v>
      </c>
      <c r="AA636">
        <v>323</v>
      </c>
      <c r="AB636">
        <v>1585</v>
      </c>
      <c r="AC636">
        <v>18</v>
      </c>
      <c r="AD636">
        <v>1</v>
      </c>
      <c r="AE636">
        <v>1</v>
      </c>
      <c r="AF636">
        <v>88</v>
      </c>
      <c r="AG636">
        <v>18.771634809846802</v>
      </c>
      <c r="AH636">
        <v>1</v>
      </c>
      <c r="AI636">
        <v>46</v>
      </c>
      <c r="AJ636">
        <v>55</v>
      </c>
      <c r="AK636">
        <v>378</v>
      </c>
      <c r="AL636">
        <v>2</v>
      </c>
      <c r="AM636">
        <v>1</v>
      </c>
      <c r="AN636">
        <v>0</v>
      </c>
      <c r="AO636">
        <v>-45</v>
      </c>
      <c r="AP636">
        <v>434</v>
      </c>
      <c r="AQ636">
        <v>15</v>
      </c>
      <c r="AR636">
        <v>9.2340460714332302</v>
      </c>
      <c r="AS636">
        <v>0</v>
      </c>
      <c r="AT636">
        <v>-8.4</v>
      </c>
      <c r="AU636">
        <v>0.10377358490565999</v>
      </c>
      <c r="AV636">
        <v>-1.0273972602739699E-2</v>
      </c>
      <c r="AW636">
        <v>0.14846859653657299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2</v>
      </c>
      <c r="BP636">
        <v>2</v>
      </c>
      <c r="BQ636">
        <v>0</v>
      </c>
      <c r="BR636">
        <v>0</v>
      </c>
      <c r="BS636">
        <v>0</v>
      </c>
      <c r="BT636">
        <v>1</v>
      </c>
      <c r="BU636">
        <v>15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C636">
        <v>0</v>
      </c>
      <c r="DD636">
        <v>0</v>
      </c>
      <c r="DE636">
        <v>0</v>
      </c>
      <c r="DF636">
        <v>0</v>
      </c>
      <c r="DH636">
        <v>316.3</v>
      </c>
      <c r="DI636">
        <v>362.3</v>
      </c>
    </row>
    <row r="637" spans="1:113" ht="15" customHeight="1" x14ac:dyDescent="0.25">
      <c r="A637" t="s">
        <v>3653</v>
      </c>
      <c r="B637" t="s">
        <v>3654</v>
      </c>
      <c r="C637" t="s">
        <v>3655</v>
      </c>
      <c r="D637" t="s">
        <v>1234</v>
      </c>
      <c r="E637" t="s">
        <v>1234</v>
      </c>
      <c r="F637" t="s">
        <v>3656</v>
      </c>
      <c r="G637">
        <v>2025</v>
      </c>
      <c r="H637" t="s">
        <v>1160</v>
      </c>
      <c r="I637" t="s">
        <v>137</v>
      </c>
      <c r="J637">
        <v>12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Y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S637">
        <v>0</v>
      </c>
      <c r="AU637">
        <v>0</v>
      </c>
      <c r="AV637">
        <v>0</v>
      </c>
      <c r="AW637">
        <v>0</v>
      </c>
      <c r="AX637">
        <v>0</v>
      </c>
      <c r="AY637">
        <v>17</v>
      </c>
      <c r="AZ637">
        <v>2</v>
      </c>
      <c r="BA637">
        <v>19</v>
      </c>
      <c r="BB637">
        <v>10</v>
      </c>
      <c r="BC637">
        <v>33</v>
      </c>
      <c r="BD637">
        <v>1</v>
      </c>
      <c r="BE637">
        <v>3</v>
      </c>
      <c r="BF637">
        <v>19.5</v>
      </c>
      <c r="BG637">
        <v>12</v>
      </c>
      <c r="BH637">
        <v>0</v>
      </c>
      <c r="BI637">
        <v>0</v>
      </c>
      <c r="BJ637">
        <v>3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3</v>
      </c>
      <c r="BU637">
        <v>15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C637">
        <v>0</v>
      </c>
      <c r="DD637">
        <v>0</v>
      </c>
      <c r="DE637">
        <v>0</v>
      </c>
      <c r="DF637">
        <v>0</v>
      </c>
      <c r="DH637">
        <v>0</v>
      </c>
      <c r="DI637">
        <v>0</v>
      </c>
    </row>
    <row r="638" spans="1:113" ht="15" customHeight="1" x14ac:dyDescent="0.25">
      <c r="A638" t="s">
        <v>3657</v>
      </c>
      <c r="B638" t="s">
        <v>3658</v>
      </c>
      <c r="C638" t="s">
        <v>3659</v>
      </c>
      <c r="D638" t="s">
        <v>1684</v>
      </c>
      <c r="E638" t="s">
        <v>1307</v>
      </c>
      <c r="F638" t="s">
        <v>3660</v>
      </c>
      <c r="G638">
        <v>2025</v>
      </c>
      <c r="H638" t="s">
        <v>1160</v>
      </c>
      <c r="I638" t="s">
        <v>103</v>
      </c>
      <c r="J638">
        <v>16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Y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S638">
        <v>0</v>
      </c>
      <c r="AU638">
        <v>0</v>
      </c>
      <c r="AV638">
        <v>0</v>
      </c>
      <c r="AW638">
        <v>0</v>
      </c>
      <c r="AX638">
        <v>0</v>
      </c>
      <c r="AY638">
        <v>29</v>
      </c>
      <c r="AZ638">
        <v>0</v>
      </c>
      <c r="BA638">
        <v>30</v>
      </c>
      <c r="BB638">
        <v>2</v>
      </c>
      <c r="BC638">
        <v>7</v>
      </c>
      <c r="BD638">
        <v>0</v>
      </c>
      <c r="BE638">
        <v>1</v>
      </c>
      <c r="BF638">
        <v>5</v>
      </c>
      <c r="BG638">
        <v>1</v>
      </c>
      <c r="BH638">
        <v>2</v>
      </c>
      <c r="BI638">
        <v>73</v>
      </c>
      <c r="BJ638">
        <v>5</v>
      </c>
      <c r="BK638">
        <v>1</v>
      </c>
      <c r="BL638">
        <v>0</v>
      </c>
      <c r="BM638">
        <v>1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14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C638">
        <v>0</v>
      </c>
      <c r="DD638">
        <v>0</v>
      </c>
      <c r="DE638">
        <v>0</v>
      </c>
      <c r="DF638">
        <v>0</v>
      </c>
      <c r="DH638">
        <v>0</v>
      </c>
      <c r="DI638">
        <v>0</v>
      </c>
    </row>
    <row r="639" spans="1:113" ht="15" customHeight="1" x14ac:dyDescent="0.25">
      <c r="A639" t="s">
        <v>3661</v>
      </c>
      <c r="B639" t="s">
        <v>3662</v>
      </c>
      <c r="C639" t="s">
        <v>3663</v>
      </c>
      <c r="D639" t="s">
        <v>439</v>
      </c>
      <c r="E639" t="s">
        <v>439</v>
      </c>
      <c r="F639" t="s">
        <v>3664</v>
      </c>
      <c r="G639">
        <v>2025</v>
      </c>
      <c r="H639" t="s">
        <v>1160</v>
      </c>
      <c r="I639" t="s">
        <v>121</v>
      </c>
      <c r="J639">
        <v>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Y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H639">
        <v>0</v>
      </c>
      <c r="AI639">
        <v>2</v>
      </c>
      <c r="AJ639">
        <v>6</v>
      </c>
      <c r="AK639">
        <v>7</v>
      </c>
      <c r="AL639">
        <v>0</v>
      </c>
      <c r="AM639">
        <v>0</v>
      </c>
      <c r="AN639">
        <v>0</v>
      </c>
      <c r="AO639">
        <v>58</v>
      </c>
      <c r="AP639">
        <v>0</v>
      </c>
      <c r="AQ639">
        <v>1</v>
      </c>
      <c r="AR639">
        <v>-3.3358658562647201</v>
      </c>
      <c r="AS639">
        <v>0</v>
      </c>
      <c r="AT639">
        <v>0.12068965517241401</v>
      </c>
      <c r="AU639">
        <v>1.0849909584086799E-2</v>
      </c>
      <c r="AV639">
        <v>1.21720881427072E-2</v>
      </c>
      <c r="AW639">
        <v>2.47953260760253E-2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C639">
        <v>0</v>
      </c>
      <c r="DD639">
        <v>0</v>
      </c>
      <c r="DE639">
        <v>0</v>
      </c>
      <c r="DF639">
        <v>0</v>
      </c>
      <c r="DH639">
        <v>0.7</v>
      </c>
      <c r="DI639">
        <v>2.7</v>
      </c>
    </row>
    <row r="640" spans="1:113" ht="15" customHeight="1" x14ac:dyDescent="0.25">
      <c r="A640" t="s">
        <v>3665</v>
      </c>
      <c r="B640" t="s">
        <v>3666</v>
      </c>
      <c r="C640" t="s">
        <v>3667</v>
      </c>
      <c r="D640" t="s">
        <v>1189</v>
      </c>
      <c r="E640" t="s">
        <v>1190</v>
      </c>
      <c r="F640" t="s">
        <v>3668</v>
      </c>
      <c r="G640">
        <v>2025</v>
      </c>
      <c r="H640" t="s">
        <v>1160</v>
      </c>
      <c r="I640" t="s">
        <v>1200</v>
      </c>
      <c r="J640">
        <v>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Y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S640">
        <v>0</v>
      </c>
      <c r="AU640">
        <v>0</v>
      </c>
      <c r="AV640">
        <v>0</v>
      </c>
      <c r="AW640">
        <v>0</v>
      </c>
      <c r="AX640">
        <v>0</v>
      </c>
      <c r="AY640">
        <v>2</v>
      </c>
      <c r="AZ640">
        <v>0</v>
      </c>
      <c r="BA640">
        <v>6</v>
      </c>
      <c r="BB640">
        <v>2</v>
      </c>
      <c r="BC640">
        <v>15</v>
      </c>
      <c r="BD640">
        <v>0</v>
      </c>
      <c r="BE640">
        <v>2</v>
      </c>
      <c r="BF640">
        <v>15</v>
      </c>
      <c r="BG640">
        <v>3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C640">
        <v>0</v>
      </c>
      <c r="DD640">
        <v>0</v>
      </c>
      <c r="DE640">
        <v>0</v>
      </c>
      <c r="DF640">
        <v>0</v>
      </c>
      <c r="DH640">
        <v>0</v>
      </c>
      <c r="DI640">
        <v>0</v>
      </c>
    </row>
    <row r="641" spans="1:113" ht="15" customHeight="1" x14ac:dyDescent="0.25">
      <c r="A641" t="s">
        <v>3669</v>
      </c>
      <c r="B641" t="s">
        <v>3670</v>
      </c>
      <c r="C641" t="s">
        <v>750</v>
      </c>
      <c r="D641" t="s">
        <v>439</v>
      </c>
      <c r="E641" t="s">
        <v>439</v>
      </c>
      <c r="F641" t="s">
        <v>3671</v>
      </c>
      <c r="G641">
        <v>2025</v>
      </c>
      <c r="H641" t="s">
        <v>1160</v>
      </c>
      <c r="I641" t="s">
        <v>1200</v>
      </c>
      <c r="J641">
        <v>14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Y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H641">
        <v>0</v>
      </c>
      <c r="AI641">
        <v>43</v>
      </c>
      <c r="AJ641">
        <v>56</v>
      </c>
      <c r="AK641">
        <v>408</v>
      </c>
      <c r="AL641">
        <v>8</v>
      </c>
      <c r="AM641">
        <v>1</v>
      </c>
      <c r="AN641">
        <v>1</v>
      </c>
      <c r="AO641">
        <v>248</v>
      </c>
      <c r="AP641">
        <v>271</v>
      </c>
      <c r="AQ641">
        <v>24</v>
      </c>
      <c r="AR641">
        <v>12.5571114241143</v>
      </c>
      <c r="AS641">
        <v>0</v>
      </c>
      <c r="AT641">
        <v>1.6451612903225801</v>
      </c>
      <c r="AU641">
        <v>9.6385542168674704E-2</v>
      </c>
      <c r="AV641">
        <v>4.5689019896831197E-2</v>
      </c>
      <c r="AW641">
        <v>0.17656062718079399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</v>
      </c>
      <c r="BU641">
        <v>15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C641">
        <v>0</v>
      </c>
      <c r="DD641">
        <v>0</v>
      </c>
      <c r="DE641">
        <v>0</v>
      </c>
      <c r="DF641">
        <v>0</v>
      </c>
      <c r="DH641">
        <v>86.8</v>
      </c>
      <c r="DI641">
        <v>129.80000000000001</v>
      </c>
    </row>
    <row r="642" spans="1:113" ht="15" customHeight="1" x14ac:dyDescent="0.25">
      <c r="A642" t="s">
        <v>3672</v>
      </c>
      <c r="B642" t="s">
        <v>3673</v>
      </c>
      <c r="C642" t="s">
        <v>3674</v>
      </c>
      <c r="D642" t="s">
        <v>1297</v>
      </c>
      <c r="E642" t="s">
        <v>1220</v>
      </c>
      <c r="F642" t="s">
        <v>3675</v>
      </c>
      <c r="G642">
        <v>2025</v>
      </c>
      <c r="H642" t="s">
        <v>1160</v>
      </c>
      <c r="I642" t="s">
        <v>139</v>
      </c>
      <c r="J642">
        <v>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Y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S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4</v>
      </c>
      <c r="BU642">
        <v>22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C642">
        <v>0</v>
      </c>
      <c r="DD642">
        <v>0</v>
      </c>
      <c r="DE642">
        <v>0</v>
      </c>
      <c r="DF642">
        <v>0</v>
      </c>
      <c r="DH642">
        <v>0</v>
      </c>
      <c r="DI642">
        <v>0</v>
      </c>
    </row>
    <row r="643" spans="1:113" ht="15" customHeight="1" x14ac:dyDescent="0.25">
      <c r="A643" t="s">
        <v>3676</v>
      </c>
      <c r="B643" t="s">
        <v>2173</v>
      </c>
      <c r="C643" t="s">
        <v>3677</v>
      </c>
      <c r="D643" t="s">
        <v>1219</v>
      </c>
      <c r="E643" t="s">
        <v>1220</v>
      </c>
      <c r="F643" t="s">
        <v>3678</v>
      </c>
      <c r="G643">
        <v>2025</v>
      </c>
      <c r="H643" t="s">
        <v>1160</v>
      </c>
      <c r="I643" t="s">
        <v>133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Y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S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3</v>
      </c>
      <c r="BU643">
        <v>15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C643">
        <v>0</v>
      </c>
      <c r="DD643">
        <v>0</v>
      </c>
      <c r="DE643">
        <v>0</v>
      </c>
      <c r="DF643">
        <v>0</v>
      </c>
      <c r="DH643">
        <v>0</v>
      </c>
      <c r="DI643">
        <v>0</v>
      </c>
    </row>
    <row r="644" spans="1:113" ht="15" customHeight="1" x14ac:dyDescent="0.25">
      <c r="A644" t="s">
        <v>3679</v>
      </c>
      <c r="B644" t="s">
        <v>3680</v>
      </c>
      <c r="C644" t="s">
        <v>3681</v>
      </c>
      <c r="D644" t="s">
        <v>10</v>
      </c>
      <c r="E644" t="s">
        <v>10</v>
      </c>
      <c r="F644" t="s">
        <v>3682</v>
      </c>
      <c r="G644">
        <v>2025</v>
      </c>
      <c r="H644" t="s">
        <v>1160</v>
      </c>
      <c r="I644" t="s">
        <v>124</v>
      </c>
      <c r="J644">
        <v>17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Y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H644">
        <v>0</v>
      </c>
      <c r="AI644">
        <v>80</v>
      </c>
      <c r="AJ644">
        <v>111</v>
      </c>
      <c r="AK644">
        <v>784</v>
      </c>
      <c r="AL644">
        <v>7</v>
      </c>
      <c r="AM644">
        <v>0</v>
      </c>
      <c r="AN644">
        <v>0</v>
      </c>
      <c r="AO644">
        <v>907</v>
      </c>
      <c r="AP644">
        <v>259</v>
      </c>
      <c r="AQ644">
        <v>47</v>
      </c>
      <c r="AR644">
        <v>22.318667689412301</v>
      </c>
      <c r="AS644">
        <v>1</v>
      </c>
      <c r="AT644">
        <v>0.86438809261300997</v>
      </c>
      <c r="AU644">
        <v>0.20943396226415101</v>
      </c>
      <c r="AV644">
        <v>0.207077625570776</v>
      </c>
      <c r="AW644">
        <v>0.45910528129577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2</v>
      </c>
      <c r="BU644">
        <v>20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C644">
        <v>0</v>
      </c>
      <c r="DD644">
        <v>0</v>
      </c>
      <c r="DE644">
        <v>0</v>
      </c>
      <c r="DF644">
        <v>0</v>
      </c>
      <c r="DH644">
        <v>122.4</v>
      </c>
      <c r="DI644">
        <v>202.4</v>
      </c>
    </row>
    <row r="645" spans="1:113" ht="15" customHeight="1" x14ac:dyDescent="0.25">
      <c r="A645" t="s">
        <v>3683</v>
      </c>
      <c r="B645" t="s">
        <v>3684</v>
      </c>
      <c r="C645" t="s">
        <v>3685</v>
      </c>
      <c r="D645" t="s">
        <v>1684</v>
      </c>
      <c r="E645" t="s">
        <v>1307</v>
      </c>
      <c r="F645" t="s">
        <v>3686</v>
      </c>
      <c r="G645">
        <v>2025</v>
      </c>
      <c r="H645" t="s">
        <v>1160</v>
      </c>
      <c r="I645" t="s">
        <v>138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Y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S645">
        <v>0</v>
      </c>
      <c r="AU645">
        <v>0</v>
      </c>
      <c r="AV645">
        <v>0</v>
      </c>
      <c r="AW645">
        <v>0</v>
      </c>
      <c r="AX645">
        <v>0</v>
      </c>
      <c r="AY645">
        <v>4</v>
      </c>
      <c r="AZ645">
        <v>0</v>
      </c>
      <c r="BA645">
        <v>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C645">
        <v>0</v>
      </c>
      <c r="DD645">
        <v>0</v>
      </c>
      <c r="DE645">
        <v>0</v>
      </c>
      <c r="DF645">
        <v>0</v>
      </c>
      <c r="DH645">
        <v>0</v>
      </c>
      <c r="DI645">
        <v>0</v>
      </c>
    </row>
    <row r="646" spans="1:113" ht="15" customHeight="1" x14ac:dyDescent="0.25">
      <c r="A646" t="s">
        <v>3687</v>
      </c>
      <c r="B646" t="s">
        <v>3688</v>
      </c>
      <c r="C646" t="s">
        <v>3689</v>
      </c>
      <c r="D646" t="s">
        <v>1219</v>
      </c>
      <c r="E646" t="s">
        <v>1220</v>
      </c>
      <c r="F646" t="s">
        <v>3690</v>
      </c>
      <c r="G646">
        <v>2025</v>
      </c>
      <c r="H646" t="s">
        <v>1160</v>
      </c>
      <c r="I646" t="s">
        <v>141</v>
      </c>
      <c r="J646">
        <v>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Y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S646">
        <v>0</v>
      </c>
      <c r="AU646">
        <v>0</v>
      </c>
      <c r="AV646">
        <v>0</v>
      </c>
      <c r="AW646">
        <v>0</v>
      </c>
      <c r="AX646">
        <v>0</v>
      </c>
      <c r="AY646">
        <v>2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5</v>
      </c>
      <c r="BU646">
        <v>30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C646">
        <v>0</v>
      </c>
      <c r="DD646">
        <v>0</v>
      </c>
      <c r="DE646">
        <v>0</v>
      </c>
      <c r="DF646">
        <v>0</v>
      </c>
      <c r="DH646">
        <v>0</v>
      </c>
      <c r="DI646">
        <v>0</v>
      </c>
    </row>
    <row r="647" spans="1:113" ht="15" customHeight="1" x14ac:dyDescent="0.25">
      <c r="A647" t="s">
        <v>3691</v>
      </c>
      <c r="B647" t="s">
        <v>3692</v>
      </c>
      <c r="C647" t="s">
        <v>3693</v>
      </c>
      <c r="D647" t="s">
        <v>1297</v>
      </c>
      <c r="E647" t="s">
        <v>1220</v>
      </c>
      <c r="F647" t="s">
        <v>3694</v>
      </c>
      <c r="G647">
        <v>2025</v>
      </c>
      <c r="H647" t="s">
        <v>1160</v>
      </c>
      <c r="I647" t="s">
        <v>104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Y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S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4</v>
      </c>
      <c r="BU647">
        <v>25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C647">
        <v>0</v>
      </c>
      <c r="DD647">
        <v>0</v>
      </c>
      <c r="DE647">
        <v>0</v>
      </c>
      <c r="DF647">
        <v>0</v>
      </c>
      <c r="DH647">
        <v>0</v>
      </c>
      <c r="DI647">
        <v>0</v>
      </c>
    </row>
    <row r="648" spans="1:113" ht="15" customHeight="1" x14ac:dyDescent="0.25">
      <c r="A648" t="s">
        <v>3695</v>
      </c>
      <c r="B648" t="s">
        <v>3696</v>
      </c>
      <c r="C648" t="s">
        <v>967</v>
      </c>
      <c r="D648" t="s">
        <v>10</v>
      </c>
      <c r="E648" t="s">
        <v>10</v>
      </c>
      <c r="F648" t="s">
        <v>3697</v>
      </c>
      <c r="G648">
        <v>2025</v>
      </c>
      <c r="H648" t="s">
        <v>1160</v>
      </c>
      <c r="I648" t="s">
        <v>141</v>
      </c>
      <c r="J648">
        <v>15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Y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H648">
        <v>0</v>
      </c>
      <c r="AI648">
        <v>55</v>
      </c>
      <c r="AJ648">
        <v>90</v>
      </c>
      <c r="AK648">
        <v>643</v>
      </c>
      <c r="AL648">
        <v>9</v>
      </c>
      <c r="AM648">
        <v>1</v>
      </c>
      <c r="AN648">
        <v>1</v>
      </c>
      <c r="AO648">
        <v>905</v>
      </c>
      <c r="AP648">
        <v>181</v>
      </c>
      <c r="AQ648">
        <v>36</v>
      </c>
      <c r="AR648">
        <v>-2.2711951457619799</v>
      </c>
      <c r="AS648">
        <v>1</v>
      </c>
      <c r="AT648">
        <v>0.71049723756906102</v>
      </c>
      <c r="AU648">
        <v>0.163636363636364</v>
      </c>
      <c r="AV648">
        <v>0.210661080074488</v>
      </c>
      <c r="AW648">
        <v>0.39291730150668702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4</v>
      </c>
      <c r="BU648">
        <v>35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C648">
        <v>0</v>
      </c>
      <c r="DD648">
        <v>0</v>
      </c>
      <c r="DE648">
        <v>0</v>
      </c>
      <c r="DF648">
        <v>0</v>
      </c>
      <c r="DH648">
        <v>118.3</v>
      </c>
      <c r="DI648">
        <v>173.3</v>
      </c>
    </row>
    <row r="649" spans="1:113" ht="15" customHeight="1" x14ac:dyDescent="0.25">
      <c r="A649" t="s">
        <v>3698</v>
      </c>
      <c r="B649" t="s">
        <v>3699</v>
      </c>
      <c r="C649" t="s">
        <v>3700</v>
      </c>
      <c r="D649" t="s">
        <v>1243</v>
      </c>
      <c r="E649" t="s">
        <v>1190</v>
      </c>
      <c r="F649" t="s">
        <v>3701</v>
      </c>
      <c r="G649">
        <v>2025</v>
      </c>
      <c r="H649" t="s">
        <v>1160</v>
      </c>
      <c r="I649" t="s">
        <v>143</v>
      </c>
      <c r="J649">
        <v>16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Y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S649">
        <v>0</v>
      </c>
      <c r="AU649">
        <v>0</v>
      </c>
      <c r="AV649">
        <v>0</v>
      </c>
      <c r="AW649">
        <v>0</v>
      </c>
      <c r="AX649">
        <v>0</v>
      </c>
      <c r="AY649">
        <v>24</v>
      </c>
      <c r="AZ649">
        <v>0</v>
      </c>
      <c r="BA649">
        <v>19</v>
      </c>
      <c r="BB649">
        <v>5</v>
      </c>
      <c r="BC649">
        <v>6</v>
      </c>
      <c r="BD649">
        <v>1</v>
      </c>
      <c r="BE649">
        <v>0</v>
      </c>
      <c r="BF649">
        <v>0</v>
      </c>
      <c r="BG649">
        <v>3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5</v>
      </c>
      <c r="BU649">
        <v>34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C649">
        <v>0</v>
      </c>
      <c r="DD649">
        <v>0</v>
      </c>
      <c r="DE649">
        <v>0</v>
      </c>
      <c r="DF649">
        <v>0</v>
      </c>
      <c r="DH649">
        <v>0</v>
      </c>
      <c r="DI649">
        <v>0</v>
      </c>
    </row>
    <row r="650" spans="1:113" ht="15" customHeight="1" x14ac:dyDescent="0.25">
      <c r="A650" t="s">
        <v>3702</v>
      </c>
      <c r="B650" t="s">
        <v>3703</v>
      </c>
      <c r="C650" t="s">
        <v>3704</v>
      </c>
      <c r="D650" t="s">
        <v>1243</v>
      </c>
      <c r="E650" t="s">
        <v>1190</v>
      </c>
      <c r="F650" t="s">
        <v>3705</v>
      </c>
      <c r="G650">
        <v>2025</v>
      </c>
      <c r="H650" t="s">
        <v>1160</v>
      </c>
      <c r="I650" t="s">
        <v>106</v>
      </c>
      <c r="J650">
        <v>15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Y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S650">
        <v>0</v>
      </c>
      <c r="AU650">
        <v>0</v>
      </c>
      <c r="AV650">
        <v>0</v>
      </c>
      <c r="AW650">
        <v>0</v>
      </c>
      <c r="AX650">
        <v>0</v>
      </c>
      <c r="AY650">
        <v>13</v>
      </c>
      <c r="AZ650">
        <v>2</v>
      </c>
      <c r="BA650">
        <v>23</v>
      </c>
      <c r="BB650">
        <v>3</v>
      </c>
      <c r="BC650">
        <v>9</v>
      </c>
      <c r="BD650">
        <v>0</v>
      </c>
      <c r="BE650">
        <v>1</v>
      </c>
      <c r="BF650">
        <v>7</v>
      </c>
      <c r="BG650">
        <v>3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C650">
        <v>0</v>
      </c>
      <c r="DD650">
        <v>0</v>
      </c>
      <c r="DE650">
        <v>0</v>
      </c>
      <c r="DF650">
        <v>0</v>
      </c>
      <c r="DH650">
        <v>0</v>
      </c>
      <c r="DI650">
        <v>0</v>
      </c>
    </row>
    <row r="651" spans="1:113" ht="15" customHeight="1" x14ac:dyDescent="0.25">
      <c r="A651" t="s">
        <v>3706</v>
      </c>
      <c r="B651" t="s">
        <v>2871</v>
      </c>
      <c r="C651" t="s">
        <v>3707</v>
      </c>
      <c r="D651" t="s">
        <v>1158</v>
      </c>
      <c r="E651" t="s">
        <v>1158</v>
      </c>
      <c r="F651" t="s">
        <v>3708</v>
      </c>
      <c r="G651">
        <v>2025</v>
      </c>
      <c r="H651" t="s">
        <v>1160</v>
      </c>
      <c r="I651" t="s">
        <v>118</v>
      </c>
      <c r="J651">
        <v>15</v>
      </c>
      <c r="K651">
        <v>291</v>
      </c>
      <c r="L651">
        <v>439</v>
      </c>
      <c r="M651">
        <v>3381</v>
      </c>
      <c r="N651">
        <v>23</v>
      </c>
      <c r="O651">
        <v>6</v>
      </c>
      <c r="P651">
        <v>21</v>
      </c>
      <c r="Q651">
        <v>-169</v>
      </c>
      <c r="R651">
        <v>2</v>
      </c>
      <c r="S651">
        <v>2</v>
      </c>
      <c r="T651">
        <v>3871</v>
      </c>
      <c r="U651">
        <v>1511</v>
      </c>
      <c r="V651">
        <v>161</v>
      </c>
      <c r="W651">
        <v>110.611287832903</v>
      </c>
      <c r="X651">
        <v>5.5329573488003403</v>
      </c>
      <c r="Y651">
        <v>2</v>
      </c>
      <c r="Z651">
        <v>0.873417721518987</v>
      </c>
      <c r="AA651">
        <v>47</v>
      </c>
      <c r="AB651">
        <v>199</v>
      </c>
      <c r="AC651">
        <v>0</v>
      </c>
      <c r="AD651">
        <v>3</v>
      </c>
      <c r="AE651">
        <v>0</v>
      </c>
      <c r="AF651">
        <v>16</v>
      </c>
      <c r="AG651">
        <v>12.3389958464351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S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5</v>
      </c>
      <c r="BP651">
        <v>7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C651">
        <v>0</v>
      </c>
      <c r="DD651">
        <v>0</v>
      </c>
      <c r="DE651">
        <v>0</v>
      </c>
      <c r="DF651">
        <v>0</v>
      </c>
      <c r="DH651">
        <v>235.14</v>
      </c>
      <c r="DI651">
        <v>235.14</v>
      </c>
    </row>
    <row r="652" spans="1:113" ht="15" customHeight="1" x14ac:dyDescent="0.25">
      <c r="A652" t="s">
        <v>3709</v>
      </c>
      <c r="B652" t="s">
        <v>3710</v>
      </c>
      <c r="C652" t="s">
        <v>501</v>
      </c>
      <c r="D652" t="s">
        <v>431</v>
      </c>
      <c r="E652" t="s">
        <v>431</v>
      </c>
      <c r="F652" t="s">
        <v>3711</v>
      </c>
      <c r="G652">
        <v>2025</v>
      </c>
      <c r="H652" t="s">
        <v>1160</v>
      </c>
      <c r="I652" t="s">
        <v>120</v>
      </c>
      <c r="J652">
        <v>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Y652">
        <v>0</v>
      </c>
      <c r="AA652">
        <v>12</v>
      </c>
      <c r="AB652">
        <v>60</v>
      </c>
      <c r="AC652">
        <v>0</v>
      </c>
      <c r="AD652">
        <v>0</v>
      </c>
      <c r="AE652">
        <v>0</v>
      </c>
      <c r="AF652">
        <v>4</v>
      </c>
      <c r="AG652">
        <v>-0.17249367164913601</v>
      </c>
      <c r="AH652">
        <v>0</v>
      </c>
      <c r="AI652">
        <v>3</v>
      </c>
      <c r="AJ652">
        <v>3</v>
      </c>
      <c r="AK652">
        <v>21</v>
      </c>
      <c r="AL652">
        <v>0</v>
      </c>
      <c r="AM652">
        <v>1</v>
      </c>
      <c r="AN652">
        <v>1</v>
      </c>
      <c r="AO652">
        <v>12</v>
      </c>
      <c r="AP652">
        <v>9</v>
      </c>
      <c r="AQ652">
        <v>0</v>
      </c>
      <c r="AR652">
        <v>-4.1842667862074503</v>
      </c>
      <c r="AS652">
        <v>0</v>
      </c>
      <c r="AT652">
        <v>1.75</v>
      </c>
      <c r="AU652">
        <v>6.4655172413793103E-3</v>
      </c>
      <c r="AV652">
        <v>2.6767789426723199E-3</v>
      </c>
      <c r="AW652">
        <v>1.1572021121939601E-2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2</v>
      </c>
      <c r="BY652">
        <v>25</v>
      </c>
      <c r="BZ652">
        <v>0</v>
      </c>
      <c r="CA652">
        <v>0</v>
      </c>
      <c r="CB652">
        <v>0</v>
      </c>
      <c r="CC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C652">
        <v>0</v>
      </c>
      <c r="DD652">
        <v>0</v>
      </c>
      <c r="DE652">
        <v>0</v>
      </c>
      <c r="DF652">
        <v>0</v>
      </c>
      <c r="DH652">
        <v>6.1</v>
      </c>
      <c r="DI652">
        <v>9.1</v>
      </c>
    </row>
    <row r="653" spans="1:113" ht="15" customHeight="1" x14ac:dyDescent="0.25">
      <c r="A653" t="s">
        <v>3712</v>
      </c>
      <c r="B653" t="s">
        <v>2101</v>
      </c>
      <c r="C653" t="s">
        <v>3713</v>
      </c>
      <c r="D653" t="s">
        <v>1243</v>
      </c>
      <c r="E653" t="s">
        <v>1190</v>
      </c>
      <c r="F653" t="s">
        <v>3714</v>
      </c>
      <c r="G653">
        <v>2025</v>
      </c>
      <c r="H653" t="s">
        <v>1160</v>
      </c>
      <c r="I653" t="s">
        <v>141</v>
      </c>
      <c r="J653">
        <v>14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Y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S653">
        <v>0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0</v>
      </c>
      <c r="BA653">
        <v>23</v>
      </c>
      <c r="BB653">
        <v>1</v>
      </c>
      <c r="BC653">
        <v>1</v>
      </c>
      <c r="BD653">
        <v>0</v>
      </c>
      <c r="BE653">
        <v>0</v>
      </c>
      <c r="BF653">
        <v>0</v>
      </c>
      <c r="BG653">
        <v>2</v>
      </c>
      <c r="BH653">
        <v>0</v>
      </c>
      <c r="BI653">
        <v>0</v>
      </c>
      <c r="BJ653">
        <v>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3</v>
      </c>
      <c r="BU653">
        <v>11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C653">
        <v>0</v>
      </c>
      <c r="DD653">
        <v>0</v>
      </c>
      <c r="DE653">
        <v>0</v>
      </c>
      <c r="DF653">
        <v>0</v>
      </c>
      <c r="DH653">
        <v>0</v>
      </c>
      <c r="DI653">
        <v>0</v>
      </c>
    </row>
    <row r="654" spans="1:113" ht="15" customHeight="1" x14ac:dyDescent="0.25">
      <c r="A654" t="s">
        <v>3715</v>
      </c>
      <c r="B654" t="s">
        <v>3716</v>
      </c>
      <c r="C654" t="s">
        <v>3717</v>
      </c>
      <c r="D654" t="s">
        <v>1350</v>
      </c>
      <c r="E654" t="s">
        <v>1307</v>
      </c>
      <c r="F654" t="s">
        <v>3718</v>
      </c>
      <c r="G654">
        <v>2025</v>
      </c>
      <c r="H654" t="s">
        <v>1160</v>
      </c>
      <c r="I654" t="s">
        <v>137</v>
      </c>
      <c r="J654">
        <v>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Y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S654">
        <v>0</v>
      </c>
      <c r="AU654">
        <v>0</v>
      </c>
      <c r="AV654">
        <v>0</v>
      </c>
      <c r="AW654">
        <v>0</v>
      </c>
      <c r="AX654">
        <v>0</v>
      </c>
      <c r="AY654">
        <v>12</v>
      </c>
      <c r="AZ654">
        <v>0</v>
      </c>
      <c r="BA654">
        <v>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</v>
      </c>
      <c r="BR654">
        <v>1</v>
      </c>
      <c r="BS654">
        <v>0</v>
      </c>
      <c r="BT654">
        <v>1</v>
      </c>
      <c r="BU654">
        <v>15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C654">
        <v>0</v>
      </c>
      <c r="DD654">
        <v>0</v>
      </c>
      <c r="DE654">
        <v>0</v>
      </c>
      <c r="DF654">
        <v>0</v>
      </c>
      <c r="DH654">
        <v>0</v>
      </c>
      <c r="DI654">
        <v>0</v>
      </c>
    </row>
    <row r="655" spans="1:113" ht="15" customHeight="1" x14ac:dyDescent="0.25">
      <c r="A655" t="s">
        <v>3719</v>
      </c>
      <c r="B655" t="s">
        <v>3720</v>
      </c>
      <c r="C655" t="s">
        <v>534</v>
      </c>
      <c r="D655" t="s">
        <v>431</v>
      </c>
      <c r="E655" t="s">
        <v>431</v>
      </c>
      <c r="F655" t="s">
        <v>3721</v>
      </c>
      <c r="G655">
        <v>2025</v>
      </c>
      <c r="H655" t="s">
        <v>1160</v>
      </c>
      <c r="I655" t="s">
        <v>104</v>
      </c>
      <c r="J655">
        <v>16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Y655">
        <v>0</v>
      </c>
      <c r="AA655">
        <v>223</v>
      </c>
      <c r="AB655">
        <v>1087</v>
      </c>
      <c r="AC655">
        <v>9</v>
      </c>
      <c r="AD655">
        <v>2</v>
      </c>
      <c r="AE655">
        <v>2</v>
      </c>
      <c r="AF655">
        <v>63</v>
      </c>
      <c r="AG655">
        <v>15.449143481319201</v>
      </c>
      <c r="AH655">
        <v>0</v>
      </c>
      <c r="AI655">
        <v>34</v>
      </c>
      <c r="AJ655">
        <v>48</v>
      </c>
      <c r="AK655">
        <v>299</v>
      </c>
      <c r="AL655">
        <v>1</v>
      </c>
      <c r="AM655">
        <v>0</v>
      </c>
      <c r="AN655">
        <v>0</v>
      </c>
      <c r="AO655">
        <v>-25</v>
      </c>
      <c r="AP655">
        <v>357</v>
      </c>
      <c r="AQ655">
        <v>11</v>
      </c>
      <c r="AR655">
        <v>-1.56785017754861</v>
      </c>
      <c r="AS655">
        <v>0</v>
      </c>
      <c r="AT655">
        <v>-11.96</v>
      </c>
      <c r="AU655">
        <v>9.0225563909774403E-2</v>
      </c>
      <c r="AV655">
        <v>-5.0566343042071204E-3</v>
      </c>
      <c r="AW655">
        <v>0.13179870185171699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2</v>
      </c>
      <c r="BU655">
        <v>20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C655">
        <v>0</v>
      </c>
      <c r="DD655">
        <v>0</v>
      </c>
      <c r="DE655">
        <v>0</v>
      </c>
      <c r="DF655">
        <v>0</v>
      </c>
      <c r="DH655">
        <v>194.6</v>
      </c>
      <c r="DI655">
        <v>228.6</v>
      </c>
    </row>
    <row r="656" spans="1:113" ht="15" customHeight="1" x14ac:dyDescent="0.25">
      <c r="A656" t="s">
        <v>3722</v>
      </c>
      <c r="B656" t="s">
        <v>3723</v>
      </c>
      <c r="C656" t="s">
        <v>3724</v>
      </c>
      <c r="D656" t="s">
        <v>1234</v>
      </c>
      <c r="E656" t="s">
        <v>1234</v>
      </c>
      <c r="F656" t="s">
        <v>3725</v>
      </c>
      <c r="G656">
        <v>2025</v>
      </c>
      <c r="H656" t="s">
        <v>1160</v>
      </c>
      <c r="I656" t="s">
        <v>103</v>
      </c>
      <c r="J656">
        <v>10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Y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S656">
        <v>0</v>
      </c>
      <c r="AU656">
        <v>0</v>
      </c>
      <c r="AV656">
        <v>0</v>
      </c>
      <c r="AW656">
        <v>0</v>
      </c>
      <c r="AX656">
        <v>0</v>
      </c>
      <c r="AY656">
        <v>24</v>
      </c>
      <c r="AZ656">
        <v>1</v>
      </c>
      <c r="BA656">
        <v>16</v>
      </c>
      <c r="BB656">
        <v>2</v>
      </c>
      <c r="BC656">
        <v>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C656">
        <v>0</v>
      </c>
      <c r="DD656">
        <v>0</v>
      </c>
      <c r="DE656">
        <v>0</v>
      </c>
      <c r="DF656">
        <v>0</v>
      </c>
      <c r="DH656">
        <v>0</v>
      </c>
      <c r="DI656">
        <v>0</v>
      </c>
    </row>
    <row r="657" spans="1:113" ht="15" customHeight="1" x14ac:dyDescent="0.25">
      <c r="A657" t="s">
        <v>3726</v>
      </c>
      <c r="B657" t="s">
        <v>3727</v>
      </c>
      <c r="C657" t="s">
        <v>3728</v>
      </c>
      <c r="D657" t="s">
        <v>1350</v>
      </c>
      <c r="E657" t="s">
        <v>1307</v>
      </c>
      <c r="F657" t="s">
        <v>3729</v>
      </c>
      <c r="G657">
        <v>2025</v>
      </c>
      <c r="H657" t="s">
        <v>1160</v>
      </c>
      <c r="I657" t="s">
        <v>93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Y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>
        <v>0</v>
      </c>
      <c r="AU657">
        <v>0</v>
      </c>
      <c r="AV657">
        <v>0</v>
      </c>
      <c r="AW657">
        <v>0</v>
      </c>
      <c r="AX657">
        <v>0</v>
      </c>
      <c r="AY657">
        <v>8</v>
      </c>
      <c r="AZ657">
        <v>0</v>
      </c>
      <c r="BA657">
        <v>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3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C657">
        <v>0</v>
      </c>
      <c r="DD657">
        <v>0</v>
      </c>
      <c r="DE657">
        <v>0</v>
      </c>
      <c r="DF657">
        <v>0</v>
      </c>
      <c r="DH657">
        <v>0</v>
      </c>
      <c r="DI657">
        <v>0</v>
      </c>
    </row>
    <row r="658" spans="1:113" ht="15" customHeight="1" x14ac:dyDescent="0.25">
      <c r="A658" t="s">
        <v>3730</v>
      </c>
      <c r="B658" t="s">
        <v>3731</v>
      </c>
      <c r="C658" t="s">
        <v>3732</v>
      </c>
      <c r="D658" t="s">
        <v>1684</v>
      </c>
      <c r="E658" t="s">
        <v>1307</v>
      </c>
      <c r="F658" t="s">
        <v>3733</v>
      </c>
      <c r="G658">
        <v>2025</v>
      </c>
      <c r="H658" t="s">
        <v>1160</v>
      </c>
      <c r="I658" t="s">
        <v>109</v>
      </c>
      <c r="J658">
        <v>17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Y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S658">
        <v>0</v>
      </c>
      <c r="AU658">
        <v>0</v>
      </c>
      <c r="AV658">
        <v>0</v>
      </c>
      <c r="AW658">
        <v>0</v>
      </c>
      <c r="AX658">
        <v>0</v>
      </c>
      <c r="AY658">
        <v>45</v>
      </c>
      <c r="AZ658">
        <v>3</v>
      </c>
      <c r="BA658">
        <v>41</v>
      </c>
      <c r="BB658">
        <v>4</v>
      </c>
      <c r="BC658">
        <v>19</v>
      </c>
      <c r="BD658">
        <v>2</v>
      </c>
      <c r="BE658">
        <v>3</v>
      </c>
      <c r="BF658">
        <v>18</v>
      </c>
      <c r="BG658">
        <v>7</v>
      </c>
      <c r="BH658">
        <v>1</v>
      </c>
      <c r="BI658">
        <v>25</v>
      </c>
      <c r="BJ658">
        <v>4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2</v>
      </c>
      <c r="BR658">
        <v>2</v>
      </c>
      <c r="BS658">
        <v>0</v>
      </c>
      <c r="BT658">
        <v>1</v>
      </c>
      <c r="BU658">
        <v>14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C658">
        <v>0</v>
      </c>
      <c r="DD658">
        <v>0</v>
      </c>
      <c r="DE658">
        <v>0</v>
      </c>
      <c r="DF658">
        <v>0</v>
      </c>
      <c r="DH658">
        <v>0</v>
      </c>
      <c r="DI658">
        <v>0</v>
      </c>
    </row>
    <row r="659" spans="1:113" ht="15" customHeight="1" x14ac:dyDescent="0.25">
      <c r="A659" t="s">
        <v>3734</v>
      </c>
      <c r="B659" t="s">
        <v>3735</v>
      </c>
      <c r="C659" t="s">
        <v>3736</v>
      </c>
      <c r="D659" t="s">
        <v>1297</v>
      </c>
      <c r="E659" t="s">
        <v>1220</v>
      </c>
      <c r="F659" t="s">
        <v>3737</v>
      </c>
      <c r="G659">
        <v>2025</v>
      </c>
      <c r="H659" t="s">
        <v>1160</v>
      </c>
      <c r="I659" t="s">
        <v>131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Y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S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4</v>
      </c>
      <c r="BU659">
        <v>30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C659">
        <v>0</v>
      </c>
      <c r="DD659">
        <v>0</v>
      </c>
      <c r="DE659">
        <v>0</v>
      </c>
      <c r="DF659">
        <v>0</v>
      </c>
      <c r="DH659">
        <v>0</v>
      </c>
      <c r="DI659">
        <v>0</v>
      </c>
    </row>
    <row r="660" spans="1:113" ht="15" customHeight="1" x14ac:dyDescent="0.25">
      <c r="A660" t="s">
        <v>3738</v>
      </c>
      <c r="B660" t="s">
        <v>3739</v>
      </c>
      <c r="C660" t="s">
        <v>3740</v>
      </c>
      <c r="D660" t="s">
        <v>1350</v>
      </c>
      <c r="E660" t="s">
        <v>1307</v>
      </c>
      <c r="F660" t="s">
        <v>3741</v>
      </c>
      <c r="G660">
        <v>2025</v>
      </c>
      <c r="H660" t="s">
        <v>1160</v>
      </c>
      <c r="I660" t="s">
        <v>93</v>
      </c>
      <c r="J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Y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S660">
        <v>0</v>
      </c>
      <c r="AU660">
        <v>0</v>
      </c>
      <c r="AV660">
        <v>0</v>
      </c>
      <c r="AW660">
        <v>0</v>
      </c>
      <c r="AX660">
        <v>0</v>
      </c>
      <c r="AY660">
        <v>49</v>
      </c>
      <c r="AZ660">
        <v>0</v>
      </c>
      <c r="BA660">
        <v>19</v>
      </c>
      <c r="BB660">
        <v>1</v>
      </c>
      <c r="BC660">
        <v>1</v>
      </c>
      <c r="BD660">
        <v>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9</v>
      </c>
      <c r="BU660">
        <v>98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C660">
        <v>0</v>
      </c>
      <c r="DD660">
        <v>0</v>
      </c>
      <c r="DE660">
        <v>0</v>
      </c>
      <c r="DF660">
        <v>0</v>
      </c>
      <c r="DH660">
        <v>0</v>
      </c>
      <c r="DI660">
        <v>0</v>
      </c>
    </row>
    <row r="661" spans="1:113" ht="15" customHeight="1" x14ac:dyDescent="0.25">
      <c r="A661" t="s">
        <v>3742</v>
      </c>
      <c r="B661" t="s">
        <v>3743</v>
      </c>
      <c r="C661" t="s">
        <v>3744</v>
      </c>
      <c r="D661" t="s">
        <v>1234</v>
      </c>
      <c r="E661" t="s">
        <v>1234</v>
      </c>
      <c r="F661" t="s">
        <v>3745</v>
      </c>
      <c r="G661">
        <v>2025</v>
      </c>
      <c r="H661" t="s">
        <v>1160</v>
      </c>
      <c r="I661" t="s">
        <v>114</v>
      </c>
      <c r="J661">
        <v>15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Y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>
        <v>0</v>
      </c>
      <c r="AU661">
        <v>0</v>
      </c>
      <c r="AV661">
        <v>0</v>
      </c>
      <c r="AW661">
        <v>0</v>
      </c>
      <c r="AX661">
        <v>0</v>
      </c>
      <c r="AY661">
        <v>18</v>
      </c>
      <c r="AZ661">
        <v>0</v>
      </c>
      <c r="BA661">
        <v>13</v>
      </c>
      <c r="BB661">
        <v>10</v>
      </c>
      <c r="BC661">
        <v>46</v>
      </c>
      <c r="BD661">
        <v>2</v>
      </c>
      <c r="BE661">
        <v>7.5</v>
      </c>
      <c r="BF661">
        <v>43</v>
      </c>
      <c r="BG661">
        <v>18</v>
      </c>
      <c r="BH661">
        <v>0</v>
      </c>
      <c r="BI661">
        <v>0</v>
      </c>
      <c r="BJ661">
        <v>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1</v>
      </c>
      <c r="BT661">
        <v>5</v>
      </c>
      <c r="BU661">
        <v>25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C661">
        <v>0</v>
      </c>
      <c r="DD661">
        <v>0</v>
      </c>
      <c r="DE661">
        <v>0</v>
      </c>
      <c r="DF661">
        <v>0</v>
      </c>
      <c r="DH661">
        <v>0</v>
      </c>
      <c r="DI661">
        <v>0</v>
      </c>
    </row>
    <row r="662" spans="1:113" ht="15" customHeight="1" x14ac:dyDescent="0.25">
      <c r="A662" t="s">
        <v>3746</v>
      </c>
      <c r="B662" t="s">
        <v>3747</v>
      </c>
      <c r="C662" t="s">
        <v>3748</v>
      </c>
      <c r="D662" t="s">
        <v>1350</v>
      </c>
      <c r="E662" t="s">
        <v>1307</v>
      </c>
      <c r="F662" t="s">
        <v>3749</v>
      </c>
      <c r="G662">
        <v>2025</v>
      </c>
      <c r="H662" t="s">
        <v>1160</v>
      </c>
      <c r="I662" t="s">
        <v>143</v>
      </c>
      <c r="J662">
        <v>10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Y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S662">
        <v>0</v>
      </c>
      <c r="AU662">
        <v>0</v>
      </c>
      <c r="AV662">
        <v>0</v>
      </c>
      <c r="AW662">
        <v>0</v>
      </c>
      <c r="AX662">
        <v>0</v>
      </c>
      <c r="AY662">
        <v>22</v>
      </c>
      <c r="AZ662">
        <v>0</v>
      </c>
      <c r="BA662">
        <v>13</v>
      </c>
      <c r="BB662">
        <v>1</v>
      </c>
      <c r="BC662">
        <v>5</v>
      </c>
      <c r="BD662">
        <v>0</v>
      </c>
      <c r="BE662">
        <v>1</v>
      </c>
      <c r="BF662">
        <v>0</v>
      </c>
      <c r="BG662">
        <v>2</v>
      </c>
      <c r="BH662">
        <v>0</v>
      </c>
      <c r="BI662">
        <v>0</v>
      </c>
      <c r="BJ662">
        <v>5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4</v>
      </c>
      <c r="BU662">
        <v>43</v>
      </c>
      <c r="BV662">
        <v>0</v>
      </c>
      <c r="BW662">
        <v>0</v>
      </c>
      <c r="BX662">
        <v>7</v>
      </c>
      <c r="BY662">
        <v>191</v>
      </c>
      <c r="BZ662">
        <v>0</v>
      </c>
      <c r="CA662">
        <v>0</v>
      </c>
      <c r="CB662">
        <v>0</v>
      </c>
      <c r="CC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C662">
        <v>0</v>
      </c>
      <c r="DD662">
        <v>0</v>
      </c>
      <c r="DE662">
        <v>0</v>
      </c>
      <c r="DF662">
        <v>0</v>
      </c>
      <c r="DH662">
        <v>0</v>
      </c>
      <c r="DI662">
        <v>0</v>
      </c>
    </row>
    <row r="663" spans="1:113" ht="15" customHeight="1" x14ac:dyDescent="0.25">
      <c r="A663" t="s">
        <v>3750</v>
      </c>
      <c r="B663" t="s">
        <v>3751</v>
      </c>
      <c r="C663" t="s">
        <v>3752</v>
      </c>
      <c r="D663" t="s">
        <v>1189</v>
      </c>
      <c r="E663" t="s">
        <v>1190</v>
      </c>
      <c r="F663" t="s">
        <v>3753</v>
      </c>
      <c r="G663">
        <v>2025</v>
      </c>
      <c r="H663" t="s">
        <v>1160</v>
      </c>
      <c r="I663" t="s">
        <v>141</v>
      </c>
      <c r="J663">
        <v>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Y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S663">
        <v>0</v>
      </c>
      <c r="AU663">
        <v>0</v>
      </c>
      <c r="AV663">
        <v>0</v>
      </c>
      <c r="AW663">
        <v>0</v>
      </c>
      <c r="AX663">
        <v>0</v>
      </c>
      <c r="AY663">
        <v>3</v>
      </c>
      <c r="AZ663">
        <v>0</v>
      </c>
      <c r="BA663">
        <v>5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C663">
        <v>0</v>
      </c>
      <c r="DD663">
        <v>0</v>
      </c>
      <c r="DE663">
        <v>0</v>
      </c>
      <c r="DF663">
        <v>0</v>
      </c>
      <c r="DH663">
        <v>0</v>
      </c>
      <c r="DI663">
        <v>0</v>
      </c>
    </row>
    <row r="664" spans="1:113" ht="15" customHeight="1" x14ac:dyDescent="0.25">
      <c r="A664" t="s">
        <v>3754</v>
      </c>
      <c r="B664" t="s">
        <v>3755</v>
      </c>
      <c r="C664" t="s">
        <v>528</v>
      </c>
      <c r="D664" t="s">
        <v>439</v>
      </c>
      <c r="E664" t="s">
        <v>439</v>
      </c>
      <c r="F664" t="s">
        <v>3756</v>
      </c>
      <c r="G664">
        <v>2025</v>
      </c>
      <c r="H664" t="s">
        <v>1160</v>
      </c>
      <c r="I664" t="s">
        <v>104</v>
      </c>
      <c r="J664">
        <v>16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13</v>
      </c>
      <c r="U664">
        <v>0</v>
      </c>
      <c r="V664">
        <v>0</v>
      </c>
      <c r="W664">
        <v>-0.492736021056771</v>
      </c>
      <c r="X664">
        <v>-63.294106721878101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H664">
        <v>0</v>
      </c>
      <c r="AI664">
        <v>30</v>
      </c>
      <c r="AJ664">
        <v>48</v>
      </c>
      <c r="AK664">
        <v>347</v>
      </c>
      <c r="AL664">
        <v>2</v>
      </c>
      <c r="AM664">
        <v>0</v>
      </c>
      <c r="AN664">
        <v>0</v>
      </c>
      <c r="AO664">
        <v>421</v>
      </c>
      <c r="AP664">
        <v>149</v>
      </c>
      <c r="AQ664">
        <v>17</v>
      </c>
      <c r="AR664">
        <v>13.391538574520499</v>
      </c>
      <c r="AS664">
        <v>1</v>
      </c>
      <c r="AT664">
        <v>0.82422802850356303</v>
      </c>
      <c r="AU664">
        <v>9.0225563909774403E-2</v>
      </c>
      <c r="AV664">
        <v>8.5153721682847905E-2</v>
      </c>
      <c r="AW664">
        <v>0.194945951042655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3</v>
      </c>
      <c r="BU664">
        <v>14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C664">
        <v>0</v>
      </c>
      <c r="DD664">
        <v>0</v>
      </c>
      <c r="DE664">
        <v>0</v>
      </c>
      <c r="DF664">
        <v>0</v>
      </c>
      <c r="DH664">
        <v>48.7</v>
      </c>
      <c r="DI664">
        <v>78.7</v>
      </c>
    </row>
    <row r="665" spans="1:113" ht="15" customHeight="1" x14ac:dyDescent="0.25">
      <c r="A665" t="s">
        <v>3757</v>
      </c>
      <c r="B665" t="s">
        <v>3758</v>
      </c>
      <c r="C665" t="s">
        <v>3759</v>
      </c>
      <c r="D665" t="s">
        <v>1189</v>
      </c>
      <c r="E665" t="s">
        <v>1190</v>
      </c>
      <c r="F665" t="s">
        <v>3760</v>
      </c>
      <c r="G665">
        <v>2025</v>
      </c>
      <c r="H665" t="s">
        <v>1160</v>
      </c>
      <c r="I665" t="s">
        <v>121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Y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S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C665">
        <v>0</v>
      </c>
      <c r="DD665">
        <v>0</v>
      </c>
      <c r="DE665">
        <v>0</v>
      </c>
      <c r="DF665">
        <v>0</v>
      </c>
      <c r="DH665">
        <v>0</v>
      </c>
      <c r="DI665">
        <v>0</v>
      </c>
    </row>
    <row r="666" spans="1:113" ht="15" customHeight="1" x14ac:dyDescent="0.25">
      <c r="A666" t="s">
        <v>3761</v>
      </c>
      <c r="B666" t="s">
        <v>1193</v>
      </c>
      <c r="C666" t="s">
        <v>3762</v>
      </c>
      <c r="D666" t="s">
        <v>1350</v>
      </c>
      <c r="E666" t="s">
        <v>1307</v>
      </c>
      <c r="F666" t="s">
        <v>3763</v>
      </c>
      <c r="G666">
        <v>2025</v>
      </c>
      <c r="H666" t="s">
        <v>1160</v>
      </c>
      <c r="I666" t="s">
        <v>104</v>
      </c>
      <c r="J666">
        <v>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Y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S666">
        <v>0</v>
      </c>
      <c r="AU666">
        <v>0</v>
      </c>
      <c r="AV666">
        <v>0</v>
      </c>
      <c r="AW666">
        <v>0</v>
      </c>
      <c r="AX666">
        <v>0</v>
      </c>
      <c r="AY666">
        <v>14</v>
      </c>
      <c r="AZ666">
        <v>1</v>
      </c>
      <c r="BA666">
        <v>2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C666">
        <v>0</v>
      </c>
      <c r="DD666">
        <v>0</v>
      </c>
      <c r="DE666">
        <v>0</v>
      </c>
      <c r="DF666">
        <v>0</v>
      </c>
      <c r="DH666">
        <v>0</v>
      </c>
      <c r="DI666">
        <v>0</v>
      </c>
    </row>
    <row r="667" spans="1:113" ht="15" customHeight="1" x14ac:dyDescent="0.25">
      <c r="A667" t="s">
        <v>3764</v>
      </c>
      <c r="B667" t="s">
        <v>3765</v>
      </c>
      <c r="C667" t="s">
        <v>3766</v>
      </c>
      <c r="D667" t="s">
        <v>1684</v>
      </c>
      <c r="E667" t="s">
        <v>1307</v>
      </c>
      <c r="F667" t="s">
        <v>3767</v>
      </c>
      <c r="G667">
        <v>2025</v>
      </c>
      <c r="H667" t="s">
        <v>1160</v>
      </c>
      <c r="I667" t="s">
        <v>89</v>
      </c>
      <c r="J667">
        <v>15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Y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S667">
        <v>0</v>
      </c>
      <c r="AU667">
        <v>0</v>
      </c>
      <c r="AV667">
        <v>0</v>
      </c>
      <c r="AW667">
        <v>0</v>
      </c>
      <c r="AX667">
        <v>0</v>
      </c>
      <c r="AY667">
        <v>64</v>
      </c>
      <c r="AZ667">
        <v>0</v>
      </c>
      <c r="BA667">
        <v>51</v>
      </c>
      <c r="BB667">
        <v>3</v>
      </c>
      <c r="BC667">
        <v>4</v>
      </c>
      <c r="BD667">
        <v>2</v>
      </c>
      <c r="BE667">
        <v>1</v>
      </c>
      <c r="BF667">
        <v>0</v>
      </c>
      <c r="BG667">
        <v>2</v>
      </c>
      <c r="BH667">
        <v>0</v>
      </c>
      <c r="BI667">
        <v>0</v>
      </c>
      <c r="BJ667">
        <v>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3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C667">
        <v>0</v>
      </c>
      <c r="DD667">
        <v>0</v>
      </c>
      <c r="DE667">
        <v>0</v>
      </c>
      <c r="DF667">
        <v>0</v>
      </c>
      <c r="DH667">
        <v>0</v>
      </c>
      <c r="DI667">
        <v>0</v>
      </c>
    </row>
    <row r="668" spans="1:113" ht="15" customHeight="1" x14ac:dyDescent="0.25">
      <c r="A668" t="s">
        <v>3768</v>
      </c>
      <c r="B668" t="s">
        <v>3769</v>
      </c>
      <c r="C668" t="s">
        <v>3770</v>
      </c>
      <c r="D668" t="s">
        <v>1234</v>
      </c>
      <c r="E668" t="s">
        <v>1234</v>
      </c>
      <c r="F668" t="s">
        <v>3771</v>
      </c>
      <c r="G668">
        <v>2025</v>
      </c>
      <c r="H668" t="s">
        <v>1160</v>
      </c>
      <c r="I668" t="s">
        <v>112</v>
      </c>
      <c r="J668">
        <v>15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Y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S668">
        <v>0</v>
      </c>
      <c r="AU668">
        <v>0</v>
      </c>
      <c r="AV668">
        <v>0</v>
      </c>
      <c r="AW668">
        <v>0</v>
      </c>
      <c r="AX668">
        <v>0</v>
      </c>
      <c r="AY668">
        <v>33</v>
      </c>
      <c r="AZ668">
        <v>1</v>
      </c>
      <c r="BA668">
        <v>36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5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</v>
      </c>
      <c r="BR668">
        <v>1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C668">
        <v>0</v>
      </c>
      <c r="DD668">
        <v>0</v>
      </c>
      <c r="DE668">
        <v>0</v>
      </c>
      <c r="DF668">
        <v>0</v>
      </c>
      <c r="DH668">
        <v>0</v>
      </c>
      <c r="DI668">
        <v>0</v>
      </c>
    </row>
    <row r="669" spans="1:113" ht="15" customHeight="1" x14ac:dyDescent="0.25">
      <c r="A669" t="s">
        <v>3772</v>
      </c>
      <c r="B669" t="s">
        <v>3773</v>
      </c>
      <c r="C669" t="s">
        <v>3774</v>
      </c>
      <c r="D669" t="s">
        <v>1234</v>
      </c>
      <c r="E669" t="s">
        <v>1234</v>
      </c>
      <c r="F669" t="s">
        <v>3775</v>
      </c>
      <c r="G669">
        <v>2025</v>
      </c>
      <c r="H669" t="s">
        <v>1160</v>
      </c>
      <c r="I669" t="s">
        <v>90</v>
      </c>
      <c r="J669">
        <v>16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Y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S669">
        <v>0</v>
      </c>
      <c r="AU669">
        <v>0</v>
      </c>
      <c r="AV669">
        <v>0</v>
      </c>
      <c r="AW669">
        <v>0</v>
      </c>
      <c r="AX669">
        <v>0</v>
      </c>
      <c r="AY669">
        <v>50</v>
      </c>
      <c r="AZ669">
        <v>1</v>
      </c>
      <c r="BA669">
        <v>67</v>
      </c>
      <c r="BB669">
        <v>2</v>
      </c>
      <c r="BC669">
        <v>3</v>
      </c>
      <c r="BD669">
        <v>1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5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1</v>
      </c>
      <c r="BS669">
        <v>0</v>
      </c>
      <c r="BT669">
        <v>2</v>
      </c>
      <c r="BU669">
        <v>15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C669">
        <v>0</v>
      </c>
      <c r="DD669">
        <v>0</v>
      </c>
      <c r="DE669">
        <v>0</v>
      </c>
      <c r="DF669">
        <v>0</v>
      </c>
      <c r="DH669">
        <v>0</v>
      </c>
      <c r="DI669">
        <v>0</v>
      </c>
    </row>
    <row r="670" spans="1:113" ht="15" customHeight="1" x14ac:dyDescent="0.25">
      <c r="A670" t="s">
        <v>3776</v>
      </c>
      <c r="B670" t="s">
        <v>3777</v>
      </c>
      <c r="C670" t="s">
        <v>3778</v>
      </c>
      <c r="D670" t="s">
        <v>1234</v>
      </c>
      <c r="E670" t="s">
        <v>1234</v>
      </c>
      <c r="F670" t="s">
        <v>3779</v>
      </c>
      <c r="G670">
        <v>2025</v>
      </c>
      <c r="H670" t="s">
        <v>1160</v>
      </c>
      <c r="I670" t="s">
        <v>101</v>
      </c>
      <c r="J670">
        <v>12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Y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S670">
        <v>0</v>
      </c>
      <c r="AU670">
        <v>0</v>
      </c>
      <c r="AV670">
        <v>0</v>
      </c>
      <c r="AW670">
        <v>0</v>
      </c>
      <c r="AX670">
        <v>0</v>
      </c>
      <c r="AY670">
        <v>9</v>
      </c>
      <c r="AZ670">
        <v>0</v>
      </c>
      <c r="BA670">
        <v>22</v>
      </c>
      <c r="BB670">
        <v>1</v>
      </c>
      <c r="BC670">
        <v>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C670">
        <v>0</v>
      </c>
      <c r="DD670">
        <v>0</v>
      </c>
      <c r="DE670">
        <v>0</v>
      </c>
      <c r="DF670">
        <v>0</v>
      </c>
      <c r="DH670">
        <v>0</v>
      </c>
      <c r="DI670">
        <v>0</v>
      </c>
    </row>
    <row r="671" spans="1:113" ht="15" customHeight="1" x14ac:dyDescent="0.25">
      <c r="A671" t="s">
        <v>3780</v>
      </c>
      <c r="B671" t="s">
        <v>3781</v>
      </c>
      <c r="C671" t="s">
        <v>3782</v>
      </c>
      <c r="D671" t="s">
        <v>1684</v>
      </c>
      <c r="E671" t="s">
        <v>1307</v>
      </c>
      <c r="F671" t="s">
        <v>3783</v>
      </c>
      <c r="G671">
        <v>2025</v>
      </c>
      <c r="H671" t="s">
        <v>1160</v>
      </c>
      <c r="I671" t="s">
        <v>114</v>
      </c>
      <c r="J671">
        <v>15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Y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S671">
        <v>0</v>
      </c>
      <c r="AU671">
        <v>0</v>
      </c>
      <c r="AV671">
        <v>0</v>
      </c>
      <c r="AW671">
        <v>0</v>
      </c>
      <c r="AX671">
        <v>0</v>
      </c>
      <c r="AY671">
        <v>44</v>
      </c>
      <c r="AZ671">
        <v>1</v>
      </c>
      <c r="BA671">
        <v>27</v>
      </c>
      <c r="BB671">
        <v>3</v>
      </c>
      <c r="BC671">
        <v>9</v>
      </c>
      <c r="BD671">
        <v>1</v>
      </c>
      <c r="BE671">
        <v>1.5</v>
      </c>
      <c r="BF671">
        <v>9</v>
      </c>
      <c r="BG671">
        <v>5</v>
      </c>
      <c r="BH671">
        <v>4</v>
      </c>
      <c r="BI671">
        <v>1</v>
      </c>
      <c r="BJ671">
        <v>6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1</v>
      </c>
      <c r="BS671">
        <v>0</v>
      </c>
      <c r="BT671">
        <v>3</v>
      </c>
      <c r="BU671">
        <v>35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C671">
        <v>0</v>
      </c>
      <c r="DD671">
        <v>0</v>
      </c>
      <c r="DE671">
        <v>0</v>
      </c>
      <c r="DF671">
        <v>0</v>
      </c>
      <c r="DH671">
        <v>0</v>
      </c>
      <c r="DI671">
        <v>0</v>
      </c>
    </row>
    <row r="672" spans="1:113" ht="15" customHeight="1" x14ac:dyDescent="0.25">
      <c r="A672" t="s">
        <v>3784</v>
      </c>
      <c r="B672" t="s">
        <v>3785</v>
      </c>
      <c r="C672" t="s">
        <v>3786</v>
      </c>
      <c r="D672" t="s">
        <v>1189</v>
      </c>
      <c r="E672" t="s">
        <v>1190</v>
      </c>
      <c r="F672" t="s">
        <v>3787</v>
      </c>
      <c r="G672">
        <v>2025</v>
      </c>
      <c r="H672" t="s">
        <v>1160</v>
      </c>
      <c r="I672" t="s">
        <v>96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Y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S672">
        <v>0</v>
      </c>
      <c r="AU672">
        <v>0</v>
      </c>
      <c r="AV672">
        <v>0</v>
      </c>
      <c r="AW672">
        <v>0</v>
      </c>
      <c r="AX672">
        <v>0</v>
      </c>
      <c r="AY672">
        <v>6</v>
      </c>
      <c r="AZ672">
        <v>0</v>
      </c>
      <c r="BA672">
        <v>8</v>
      </c>
      <c r="BB672">
        <v>1</v>
      </c>
      <c r="BC672">
        <v>4</v>
      </c>
      <c r="BD672">
        <v>0</v>
      </c>
      <c r="BE672">
        <v>1</v>
      </c>
      <c r="BF672">
        <v>4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1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C672">
        <v>0</v>
      </c>
      <c r="DD672">
        <v>0</v>
      </c>
      <c r="DE672">
        <v>0</v>
      </c>
      <c r="DF672">
        <v>0</v>
      </c>
      <c r="DH672">
        <v>0</v>
      </c>
      <c r="DI672">
        <v>0</v>
      </c>
    </row>
    <row r="673" spans="1:113" ht="15" customHeight="1" x14ac:dyDescent="0.25">
      <c r="A673" t="s">
        <v>3788</v>
      </c>
      <c r="B673" t="s">
        <v>3789</v>
      </c>
      <c r="C673" t="s">
        <v>3790</v>
      </c>
      <c r="D673" t="s">
        <v>1684</v>
      </c>
      <c r="E673" t="s">
        <v>1307</v>
      </c>
      <c r="F673" t="s">
        <v>3791</v>
      </c>
      <c r="G673">
        <v>2025</v>
      </c>
      <c r="H673" t="s">
        <v>1160</v>
      </c>
      <c r="I673" t="s">
        <v>111</v>
      </c>
      <c r="J673">
        <v>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Y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S673">
        <v>0</v>
      </c>
      <c r="AU673">
        <v>0</v>
      </c>
      <c r="AV673">
        <v>0</v>
      </c>
      <c r="AW673">
        <v>0</v>
      </c>
      <c r="AX673">
        <v>0</v>
      </c>
      <c r="AY673">
        <v>10</v>
      </c>
      <c r="AZ673">
        <v>0</v>
      </c>
      <c r="BA673">
        <v>13</v>
      </c>
      <c r="BB673">
        <v>1</v>
      </c>
      <c r="BC673">
        <v>4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C673">
        <v>0</v>
      </c>
      <c r="DD673">
        <v>0</v>
      </c>
      <c r="DE673">
        <v>0</v>
      </c>
      <c r="DF673">
        <v>0</v>
      </c>
      <c r="DH673">
        <v>0</v>
      </c>
      <c r="DI673">
        <v>0</v>
      </c>
    </row>
    <row r="674" spans="1:113" ht="15" customHeight="1" x14ac:dyDescent="0.25">
      <c r="A674" t="s">
        <v>3792</v>
      </c>
      <c r="B674" t="s">
        <v>3793</v>
      </c>
      <c r="C674" t="s">
        <v>3794</v>
      </c>
      <c r="D674" t="s">
        <v>1350</v>
      </c>
      <c r="E674" t="s">
        <v>1307</v>
      </c>
      <c r="F674" t="s">
        <v>3795</v>
      </c>
      <c r="G674">
        <v>2025</v>
      </c>
      <c r="H674" t="s">
        <v>1160</v>
      </c>
      <c r="I674" t="s">
        <v>126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Y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S674">
        <v>0</v>
      </c>
      <c r="AU674">
        <v>0</v>
      </c>
      <c r="AV674">
        <v>0</v>
      </c>
      <c r="AW674">
        <v>0</v>
      </c>
      <c r="AX674">
        <v>0</v>
      </c>
      <c r="AY674">
        <v>11</v>
      </c>
      <c r="AZ674">
        <v>0</v>
      </c>
      <c r="BA674">
        <v>5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13</v>
      </c>
      <c r="BJ674">
        <v>3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C674">
        <v>0</v>
      </c>
      <c r="DD674">
        <v>0</v>
      </c>
      <c r="DE674">
        <v>0</v>
      </c>
      <c r="DF674">
        <v>0</v>
      </c>
      <c r="DH674">
        <v>0</v>
      </c>
      <c r="DI674">
        <v>0</v>
      </c>
    </row>
    <row r="675" spans="1:113" ht="15" customHeight="1" x14ac:dyDescent="0.25">
      <c r="A675" t="s">
        <v>3796</v>
      </c>
      <c r="B675" t="s">
        <v>3797</v>
      </c>
      <c r="C675" t="s">
        <v>874</v>
      </c>
      <c r="D675" t="s">
        <v>10</v>
      </c>
      <c r="E675" t="s">
        <v>10</v>
      </c>
      <c r="F675" t="s">
        <v>3798</v>
      </c>
      <c r="G675">
        <v>2025</v>
      </c>
      <c r="H675" t="s">
        <v>1160</v>
      </c>
      <c r="I675" t="s">
        <v>93</v>
      </c>
      <c r="J675">
        <v>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Y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H675">
        <v>0</v>
      </c>
      <c r="AI675">
        <v>32</v>
      </c>
      <c r="AJ675">
        <v>72</v>
      </c>
      <c r="AK675">
        <v>443</v>
      </c>
      <c r="AL675">
        <v>1</v>
      </c>
      <c r="AM675">
        <v>2</v>
      </c>
      <c r="AN675">
        <v>0</v>
      </c>
      <c r="AO675">
        <v>1019</v>
      </c>
      <c r="AP675">
        <v>73</v>
      </c>
      <c r="AQ675">
        <v>25</v>
      </c>
      <c r="AR675">
        <v>3.6679175114696001</v>
      </c>
      <c r="AS675">
        <v>0</v>
      </c>
      <c r="AT675">
        <v>0.43473994111874398</v>
      </c>
      <c r="AU675">
        <v>0.13872832369942201</v>
      </c>
      <c r="AV675">
        <v>0.244364508393285</v>
      </c>
      <c r="AW675">
        <v>0.37914764142443302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C675">
        <v>0</v>
      </c>
      <c r="DD675">
        <v>0</v>
      </c>
      <c r="DE675">
        <v>0</v>
      </c>
      <c r="DF675">
        <v>0</v>
      </c>
      <c r="DH675">
        <v>50.3</v>
      </c>
      <c r="DI675">
        <v>82.3</v>
      </c>
    </row>
    <row r="676" spans="1:113" ht="15" customHeight="1" x14ac:dyDescent="0.25">
      <c r="A676" t="s">
        <v>3799</v>
      </c>
      <c r="B676" t="s">
        <v>3800</v>
      </c>
      <c r="C676" t="s">
        <v>3801</v>
      </c>
      <c r="D676" t="s">
        <v>1219</v>
      </c>
      <c r="E676" t="s">
        <v>1220</v>
      </c>
      <c r="F676" t="s">
        <v>3802</v>
      </c>
      <c r="G676">
        <v>2025</v>
      </c>
      <c r="H676" t="s">
        <v>1160</v>
      </c>
      <c r="I676" t="s">
        <v>112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Y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S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C676">
        <v>0</v>
      </c>
      <c r="DD676">
        <v>0</v>
      </c>
      <c r="DE676">
        <v>0</v>
      </c>
      <c r="DF676">
        <v>0</v>
      </c>
      <c r="DH676">
        <v>0</v>
      </c>
      <c r="DI676">
        <v>0</v>
      </c>
    </row>
    <row r="677" spans="1:113" ht="15" customHeight="1" x14ac:dyDescent="0.25">
      <c r="A677" t="s">
        <v>3803</v>
      </c>
      <c r="B677" t="s">
        <v>3804</v>
      </c>
      <c r="C677" t="s">
        <v>3805</v>
      </c>
      <c r="D677" t="s">
        <v>1209</v>
      </c>
      <c r="E677" t="s">
        <v>1169</v>
      </c>
      <c r="F677" t="s">
        <v>3806</v>
      </c>
      <c r="G677">
        <v>2025</v>
      </c>
      <c r="H677" t="s">
        <v>1160</v>
      </c>
      <c r="I677" t="s">
        <v>120</v>
      </c>
      <c r="J677">
        <v>17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Y677">
        <v>0</v>
      </c>
      <c r="AA677">
        <v>1</v>
      </c>
      <c r="AB677">
        <v>-34</v>
      </c>
      <c r="AC677">
        <v>0</v>
      </c>
      <c r="AD677">
        <v>0</v>
      </c>
      <c r="AE677">
        <v>0</v>
      </c>
      <c r="AF677">
        <v>0</v>
      </c>
      <c r="AG677">
        <v>-1.95123915496515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S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C677">
        <v>0</v>
      </c>
      <c r="DD677">
        <v>0</v>
      </c>
      <c r="DE677">
        <v>0</v>
      </c>
      <c r="DF677">
        <v>0</v>
      </c>
      <c r="DH677">
        <v>-3.4</v>
      </c>
      <c r="DI677">
        <v>-3.4</v>
      </c>
    </row>
    <row r="678" spans="1:113" ht="15" customHeight="1" x14ac:dyDescent="0.25">
      <c r="A678" t="s">
        <v>3807</v>
      </c>
      <c r="B678" t="s">
        <v>3808</v>
      </c>
      <c r="C678" t="s">
        <v>3809</v>
      </c>
      <c r="D678" t="s">
        <v>1189</v>
      </c>
      <c r="E678" t="s">
        <v>1190</v>
      </c>
      <c r="F678" t="s">
        <v>3810</v>
      </c>
      <c r="G678">
        <v>2025</v>
      </c>
      <c r="H678" t="s">
        <v>1160</v>
      </c>
      <c r="I678" t="s">
        <v>138</v>
      </c>
      <c r="J678">
        <v>12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Y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U678">
        <v>0</v>
      </c>
      <c r="AV678">
        <v>0</v>
      </c>
      <c r="AW678">
        <v>0</v>
      </c>
      <c r="AX678">
        <v>0</v>
      </c>
      <c r="AY678">
        <v>21</v>
      </c>
      <c r="AZ678">
        <v>1</v>
      </c>
      <c r="BA678">
        <v>16</v>
      </c>
      <c r="BB678">
        <v>11</v>
      </c>
      <c r="BC678">
        <v>76</v>
      </c>
      <c r="BD678">
        <v>2</v>
      </c>
      <c r="BE678">
        <v>10</v>
      </c>
      <c r="BF678">
        <v>86</v>
      </c>
      <c r="BG678">
        <v>15</v>
      </c>
      <c r="BH678">
        <v>0</v>
      </c>
      <c r="BI678">
        <v>0</v>
      </c>
      <c r="BJ678">
        <v>4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3</v>
      </c>
      <c r="BS678">
        <v>1</v>
      </c>
      <c r="BT678">
        <v>2</v>
      </c>
      <c r="BU678">
        <v>10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C678">
        <v>0</v>
      </c>
      <c r="DD678">
        <v>0</v>
      </c>
      <c r="DE678">
        <v>0</v>
      </c>
      <c r="DF678">
        <v>0</v>
      </c>
      <c r="DH678">
        <v>0</v>
      </c>
      <c r="DI678">
        <v>0</v>
      </c>
    </row>
    <row r="679" spans="1:113" ht="15" customHeight="1" x14ac:dyDescent="0.25">
      <c r="A679" t="s">
        <v>3811</v>
      </c>
      <c r="B679" t="s">
        <v>3812</v>
      </c>
      <c r="C679" t="s">
        <v>803</v>
      </c>
      <c r="D679" t="s">
        <v>10</v>
      </c>
      <c r="E679" t="s">
        <v>10</v>
      </c>
      <c r="F679" t="s">
        <v>3813</v>
      </c>
      <c r="G679">
        <v>2025</v>
      </c>
      <c r="H679" t="s">
        <v>1160</v>
      </c>
      <c r="I679" t="s">
        <v>137</v>
      </c>
      <c r="J679">
        <v>17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Y679">
        <v>0</v>
      </c>
      <c r="AA679">
        <v>2</v>
      </c>
      <c r="AB679">
        <v>7</v>
      </c>
      <c r="AC679">
        <v>0</v>
      </c>
      <c r="AD679">
        <v>0</v>
      </c>
      <c r="AE679">
        <v>0</v>
      </c>
      <c r="AF679">
        <v>0</v>
      </c>
      <c r="AG679">
        <v>-5.6719331769272699E-2</v>
      </c>
      <c r="AH679">
        <v>0</v>
      </c>
      <c r="AI679">
        <v>84</v>
      </c>
      <c r="AJ679">
        <v>141</v>
      </c>
      <c r="AK679">
        <v>1048</v>
      </c>
      <c r="AL679">
        <v>2</v>
      </c>
      <c r="AM679">
        <v>0</v>
      </c>
      <c r="AN679">
        <v>0</v>
      </c>
      <c r="AO679">
        <v>1438</v>
      </c>
      <c r="AP679">
        <v>451</v>
      </c>
      <c r="AQ679">
        <v>47</v>
      </c>
      <c r="AR679">
        <v>-13.828682236003701</v>
      </c>
      <c r="AS679">
        <v>0</v>
      </c>
      <c r="AT679">
        <v>0.72878998609179402</v>
      </c>
      <c r="AU679">
        <v>0.30128205128205099</v>
      </c>
      <c r="AV679">
        <v>0.38275219590098503</v>
      </c>
      <c r="AW679">
        <v>0.71984961405376602</v>
      </c>
      <c r="AX679">
        <v>0</v>
      </c>
      <c r="AY679">
        <v>1</v>
      </c>
      <c r="AZ679">
        <v>0</v>
      </c>
      <c r="BA679">
        <v>1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</v>
      </c>
      <c r="BU679">
        <v>5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C679">
        <v>0</v>
      </c>
      <c r="DD679">
        <v>0</v>
      </c>
      <c r="DE679">
        <v>0</v>
      </c>
      <c r="DF679">
        <v>0</v>
      </c>
      <c r="DH679">
        <v>117.5</v>
      </c>
      <c r="DI679">
        <v>201.5</v>
      </c>
    </row>
    <row r="680" spans="1:113" ht="15" customHeight="1" x14ac:dyDescent="0.25">
      <c r="A680" t="s">
        <v>3814</v>
      </c>
      <c r="B680" t="s">
        <v>3815</v>
      </c>
      <c r="C680" t="s">
        <v>3816</v>
      </c>
      <c r="D680" t="s">
        <v>1234</v>
      </c>
      <c r="E680" t="s">
        <v>1234</v>
      </c>
      <c r="F680" t="s">
        <v>3817</v>
      </c>
      <c r="G680">
        <v>2025</v>
      </c>
      <c r="H680" t="s">
        <v>1160</v>
      </c>
      <c r="I680" t="s">
        <v>103</v>
      </c>
      <c r="J680">
        <v>17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Y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S680">
        <v>0</v>
      </c>
      <c r="AU680">
        <v>0</v>
      </c>
      <c r="AV680">
        <v>0</v>
      </c>
      <c r="AW680">
        <v>0</v>
      </c>
      <c r="AX680">
        <v>0</v>
      </c>
      <c r="AY680">
        <v>55</v>
      </c>
      <c r="AZ680">
        <v>1</v>
      </c>
      <c r="BA680">
        <v>64</v>
      </c>
      <c r="BB680">
        <v>8</v>
      </c>
      <c r="BC680">
        <v>20</v>
      </c>
      <c r="BD680">
        <v>1</v>
      </c>
      <c r="BE680">
        <v>1</v>
      </c>
      <c r="BF680">
        <v>8</v>
      </c>
      <c r="BG680">
        <v>5</v>
      </c>
      <c r="BH680">
        <v>0</v>
      </c>
      <c r="BI680">
        <v>0</v>
      </c>
      <c r="BJ680">
        <v>4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1</v>
      </c>
      <c r="BS680">
        <v>0</v>
      </c>
      <c r="BT680">
        <v>1</v>
      </c>
      <c r="BU680">
        <v>5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C680">
        <v>0</v>
      </c>
      <c r="DD680">
        <v>0</v>
      </c>
      <c r="DE680">
        <v>0</v>
      </c>
      <c r="DF680">
        <v>0</v>
      </c>
      <c r="DH680">
        <v>0</v>
      </c>
      <c r="DI680">
        <v>0</v>
      </c>
    </row>
    <row r="681" spans="1:113" ht="15" customHeight="1" x14ac:dyDescent="0.25">
      <c r="A681" t="s">
        <v>3818</v>
      </c>
      <c r="B681" t="s">
        <v>3819</v>
      </c>
      <c r="C681" t="s">
        <v>3820</v>
      </c>
      <c r="D681" t="s">
        <v>1219</v>
      </c>
      <c r="E681" t="s">
        <v>1220</v>
      </c>
      <c r="F681" t="s">
        <v>3821</v>
      </c>
      <c r="G681">
        <v>2025</v>
      </c>
      <c r="H681" t="s">
        <v>1160</v>
      </c>
      <c r="I681" t="s">
        <v>96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Y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S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C681">
        <v>0</v>
      </c>
      <c r="DD681">
        <v>0</v>
      </c>
      <c r="DE681">
        <v>0</v>
      </c>
      <c r="DF681">
        <v>0</v>
      </c>
      <c r="DH681">
        <v>0</v>
      </c>
      <c r="DI681">
        <v>0</v>
      </c>
    </row>
    <row r="682" spans="1:113" ht="15" customHeight="1" x14ac:dyDescent="0.25">
      <c r="A682" t="s">
        <v>3822</v>
      </c>
      <c r="B682" t="s">
        <v>3823</v>
      </c>
      <c r="C682" t="s">
        <v>3824</v>
      </c>
      <c r="D682" t="s">
        <v>1297</v>
      </c>
      <c r="E682" t="s">
        <v>1220</v>
      </c>
      <c r="F682" t="s">
        <v>3825</v>
      </c>
      <c r="G682">
        <v>2025</v>
      </c>
      <c r="H682" t="s">
        <v>1160</v>
      </c>
      <c r="I682" t="s">
        <v>106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Y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S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</v>
      </c>
      <c r="BU682">
        <v>10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C682">
        <v>0</v>
      </c>
      <c r="DD682">
        <v>0</v>
      </c>
      <c r="DE682">
        <v>0</v>
      </c>
      <c r="DF682">
        <v>0</v>
      </c>
      <c r="DH682">
        <v>0</v>
      </c>
      <c r="DI682">
        <v>0</v>
      </c>
    </row>
    <row r="683" spans="1:113" ht="15" customHeight="1" x14ac:dyDescent="0.25">
      <c r="A683" t="s">
        <v>3826</v>
      </c>
      <c r="B683" t="s">
        <v>3827</v>
      </c>
      <c r="C683" t="s">
        <v>3828</v>
      </c>
      <c r="D683" t="s">
        <v>431</v>
      </c>
      <c r="E683" t="s">
        <v>431</v>
      </c>
      <c r="F683" t="s">
        <v>3829</v>
      </c>
      <c r="G683">
        <v>2025</v>
      </c>
      <c r="H683" t="s">
        <v>1160</v>
      </c>
      <c r="I683" t="s">
        <v>114</v>
      </c>
      <c r="J683">
        <v>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Y683">
        <v>0</v>
      </c>
      <c r="AA683">
        <v>25</v>
      </c>
      <c r="AB683">
        <v>106</v>
      </c>
      <c r="AC683">
        <v>1</v>
      </c>
      <c r="AD683">
        <v>1</v>
      </c>
      <c r="AE683">
        <v>1</v>
      </c>
      <c r="AF683">
        <v>6</v>
      </c>
      <c r="AG683">
        <v>-4.7015184177435003</v>
      </c>
      <c r="AH683">
        <v>0</v>
      </c>
      <c r="AI683">
        <v>2</v>
      </c>
      <c r="AJ683">
        <v>3</v>
      </c>
      <c r="AK683">
        <v>6</v>
      </c>
      <c r="AL683">
        <v>0</v>
      </c>
      <c r="AM683">
        <v>0</v>
      </c>
      <c r="AN683">
        <v>0</v>
      </c>
      <c r="AO683">
        <v>-6</v>
      </c>
      <c r="AP683">
        <v>16</v>
      </c>
      <c r="AQ683">
        <v>0</v>
      </c>
      <c r="AR683">
        <v>-1.2350232505705201</v>
      </c>
      <c r="AS683">
        <v>0</v>
      </c>
      <c r="AT683">
        <v>-1</v>
      </c>
      <c r="AU683">
        <v>6.2240663900414899E-3</v>
      </c>
      <c r="AV683">
        <v>-1.3009540329575E-3</v>
      </c>
      <c r="AW683">
        <v>8.4254317619919892E-3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12</v>
      </c>
      <c r="BY683">
        <v>342</v>
      </c>
      <c r="BZ683">
        <v>0</v>
      </c>
      <c r="CA683">
        <v>0</v>
      </c>
      <c r="CB683">
        <v>0</v>
      </c>
      <c r="CC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C683">
        <v>0</v>
      </c>
      <c r="DD683">
        <v>0</v>
      </c>
      <c r="DE683">
        <v>0</v>
      </c>
      <c r="DF683">
        <v>0</v>
      </c>
      <c r="DH683">
        <v>21.2</v>
      </c>
      <c r="DI683">
        <v>23.2</v>
      </c>
    </row>
    <row r="684" spans="1:113" ht="15" customHeight="1" x14ac:dyDescent="0.25">
      <c r="A684" t="s">
        <v>3830</v>
      </c>
      <c r="B684" t="s">
        <v>3831</v>
      </c>
      <c r="C684" t="s">
        <v>3832</v>
      </c>
      <c r="D684" t="s">
        <v>1684</v>
      </c>
      <c r="E684" t="s">
        <v>1307</v>
      </c>
      <c r="F684" t="s">
        <v>3833</v>
      </c>
      <c r="G684">
        <v>2025</v>
      </c>
      <c r="H684" t="s">
        <v>1160</v>
      </c>
      <c r="I684" t="s">
        <v>133</v>
      </c>
      <c r="J684">
        <v>13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Y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S684">
        <v>0</v>
      </c>
      <c r="AU684">
        <v>0</v>
      </c>
      <c r="AV684">
        <v>0</v>
      </c>
      <c r="AW684">
        <v>0</v>
      </c>
      <c r="AX684">
        <v>0</v>
      </c>
      <c r="AY684">
        <v>41</v>
      </c>
      <c r="AZ684">
        <v>2</v>
      </c>
      <c r="BA684">
        <v>22</v>
      </c>
      <c r="BB684">
        <v>3</v>
      </c>
      <c r="BC684">
        <v>4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21</v>
      </c>
      <c r="BJ684">
        <v>4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C684">
        <v>0</v>
      </c>
      <c r="DD684">
        <v>0</v>
      </c>
      <c r="DE684">
        <v>0</v>
      </c>
      <c r="DF684">
        <v>0</v>
      </c>
      <c r="DH684">
        <v>0</v>
      </c>
      <c r="DI684">
        <v>0</v>
      </c>
    </row>
    <row r="685" spans="1:113" ht="15" customHeight="1" x14ac:dyDescent="0.25">
      <c r="A685" t="s">
        <v>3834</v>
      </c>
      <c r="B685" t="s">
        <v>3835</v>
      </c>
      <c r="C685" t="s">
        <v>437</v>
      </c>
      <c r="D685" t="s">
        <v>10</v>
      </c>
      <c r="E685" t="s">
        <v>10</v>
      </c>
      <c r="F685" t="s">
        <v>3836</v>
      </c>
      <c r="G685">
        <v>2025</v>
      </c>
      <c r="H685" t="s">
        <v>1160</v>
      </c>
      <c r="I685" t="s">
        <v>104</v>
      </c>
      <c r="J685">
        <v>17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Y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H685">
        <v>0</v>
      </c>
      <c r="AI685">
        <v>2</v>
      </c>
      <c r="AJ685">
        <v>5</v>
      </c>
      <c r="AK685">
        <v>26</v>
      </c>
      <c r="AL685">
        <v>0</v>
      </c>
      <c r="AM685">
        <v>0</v>
      </c>
      <c r="AN685">
        <v>0</v>
      </c>
      <c r="AO685">
        <v>75</v>
      </c>
      <c r="AP685">
        <v>0</v>
      </c>
      <c r="AQ685">
        <v>1</v>
      </c>
      <c r="AR685">
        <v>-0.308780201714761</v>
      </c>
      <c r="AS685">
        <v>0</v>
      </c>
      <c r="AT685">
        <v>0.34666666666666701</v>
      </c>
      <c r="AU685">
        <v>9.3984962406014998E-3</v>
      </c>
      <c r="AV685">
        <v>1.5169902912621399E-2</v>
      </c>
      <c r="AW685">
        <v>2.4716676399737202E-2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21</v>
      </c>
      <c r="BW685">
        <v>231</v>
      </c>
      <c r="BX685">
        <v>40</v>
      </c>
      <c r="BY685">
        <v>1069</v>
      </c>
      <c r="BZ685">
        <v>0</v>
      </c>
      <c r="CA685">
        <v>0</v>
      </c>
      <c r="CB685">
        <v>0</v>
      </c>
      <c r="CC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C685">
        <v>0</v>
      </c>
      <c r="DD685">
        <v>0</v>
      </c>
      <c r="DE685">
        <v>0</v>
      </c>
      <c r="DF685">
        <v>0</v>
      </c>
      <c r="DH685">
        <v>2.6</v>
      </c>
      <c r="DI685">
        <v>4.5999999999999996</v>
      </c>
    </row>
    <row r="686" spans="1:113" ht="15" customHeight="1" x14ac:dyDescent="0.25">
      <c r="A686" t="s">
        <v>3837</v>
      </c>
      <c r="B686" t="s">
        <v>3838</v>
      </c>
      <c r="C686" t="s">
        <v>3839</v>
      </c>
      <c r="D686" t="s">
        <v>439</v>
      </c>
      <c r="E686" t="s">
        <v>439</v>
      </c>
      <c r="F686" t="s">
        <v>3840</v>
      </c>
      <c r="G686">
        <v>2025</v>
      </c>
      <c r="H686" t="s">
        <v>1160</v>
      </c>
      <c r="I686" t="s">
        <v>90</v>
      </c>
      <c r="J686">
        <v>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Y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H686">
        <v>0</v>
      </c>
      <c r="AI686">
        <v>3</v>
      </c>
      <c r="AJ686">
        <v>5</v>
      </c>
      <c r="AK686">
        <v>21</v>
      </c>
      <c r="AL686">
        <v>1</v>
      </c>
      <c r="AM686">
        <v>0</v>
      </c>
      <c r="AN686">
        <v>0</v>
      </c>
      <c r="AO686">
        <v>23</v>
      </c>
      <c r="AP686">
        <v>5</v>
      </c>
      <c r="AQ686">
        <v>2</v>
      </c>
      <c r="AR686">
        <v>1.40122630295809</v>
      </c>
      <c r="AS686">
        <v>0</v>
      </c>
      <c r="AT686">
        <v>0.91304347826086996</v>
      </c>
      <c r="AU686">
        <v>8.1037277147487808E-3</v>
      </c>
      <c r="AV686">
        <v>4.9356223175965703E-3</v>
      </c>
      <c r="AW686">
        <v>1.5610527194440799E-2</v>
      </c>
      <c r="AX686">
        <v>0</v>
      </c>
      <c r="AY686">
        <v>1</v>
      </c>
      <c r="AZ686">
        <v>0</v>
      </c>
      <c r="BA686">
        <v>2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2</v>
      </c>
      <c r="BU686">
        <v>20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C686">
        <v>0</v>
      </c>
      <c r="DD686">
        <v>0</v>
      </c>
      <c r="DE686">
        <v>0</v>
      </c>
      <c r="DF686">
        <v>0</v>
      </c>
      <c r="DH686">
        <v>8.1</v>
      </c>
      <c r="DI686">
        <v>11.1</v>
      </c>
    </row>
    <row r="687" spans="1:113" ht="15" customHeight="1" x14ac:dyDescent="0.25">
      <c r="A687" t="s">
        <v>3841</v>
      </c>
      <c r="B687" t="s">
        <v>3842</v>
      </c>
      <c r="C687" t="s">
        <v>3843</v>
      </c>
      <c r="D687" t="s">
        <v>1234</v>
      </c>
      <c r="E687" t="s">
        <v>1234</v>
      </c>
      <c r="F687" t="s">
        <v>3844</v>
      </c>
      <c r="G687">
        <v>2025</v>
      </c>
      <c r="H687" t="s">
        <v>1160</v>
      </c>
      <c r="I687" t="s">
        <v>103</v>
      </c>
      <c r="J687">
        <v>13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Y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S687">
        <v>0</v>
      </c>
      <c r="AU687">
        <v>0</v>
      </c>
      <c r="AV687">
        <v>0</v>
      </c>
      <c r="AW687">
        <v>0</v>
      </c>
      <c r="AX687">
        <v>0</v>
      </c>
      <c r="AY687">
        <v>36</v>
      </c>
      <c r="AZ687">
        <v>0</v>
      </c>
      <c r="BA687">
        <v>14</v>
      </c>
      <c r="BB687">
        <v>15</v>
      </c>
      <c r="BC687">
        <v>51</v>
      </c>
      <c r="BD687">
        <v>1</v>
      </c>
      <c r="BE687">
        <v>9.5</v>
      </c>
      <c r="BF687">
        <v>44</v>
      </c>
      <c r="BG687">
        <v>19</v>
      </c>
      <c r="BH687">
        <v>0</v>
      </c>
      <c r="BI687">
        <v>0</v>
      </c>
      <c r="BJ687">
        <v>3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3</v>
      </c>
      <c r="BU687">
        <v>25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C687">
        <v>0</v>
      </c>
      <c r="DD687">
        <v>0</v>
      </c>
      <c r="DE687">
        <v>0</v>
      </c>
      <c r="DF687">
        <v>0</v>
      </c>
      <c r="DH687">
        <v>0</v>
      </c>
      <c r="DI687">
        <v>0</v>
      </c>
    </row>
    <row r="688" spans="1:113" ht="15" customHeight="1" x14ac:dyDescent="0.25">
      <c r="A688" t="s">
        <v>3845</v>
      </c>
      <c r="B688" t="s">
        <v>3846</v>
      </c>
      <c r="C688" t="s">
        <v>3847</v>
      </c>
      <c r="D688" t="s">
        <v>1234</v>
      </c>
      <c r="E688" t="s">
        <v>1234</v>
      </c>
      <c r="F688" t="s">
        <v>3848</v>
      </c>
      <c r="G688">
        <v>2025</v>
      </c>
      <c r="H688" t="s">
        <v>1160</v>
      </c>
      <c r="I688" t="s">
        <v>96</v>
      </c>
      <c r="J688">
        <v>16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Y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S688">
        <v>0</v>
      </c>
      <c r="AU688">
        <v>0</v>
      </c>
      <c r="AV688">
        <v>0</v>
      </c>
      <c r="AW688">
        <v>0</v>
      </c>
      <c r="AX688">
        <v>0</v>
      </c>
      <c r="AY688">
        <v>19</v>
      </c>
      <c r="AZ688">
        <v>0</v>
      </c>
      <c r="BA688">
        <v>23</v>
      </c>
      <c r="BB688">
        <v>4</v>
      </c>
      <c r="BC688">
        <v>16</v>
      </c>
      <c r="BD688">
        <v>0</v>
      </c>
      <c r="BE688">
        <v>3</v>
      </c>
      <c r="BF688">
        <v>13</v>
      </c>
      <c r="BG688">
        <v>4</v>
      </c>
      <c r="BH688">
        <v>1</v>
      </c>
      <c r="BI688">
        <v>0</v>
      </c>
      <c r="BJ688">
        <v>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1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C688">
        <v>0</v>
      </c>
      <c r="DD688">
        <v>0</v>
      </c>
      <c r="DE688">
        <v>0</v>
      </c>
      <c r="DF688">
        <v>0</v>
      </c>
      <c r="DH688">
        <v>0</v>
      </c>
      <c r="DI688">
        <v>0</v>
      </c>
    </row>
    <row r="689" spans="1:113" ht="15" customHeight="1" x14ac:dyDescent="0.25">
      <c r="A689" t="s">
        <v>3849</v>
      </c>
      <c r="B689" t="s">
        <v>3850</v>
      </c>
      <c r="C689" t="s">
        <v>3851</v>
      </c>
      <c r="D689" t="s">
        <v>1243</v>
      </c>
      <c r="E689" t="s">
        <v>1190</v>
      </c>
      <c r="F689" t="s">
        <v>3852</v>
      </c>
      <c r="G689">
        <v>2025</v>
      </c>
      <c r="H689" t="s">
        <v>1160</v>
      </c>
      <c r="I689" t="s">
        <v>142</v>
      </c>
      <c r="J689">
        <v>16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Y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S689">
        <v>0</v>
      </c>
      <c r="AU689">
        <v>0</v>
      </c>
      <c r="AV689">
        <v>0</v>
      </c>
      <c r="AW689">
        <v>0</v>
      </c>
      <c r="AX689">
        <v>0</v>
      </c>
      <c r="AY689">
        <v>12</v>
      </c>
      <c r="AZ689">
        <v>2</v>
      </c>
      <c r="BA689">
        <v>11</v>
      </c>
      <c r="BB689">
        <v>1</v>
      </c>
      <c r="BC689">
        <v>1</v>
      </c>
      <c r="BD689">
        <v>0</v>
      </c>
      <c r="BE689">
        <v>0.5</v>
      </c>
      <c r="BF689">
        <v>3</v>
      </c>
      <c r="BG689">
        <v>3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5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C689">
        <v>0</v>
      </c>
      <c r="DD689">
        <v>0</v>
      </c>
      <c r="DE689">
        <v>0</v>
      </c>
      <c r="DF689">
        <v>0</v>
      </c>
      <c r="DH689">
        <v>0</v>
      </c>
      <c r="DI689">
        <v>0</v>
      </c>
    </row>
    <row r="690" spans="1:113" ht="15" customHeight="1" x14ac:dyDescent="0.25">
      <c r="A690" t="s">
        <v>3853</v>
      </c>
      <c r="B690" t="s">
        <v>3854</v>
      </c>
      <c r="C690" t="s">
        <v>3855</v>
      </c>
      <c r="D690" t="s">
        <v>1234</v>
      </c>
      <c r="E690" t="s">
        <v>1234</v>
      </c>
      <c r="F690" t="s">
        <v>3856</v>
      </c>
      <c r="G690">
        <v>2025</v>
      </c>
      <c r="H690" t="s">
        <v>1160</v>
      </c>
      <c r="I690" t="s">
        <v>131</v>
      </c>
      <c r="J690">
        <v>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Y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>
        <v>0</v>
      </c>
      <c r="AU690">
        <v>0</v>
      </c>
      <c r="AV690">
        <v>0</v>
      </c>
      <c r="AW690">
        <v>0</v>
      </c>
      <c r="AX690">
        <v>0</v>
      </c>
      <c r="AY690">
        <v>26</v>
      </c>
      <c r="AZ690">
        <v>2</v>
      </c>
      <c r="BA690">
        <v>30</v>
      </c>
      <c r="BB690">
        <v>5</v>
      </c>
      <c r="BC690">
        <v>10</v>
      </c>
      <c r="BD690">
        <v>1</v>
      </c>
      <c r="BE690">
        <v>1</v>
      </c>
      <c r="BF690">
        <v>0</v>
      </c>
      <c r="BG690">
        <v>1</v>
      </c>
      <c r="BH690">
        <v>0</v>
      </c>
      <c r="BI690">
        <v>0</v>
      </c>
      <c r="BJ690">
        <v>4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1</v>
      </c>
      <c r="BS690">
        <v>0</v>
      </c>
      <c r="BT690">
        <v>1</v>
      </c>
      <c r="BU690">
        <v>5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C690">
        <v>0</v>
      </c>
      <c r="DD690">
        <v>0</v>
      </c>
      <c r="DE690">
        <v>0</v>
      </c>
      <c r="DF690">
        <v>0</v>
      </c>
      <c r="DH690">
        <v>0</v>
      </c>
      <c r="DI690">
        <v>0</v>
      </c>
    </row>
    <row r="691" spans="1:113" ht="15" customHeight="1" x14ac:dyDescent="0.25">
      <c r="A691" t="s">
        <v>3857</v>
      </c>
      <c r="B691" t="s">
        <v>3858</v>
      </c>
      <c r="C691" t="s">
        <v>3859</v>
      </c>
      <c r="D691" t="s">
        <v>1297</v>
      </c>
      <c r="E691" t="s">
        <v>1220</v>
      </c>
      <c r="F691" t="s">
        <v>3860</v>
      </c>
      <c r="G691">
        <v>2025</v>
      </c>
      <c r="H691" t="s">
        <v>1160</v>
      </c>
      <c r="I691" t="s">
        <v>1200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Y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3</v>
      </c>
      <c r="BU691">
        <v>20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C691">
        <v>0</v>
      </c>
      <c r="DD691">
        <v>0</v>
      </c>
      <c r="DE691">
        <v>0</v>
      </c>
      <c r="DF691">
        <v>0</v>
      </c>
      <c r="DH691">
        <v>0</v>
      </c>
      <c r="DI691">
        <v>0</v>
      </c>
    </row>
    <row r="692" spans="1:113" ht="15" customHeight="1" x14ac:dyDescent="0.25">
      <c r="A692" t="s">
        <v>3861</v>
      </c>
      <c r="B692" t="s">
        <v>3862</v>
      </c>
      <c r="C692" t="s">
        <v>3863</v>
      </c>
      <c r="D692" t="s">
        <v>1189</v>
      </c>
      <c r="E692" t="s">
        <v>1190</v>
      </c>
      <c r="F692" t="s">
        <v>3864</v>
      </c>
      <c r="G692">
        <v>2025</v>
      </c>
      <c r="H692" t="s">
        <v>1160</v>
      </c>
      <c r="I692" t="s">
        <v>93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Y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S692">
        <v>0</v>
      </c>
      <c r="AU692">
        <v>0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4</v>
      </c>
      <c r="BB692">
        <v>1</v>
      </c>
      <c r="BC692">
        <v>2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C692">
        <v>0</v>
      </c>
      <c r="DD692">
        <v>0</v>
      </c>
      <c r="DE692">
        <v>0</v>
      </c>
      <c r="DF692">
        <v>0</v>
      </c>
      <c r="DH692">
        <v>0</v>
      </c>
      <c r="DI692">
        <v>0</v>
      </c>
    </row>
    <row r="693" spans="1:113" ht="15" customHeight="1" x14ac:dyDescent="0.25">
      <c r="A693" t="s">
        <v>3865</v>
      </c>
      <c r="B693" t="s">
        <v>3866</v>
      </c>
      <c r="C693" t="s">
        <v>3867</v>
      </c>
      <c r="D693" t="s">
        <v>1655</v>
      </c>
      <c r="E693" t="s">
        <v>1220</v>
      </c>
      <c r="F693" t="s">
        <v>3868</v>
      </c>
      <c r="G693">
        <v>2025</v>
      </c>
      <c r="H693" t="s">
        <v>1160</v>
      </c>
      <c r="I693" t="s">
        <v>137</v>
      </c>
      <c r="J693">
        <v>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Y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S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1</v>
      </c>
      <c r="BP693">
        <v>2</v>
      </c>
      <c r="BQ693">
        <v>0</v>
      </c>
      <c r="BR693">
        <v>0</v>
      </c>
      <c r="BS693">
        <v>0</v>
      </c>
      <c r="BT693">
        <v>5</v>
      </c>
      <c r="BU693">
        <v>40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C693">
        <v>0</v>
      </c>
      <c r="DD693">
        <v>0</v>
      </c>
      <c r="DE693">
        <v>0</v>
      </c>
      <c r="DF693">
        <v>0</v>
      </c>
      <c r="DH693">
        <v>0</v>
      </c>
      <c r="DI693">
        <v>0</v>
      </c>
    </row>
    <row r="694" spans="1:113" ht="15" customHeight="1" x14ac:dyDescent="0.25">
      <c r="A694" t="s">
        <v>3869</v>
      </c>
      <c r="B694" t="s">
        <v>3870</v>
      </c>
      <c r="C694" t="s">
        <v>3871</v>
      </c>
      <c r="D694" t="s">
        <v>1684</v>
      </c>
      <c r="E694" t="s">
        <v>1307</v>
      </c>
      <c r="F694" t="s">
        <v>3872</v>
      </c>
      <c r="G694">
        <v>2025</v>
      </c>
      <c r="H694" t="s">
        <v>1160</v>
      </c>
      <c r="I694" t="s">
        <v>137</v>
      </c>
      <c r="J694">
        <v>14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Y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S694">
        <v>0</v>
      </c>
      <c r="AU694">
        <v>0</v>
      </c>
      <c r="AV694">
        <v>0</v>
      </c>
      <c r="AW694">
        <v>0</v>
      </c>
      <c r="AX694">
        <v>0</v>
      </c>
      <c r="AY694">
        <v>40</v>
      </c>
      <c r="AZ694">
        <v>2</v>
      </c>
      <c r="BA694">
        <v>44</v>
      </c>
      <c r="BB694">
        <v>1</v>
      </c>
      <c r="BC694">
        <v>2</v>
      </c>
      <c r="BD694">
        <v>0</v>
      </c>
      <c r="BE694">
        <v>0.5</v>
      </c>
      <c r="BF694">
        <v>0</v>
      </c>
      <c r="BG694">
        <v>2</v>
      </c>
      <c r="BH694">
        <v>2</v>
      </c>
      <c r="BI694">
        <v>0</v>
      </c>
      <c r="BJ694">
        <v>6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2</v>
      </c>
      <c r="BU694">
        <v>40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C694">
        <v>0</v>
      </c>
      <c r="DD694">
        <v>0</v>
      </c>
      <c r="DE694">
        <v>0</v>
      </c>
      <c r="DF694">
        <v>0</v>
      </c>
      <c r="DH694">
        <v>0</v>
      </c>
      <c r="DI694">
        <v>0</v>
      </c>
    </row>
    <row r="695" spans="1:113" ht="15" customHeight="1" x14ac:dyDescent="0.25">
      <c r="A695" t="s">
        <v>3873</v>
      </c>
      <c r="B695" t="s">
        <v>3874</v>
      </c>
      <c r="C695" t="s">
        <v>3875</v>
      </c>
      <c r="D695" t="s">
        <v>1684</v>
      </c>
      <c r="E695" t="s">
        <v>1307</v>
      </c>
      <c r="F695" t="s">
        <v>3876</v>
      </c>
      <c r="G695">
        <v>2025</v>
      </c>
      <c r="H695" t="s">
        <v>1160</v>
      </c>
      <c r="I695" t="s">
        <v>1200</v>
      </c>
      <c r="J695">
        <v>17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Y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S695">
        <v>0</v>
      </c>
      <c r="AU695">
        <v>0</v>
      </c>
      <c r="AV695">
        <v>0</v>
      </c>
      <c r="AW695">
        <v>0</v>
      </c>
      <c r="AX695">
        <v>0</v>
      </c>
      <c r="AY695">
        <v>75</v>
      </c>
      <c r="AZ695">
        <v>4</v>
      </c>
      <c r="BA695">
        <v>43</v>
      </c>
      <c r="BB695">
        <v>2</v>
      </c>
      <c r="BC695">
        <v>3</v>
      </c>
      <c r="BD695">
        <v>1</v>
      </c>
      <c r="BE695">
        <v>2</v>
      </c>
      <c r="BF695">
        <v>2</v>
      </c>
      <c r="BG695">
        <v>2</v>
      </c>
      <c r="BH695">
        <v>2</v>
      </c>
      <c r="BI695">
        <v>0</v>
      </c>
      <c r="BJ695">
        <v>5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5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C695">
        <v>0</v>
      </c>
      <c r="DD695">
        <v>0</v>
      </c>
      <c r="DE695">
        <v>0</v>
      </c>
      <c r="DF695">
        <v>0</v>
      </c>
      <c r="DH695">
        <v>0</v>
      </c>
      <c r="DI695">
        <v>0</v>
      </c>
    </row>
    <row r="696" spans="1:113" ht="15" customHeight="1" x14ac:dyDescent="0.25">
      <c r="A696" t="s">
        <v>3877</v>
      </c>
      <c r="B696" t="s">
        <v>3878</v>
      </c>
      <c r="C696" t="s">
        <v>3879</v>
      </c>
      <c r="D696" t="s">
        <v>1158</v>
      </c>
      <c r="E696" t="s">
        <v>1158</v>
      </c>
      <c r="F696" t="s">
        <v>3880</v>
      </c>
      <c r="G696">
        <v>2025</v>
      </c>
      <c r="H696" t="s">
        <v>1160</v>
      </c>
      <c r="I696" t="s">
        <v>131</v>
      </c>
      <c r="J696">
        <v>16</v>
      </c>
      <c r="K696">
        <v>340</v>
      </c>
      <c r="L696">
        <v>512</v>
      </c>
      <c r="M696">
        <v>3727</v>
      </c>
      <c r="N696">
        <v>26</v>
      </c>
      <c r="O696">
        <v>13</v>
      </c>
      <c r="P696">
        <v>54</v>
      </c>
      <c r="Q696">
        <v>-301</v>
      </c>
      <c r="R696">
        <v>3</v>
      </c>
      <c r="S696">
        <v>1</v>
      </c>
      <c r="T696">
        <v>4011</v>
      </c>
      <c r="U696">
        <v>1657</v>
      </c>
      <c r="V696">
        <v>175</v>
      </c>
      <c r="W696">
        <v>16.114613501478502</v>
      </c>
      <c r="X696">
        <v>1.57492858195594</v>
      </c>
      <c r="Y696">
        <v>0</v>
      </c>
      <c r="Z696">
        <v>0.929194714535029</v>
      </c>
      <c r="AA696">
        <v>83</v>
      </c>
      <c r="AB696">
        <v>498</v>
      </c>
      <c r="AC696">
        <v>2</v>
      </c>
      <c r="AD696">
        <v>4</v>
      </c>
      <c r="AE696">
        <v>1</v>
      </c>
      <c r="AF696">
        <v>37</v>
      </c>
      <c r="AG696">
        <v>15.8963105870139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S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1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3</v>
      </c>
      <c r="BP696">
        <v>5</v>
      </c>
      <c r="BQ696">
        <v>0</v>
      </c>
      <c r="BR696">
        <v>0</v>
      </c>
      <c r="BS696">
        <v>0</v>
      </c>
      <c r="BT696">
        <v>2</v>
      </c>
      <c r="BU696">
        <v>20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C696">
        <v>0</v>
      </c>
      <c r="DD696">
        <v>0</v>
      </c>
      <c r="DE696">
        <v>0</v>
      </c>
      <c r="DF696">
        <v>0</v>
      </c>
      <c r="DH696">
        <v>286.88</v>
      </c>
      <c r="DI696">
        <v>286.88</v>
      </c>
    </row>
    <row r="697" spans="1:113" ht="15" customHeight="1" x14ac:dyDescent="0.25">
      <c r="A697" t="s">
        <v>3881</v>
      </c>
      <c r="B697" t="s">
        <v>3882</v>
      </c>
      <c r="C697" t="s">
        <v>3883</v>
      </c>
      <c r="D697" t="s">
        <v>1234</v>
      </c>
      <c r="E697" t="s">
        <v>1234</v>
      </c>
      <c r="F697" t="s">
        <v>3884</v>
      </c>
      <c r="G697">
        <v>2025</v>
      </c>
      <c r="H697" t="s">
        <v>1160</v>
      </c>
      <c r="I697" t="s">
        <v>96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Y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S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C697">
        <v>0</v>
      </c>
      <c r="DD697">
        <v>0</v>
      </c>
      <c r="DE697">
        <v>0</v>
      </c>
      <c r="DF697">
        <v>0</v>
      </c>
      <c r="DH697">
        <v>0</v>
      </c>
      <c r="DI697">
        <v>0</v>
      </c>
    </row>
    <row r="698" spans="1:113" ht="15" customHeight="1" x14ac:dyDescent="0.25">
      <c r="A698" t="s">
        <v>3885</v>
      </c>
      <c r="B698" t="s">
        <v>3886</v>
      </c>
      <c r="C698" t="s">
        <v>583</v>
      </c>
      <c r="D698" t="s">
        <v>10</v>
      </c>
      <c r="E698" t="s">
        <v>10</v>
      </c>
      <c r="F698" t="s">
        <v>3887</v>
      </c>
      <c r="G698">
        <v>2025</v>
      </c>
      <c r="H698" t="s">
        <v>1160</v>
      </c>
      <c r="I698" t="s">
        <v>112</v>
      </c>
      <c r="J698">
        <v>13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Y698">
        <v>0</v>
      </c>
      <c r="AA698">
        <v>1</v>
      </c>
      <c r="AB698">
        <v>2</v>
      </c>
      <c r="AC698">
        <v>0</v>
      </c>
      <c r="AD698">
        <v>0</v>
      </c>
      <c r="AE698">
        <v>0</v>
      </c>
      <c r="AF698">
        <v>0</v>
      </c>
      <c r="AG698">
        <v>-0.24785059934947601</v>
      </c>
      <c r="AH698">
        <v>0</v>
      </c>
      <c r="AI698">
        <v>75</v>
      </c>
      <c r="AJ698">
        <v>117</v>
      </c>
      <c r="AK698">
        <v>1077</v>
      </c>
      <c r="AL698">
        <v>3</v>
      </c>
      <c r="AM698">
        <v>0</v>
      </c>
      <c r="AN698">
        <v>0</v>
      </c>
      <c r="AO698">
        <v>1403</v>
      </c>
      <c r="AP698">
        <v>323</v>
      </c>
      <c r="AQ698">
        <v>43</v>
      </c>
      <c r="AR698">
        <v>28.990819384612799</v>
      </c>
      <c r="AS698">
        <v>0</v>
      </c>
      <c r="AT698">
        <v>0.76764076977904505</v>
      </c>
      <c r="AU698">
        <v>0.192751235584844</v>
      </c>
      <c r="AV698">
        <v>0.276780430065102</v>
      </c>
      <c r="AW698">
        <v>0.48287315442283602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3</v>
      </c>
      <c r="BU698">
        <v>20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C698">
        <v>0</v>
      </c>
      <c r="DD698">
        <v>0</v>
      </c>
      <c r="DE698">
        <v>0</v>
      </c>
      <c r="DF698">
        <v>0</v>
      </c>
      <c r="DH698">
        <v>125.9</v>
      </c>
      <c r="DI698">
        <v>200.9</v>
      </c>
    </row>
    <row r="699" spans="1:113" ht="15" customHeight="1" x14ac:dyDescent="0.25">
      <c r="A699" t="s">
        <v>3888</v>
      </c>
      <c r="B699" t="s">
        <v>3889</v>
      </c>
      <c r="C699" t="s">
        <v>3890</v>
      </c>
      <c r="D699" t="s">
        <v>1350</v>
      </c>
      <c r="E699" t="s">
        <v>1307</v>
      </c>
      <c r="F699" t="s">
        <v>3891</v>
      </c>
      <c r="G699">
        <v>2025</v>
      </c>
      <c r="H699" t="s">
        <v>1160</v>
      </c>
      <c r="I699" t="s">
        <v>121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Y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S699">
        <v>0</v>
      </c>
      <c r="AU699">
        <v>0</v>
      </c>
      <c r="AV699">
        <v>0</v>
      </c>
      <c r="AW699">
        <v>0</v>
      </c>
      <c r="AX699">
        <v>0</v>
      </c>
      <c r="AY699">
        <v>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C699">
        <v>0</v>
      </c>
      <c r="DD699">
        <v>0</v>
      </c>
      <c r="DE699">
        <v>0</v>
      </c>
      <c r="DF699">
        <v>0</v>
      </c>
      <c r="DH699">
        <v>0</v>
      </c>
      <c r="DI699">
        <v>0</v>
      </c>
    </row>
    <row r="700" spans="1:113" ht="15" customHeight="1" x14ac:dyDescent="0.25">
      <c r="A700" t="s">
        <v>3892</v>
      </c>
      <c r="B700" t="s">
        <v>3893</v>
      </c>
      <c r="C700" t="s">
        <v>3894</v>
      </c>
      <c r="D700" t="s">
        <v>431</v>
      </c>
      <c r="E700" t="s">
        <v>431</v>
      </c>
      <c r="F700" t="s">
        <v>3895</v>
      </c>
      <c r="G700">
        <v>2025</v>
      </c>
      <c r="H700" t="s">
        <v>1160</v>
      </c>
      <c r="I700" t="s">
        <v>123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Y700">
        <v>0</v>
      </c>
      <c r="AA700">
        <v>7</v>
      </c>
      <c r="AB700">
        <v>13</v>
      </c>
      <c r="AC700">
        <v>0</v>
      </c>
      <c r="AD700">
        <v>0</v>
      </c>
      <c r="AE700">
        <v>0</v>
      </c>
      <c r="AF700">
        <v>1</v>
      </c>
      <c r="AG700">
        <v>-2.66038654389558</v>
      </c>
      <c r="AH700">
        <v>0</v>
      </c>
      <c r="AI700">
        <v>2</v>
      </c>
      <c r="AJ700">
        <v>2</v>
      </c>
      <c r="AK700">
        <v>9</v>
      </c>
      <c r="AL700">
        <v>0</v>
      </c>
      <c r="AM700">
        <v>0</v>
      </c>
      <c r="AN700">
        <v>0</v>
      </c>
      <c r="AO700">
        <v>-4</v>
      </c>
      <c r="AP700">
        <v>13</v>
      </c>
      <c r="AQ700">
        <v>0</v>
      </c>
      <c r="AR700">
        <v>1.5574801142211101</v>
      </c>
      <c r="AS700">
        <v>0</v>
      </c>
      <c r="AT700">
        <v>-2.25</v>
      </c>
      <c r="AU700">
        <v>3.6429872495446301E-3</v>
      </c>
      <c r="AV700">
        <v>-8.8241782484006195E-4</v>
      </c>
      <c r="AW700">
        <v>4.8467883969288998E-3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C700">
        <v>0</v>
      </c>
      <c r="DD700">
        <v>0</v>
      </c>
      <c r="DE700">
        <v>0</v>
      </c>
      <c r="DF700">
        <v>0</v>
      </c>
      <c r="DH700">
        <v>2.2000000000000002</v>
      </c>
      <c r="DI700">
        <v>4.2</v>
      </c>
    </row>
    <row r="701" spans="1:113" ht="15" customHeight="1" x14ac:dyDescent="0.25">
      <c r="A701" t="s">
        <v>3896</v>
      </c>
      <c r="B701" t="s">
        <v>3897</v>
      </c>
      <c r="C701" t="s">
        <v>3898</v>
      </c>
      <c r="D701" t="s">
        <v>1350</v>
      </c>
      <c r="E701" t="s">
        <v>1307</v>
      </c>
      <c r="F701" t="s">
        <v>3899</v>
      </c>
      <c r="G701">
        <v>2025</v>
      </c>
      <c r="H701" t="s">
        <v>1160</v>
      </c>
      <c r="I701" t="s">
        <v>118</v>
      </c>
      <c r="J701">
        <v>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Y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S701">
        <v>0</v>
      </c>
      <c r="AU701">
        <v>0</v>
      </c>
      <c r="AV701">
        <v>0</v>
      </c>
      <c r="AW701">
        <v>0</v>
      </c>
      <c r="AX701">
        <v>0</v>
      </c>
      <c r="AY701">
        <v>20</v>
      </c>
      <c r="AZ701">
        <v>0</v>
      </c>
      <c r="BA701">
        <v>7</v>
      </c>
      <c r="BB701">
        <v>1</v>
      </c>
      <c r="BC701">
        <v>3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2</v>
      </c>
      <c r="BU701">
        <v>30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C701">
        <v>0</v>
      </c>
      <c r="DD701">
        <v>0</v>
      </c>
      <c r="DE701">
        <v>0</v>
      </c>
      <c r="DF701">
        <v>0</v>
      </c>
      <c r="DH701">
        <v>0</v>
      </c>
      <c r="DI701">
        <v>0</v>
      </c>
    </row>
    <row r="702" spans="1:113" ht="15" customHeight="1" x14ac:dyDescent="0.25">
      <c r="A702" t="s">
        <v>3900</v>
      </c>
      <c r="B702" t="s">
        <v>3901</v>
      </c>
      <c r="C702" t="s">
        <v>3902</v>
      </c>
      <c r="D702" t="s">
        <v>1234</v>
      </c>
      <c r="E702" t="s">
        <v>1234</v>
      </c>
      <c r="F702" t="s">
        <v>3903</v>
      </c>
      <c r="G702">
        <v>2025</v>
      </c>
      <c r="H702" t="s">
        <v>1160</v>
      </c>
      <c r="I702" t="s">
        <v>133</v>
      </c>
      <c r="J702">
        <v>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Y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S702">
        <v>0</v>
      </c>
      <c r="AU702">
        <v>0</v>
      </c>
      <c r="AV702">
        <v>0</v>
      </c>
      <c r="AW702">
        <v>0</v>
      </c>
      <c r="AX702">
        <v>0</v>
      </c>
      <c r="AY702">
        <v>10</v>
      </c>
      <c r="AZ702">
        <v>0</v>
      </c>
      <c r="BA702">
        <v>10</v>
      </c>
      <c r="BB702">
        <v>3</v>
      </c>
      <c r="BC702">
        <v>14</v>
      </c>
      <c r="BD702">
        <v>0</v>
      </c>
      <c r="BE702">
        <v>2</v>
      </c>
      <c r="BF702">
        <v>5</v>
      </c>
      <c r="BG702">
        <v>2</v>
      </c>
      <c r="BH702">
        <v>0</v>
      </c>
      <c r="BI702">
        <v>0</v>
      </c>
      <c r="BJ702">
        <v>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C702">
        <v>0</v>
      </c>
      <c r="DD702">
        <v>0</v>
      </c>
      <c r="DE702">
        <v>0</v>
      </c>
      <c r="DF702">
        <v>0</v>
      </c>
      <c r="DH702">
        <v>0</v>
      </c>
      <c r="DI702">
        <v>0</v>
      </c>
    </row>
    <row r="703" spans="1:113" ht="15" customHeight="1" x14ac:dyDescent="0.25">
      <c r="A703" t="s">
        <v>3904</v>
      </c>
      <c r="B703" t="s">
        <v>3905</v>
      </c>
      <c r="C703" t="s">
        <v>3906</v>
      </c>
      <c r="D703" t="s">
        <v>1243</v>
      </c>
      <c r="E703" t="s">
        <v>1190</v>
      </c>
      <c r="F703" t="s">
        <v>3907</v>
      </c>
      <c r="G703">
        <v>2025</v>
      </c>
      <c r="H703" t="s">
        <v>1160</v>
      </c>
      <c r="I703" t="s">
        <v>124</v>
      </c>
      <c r="J703">
        <v>15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Y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>
        <v>0</v>
      </c>
      <c r="AU703">
        <v>0</v>
      </c>
      <c r="AV703">
        <v>0</v>
      </c>
      <c r="AW703">
        <v>0</v>
      </c>
      <c r="AX703">
        <v>0</v>
      </c>
      <c r="AY703">
        <v>18</v>
      </c>
      <c r="AZ703">
        <v>0</v>
      </c>
      <c r="BA703">
        <v>20</v>
      </c>
      <c r="BB703">
        <v>4</v>
      </c>
      <c r="BC703">
        <v>20</v>
      </c>
      <c r="BD703">
        <v>0</v>
      </c>
      <c r="BE703">
        <v>3.5</v>
      </c>
      <c r="BF703">
        <v>20.5</v>
      </c>
      <c r="BG703">
        <v>6</v>
      </c>
      <c r="BH703">
        <v>0</v>
      </c>
      <c r="BI703">
        <v>0</v>
      </c>
      <c r="BJ703">
        <v>3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15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C703">
        <v>0</v>
      </c>
      <c r="DD703">
        <v>0</v>
      </c>
      <c r="DE703">
        <v>0</v>
      </c>
      <c r="DF703">
        <v>0</v>
      </c>
      <c r="DH703">
        <v>0</v>
      </c>
      <c r="DI703">
        <v>0</v>
      </c>
    </row>
    <row r="704" spans="1:113" ht="15" customHeight="1" x14ac:dyDescent="0.25">
      <c r="A704" t="s">
        <v>3908</v>
      </c>
      <c r="B704" t="s">
        <v>3909</v>
      </c>
      <c r="C704" t="s">
        <v>3910</v>
      </c>
      <c r="D704" t="s">
        <v>1297</v>
      </c>
      <c r="E704" t="s">
        <v>1220</v>
      </c>
      <c r="F704" t="s">
        <v>3911</v>
      </c>
      <c r="G704">
        <v>2025</v>
      </c>
      <c r="H704" t="s">
        <v>1160</v>
      </c>
      <c r="I704" t="s">
        <v>101</v>
      </c>
      <c r="J704">
        <v>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Y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S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11</v>
      </c>
      <c r="BU704">
        <v>106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C704">
        <v>0</v>
      </c>
      <c r="DD704">
        <v>0</v>
      </c>
      <c r="DE704">
        <v>0</v>
      </c>
      <c r="DF704">
        <v>0</v>
      </c>
      <c r="DH704">
        <v>0</v>
      </c>
      <c r="DI704">
        <v>0</v>
      </c>
    </row>
    <row r="705" spans="1:113" ht="15" customHeight="1" x14ac:dyDescent="0.25">
      <c r="A705" t="s">
        <v>3912</v>
      </c>
      <c r="B705" t="s">
        <v>3913</v>
      </c>
      <c r="C705" t="s">
        <v>3914</v>
      </c>
      <c r="D705" t="s">
        <v>1243</v>
      </c>
      <c r="E705" t="s">
        <v>1190</v>
      </c>
      <c r="F705" t="s">
        <v>3915</v>
      </c>
      <c r="G705">
        <v>2025</v>
      </c>
      <c r="H705" t="s">
        <v>1160</v>
      </c>
      <c r="I705" t="s">
        <v>121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Y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S705">
        <v>0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1</v>
      </c>
      <c r="BA705">
        <v>8</v>
      </c>
      <c r="BB705">
        <v>3</v>
      </c>
      <c r="BC705">
        <v>13</v>
      </c>
      <c r="BD705">
        <v>0</v>
      </c>
      <c r="BE705">
        <v>1</v>
      </c>
      <c r="BF705">
        <v>9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C705">
        <v>0</v>
      </c>
      <c r="DD705">
        <v>0</v>
      </c>
      <c r="DE705">
        <v>0</v>
      </c>
      <c r="DF705">
        <v>0</v>
      </c>
      <c r="DH705">
        <v>0</v>
      </c>
      <c r="DI705">
        <v>0</v>
      </c>
    </row>
    <row r="706" spans="1:113" ht="15" customHeight="1" x14ac:dyDescent="0.25">
      <c r="A706" t="s">
        <v>3916</v>
      </c>
      <c r="B706" t="s">
        <v>3917</v>
      </c>
      <c r="C706" t="s">
        <v>3918</v>
      </c>
      <c r="D706" t="s">
        <v>1350</v>
      </c>
      <c r="E706" t="s">
        <v>1307</v>
      </c>
      <c r="F706" t="s">
        <v>3919</v>
      </c>
      <c r="G706">
        <v>2025</v>
      </c>
      <c r="H706" t="s">
        <v>1160</v>
      </c>
      <c r="I706" t="s">
        <v>142</v>
      </c>
      <c r="J706">
        <v>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Y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S706">
        <v>0</v>
      </c>
      <c r="AU706">
        <v>0</v>
      </c>
      <c r="AV706">
        <v>0</v>
      </c>
      <c r="AW706">
        <v>0</v>
      </c>
      <c r="AX706">
        <v>0</v>
      </c>
      <c r="AY706">
        <v>17</v>
      </c>
      <c r="AZ706">
        <v>1</v>
      </c>
      <c r="BA706">
        <v>8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3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4</v>
      </c>
      <c r="BU706">
        <v>12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C706">
        <v>0</v>
      </c>
      <c r="DD706">
        <v>0</v>
      </c>
      <c r="DE706">
        <v>0</v>
      </c>
      <c r="DF706">
        <v>0</v>
      </c>
      <c r="DH706">
        <v>0</v>
      </c>
      <c r="DI706">
        <v>0</v>
      </c>
    </row>
    <row r="707" spans="1:113" ht="15" customHeight="1" x14ac:dyDescent="0.25">
      <c r="A707" t="s">
        <v>3920</v>
      </c>
      <c r="B707" t="s">
        <v>3921</v>
      </c>
      <c r="C707" t="s">
        <v>3922</v>
      </c>
      <c r="D707" t="s">
        <v>1350</v>
      </c>
      <c r="E707" t="s">
        <v>1307</v>
      </c>
      <c r="F707" t="s">
        <v>3923</v>
      </c>
      <c r="G707">
        <v>2025</v>
      </c>
      <c r="H707" t="s">
        <v>1160</v>
      </c>
      <c r="I707" t="s">
        <v>111</v>
      </c>
      <c r="J707">
        <v>17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Y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S707">
        <v>0</v>
      </c>
      <c r="AU707">
        <v>0</v>
      </c>
      <c r="AV707">
        <v>0</v>
      </c>
      <c r="AW707">
        <v>0</v>
      </c>
      <c r="AX707">
        <v>0</v>
      </c>
      <c r="AY707">
        <v>42</v>
      </c>
      <c r="AZ707">
        <v>1</v>
      </c>
      <c r="BA707">
        <v>9</v>
      </c>
      <c r="BB707">
        <v>2</v>
      </c>
      <c r="BC707">
        <v>2</v>
      </c>
      <c r="BD707">
        <v>2</v>
      </c>
      <c r="BE707">
        <v>0</v>
      </c>
      <c r="BF707">
        <v>0</v>
      </c>
      <c r="BG707">
        <v>0</v>
      </c>
      <c r="BH707">
        <v>1</v>
      </c>
      <c r="BI707">
        <v>2</v>
      </c>
      <c r="BJ707">
        <v>12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2</v>
      </c>
      <c r="BU707">
        <v>10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C707">
        <v>0</v>
      </c>
      <c r="DD707">
        <v>0</v>
      </c>
      <c r="DE707">
        <v>0</v>
      </c>
      <c r="DF707">
        <v>0</v>
      </c>
      <c r="DH707">
        <v>0</v>
      </c>
      <c r="DI707">
        <v>0</v>
      </c>
    </row>
    <row r="708" spans="1:113" ht="15" customHeight="1" x14ac:dyDescent="0.25">
      <c r="A708" t="s">
        <v>3924</v>
      </c>
      <c r="B708" t="s">
        <v>3925</v>
      </c>
      <c r="C708" t="s">
        <v>3926</v>
      </c>
      <c r="D708" t="s">
        <v>1655</v>
      </c>
      <c r="E708" t="s">
        <v>1220</v>
      </c>
      <c r="F708" t="s">
        <v>3927</v>
      </c>
      <c r="G708">
        <v>2025</v>
      </c>
      <c r="H708" t="s">
        <v>1160</v>
      </c>
      <c r="I708" t="s">
        <v>143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Y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S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2</v>
      </c>
      <c r="BU708">
        <v>20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C708">
        <v>0</v>
      </c>
      <c r="DD708">
        <v>0</v>
      </c>
      <c r="DE708">
        <v>0</v>
      </c>
      <c r="DF708">
        <v>0</v>
      </c>
      <c r="DH708">
        <v>0</v>
      </c>
      <c r="DI708">
        <v>0</v>
      </c>
    </row>
    <row r="709" spans="1:113" ht="15" customHeight="1" x14ac:dyDescent="0.25">
      <c r="A709" t="s">
        <v>3928</v>
      </c>
      <c r="B709" t="s">
        <v>3929</v>
      </c>
      <c r="C709" t="s">
        <v>3930</v>
      </c>
      <c r="D709" t="s">
        <v>1189</v>
      </c>
      <c r="E709" t="s">
        <v>1190</v>
      </c>
      <c r="F709" t="s">
        <v>3931</v>
      </c>
      <c r="G709">
        <v>2025</v>
      </c>
      <c r="H709" t="s">
        <v>1160</v>
      </c>
      <c r="I709" t="s">
        <v>123</v>
      </c>
      <c r="J709">
        <v>12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Y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S709">
        <v>0</v>
      </c>
      <c r="AU709">
        <v>0</v>
      </c>
      <c r="AV709">
        <v>0</v>
      </c>
      <c r="AW709">
        <v>0</v>
      </c>
      <c r="AX709">
        <v>0</v>
      </c>
      <c r="AY709">
        <v>7</v>
      </c>
      <c r="AZ709">
        <v>1</v>
      </c>
      <c r="BA709">
        <v>17</v>
      </c>
      <c r="BB709">
        <v>3</v>
      </c>
      <c r="BC709">
        <v>13</v>
      </c>
      <c r="BD709">
        <v>0</v>
      </c>
      <c r="BE709">
        <v>1</v>
      </c>
      <c r="BF709">
        <v>10</v>
      </c>
      <c r="BG709">
        <v>4</v>
      </c>
      <c r="BH709">
        <v>1</v>
      </c>
      <c r="BI709">
        <v>10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C709">
        <v>0</v>
      </c>
      <c r="DD709">
        <v>0</v>
      </c>
      <c r="DE709">
        <v>0</v>
      </c>
      <c r="DF709">
        <v>0</v>
      </c>
      <c r="DH709">
        <v>0</v>
      </c>
      <c r="DI709">
        <v>0</v>
      </c>
    </row>
    <row r="710" spans="1:113" ht="15" customHeight="1" x14ac:dyDescent="0.25">
      <c r="A710" t="s">
        <v>3932</v>
      </c>
      <c r="B710" t="s">
        <v>3933</v>
      </c>
      <c r="C710" t="s">
        <v>3934</v>
      </c>
      <c r="D710" t="s">
        <v>1684</v>
      </c>
      <c r="E710" t="s">
        <v>1307</v>
      </c>
      <c r="F710" t="s">
        <v>3935</v>
      </c>
      <c r="G710">
        <v>2025</v>
      </c>
      <c r="H710" t="s">
        <v>1160</v>
      </c>
      <c r="I710" t="s">
        <v>97</v>
      </c>
      <c r="J710">
        <v>17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Y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>
        <v>0</v>
      </c>
      <c r="AU710">
        <v>0</v>
      </c>
      <c r="AV710">
        <v>0</v>
      </c>
      <c r="AW710">
        <v>0</v>
      </c>
      <c r="AX710">
        <v>0</v>
      </c>
      <c r="AY710">
        <v>49</v>
      </c>
      <c r="AZ710">
        <v>1</v>
      </c>
      <c r="BA710">
        <v>40</v>
      </c>
      <c r="BB710">
        <v>1</v>
      </c>
      <c r="BC710">
        <v>1</v>
      </c>
      <c r="BD710">
        <v>1</v>
      </c>
      <c r="BE710">
        <v>0</v>
      </c>
      <c r="BF710">
        <v>0</v>
      </c>
      <c r="BG710">
        <v>1</v>
      </c>
      <c r="BH710">
        <v>0</v>
      </c>
      <c r="BI710">
        <v>84</v>
      </c>
      <c r="BJ710">
        <v>9</v>
      </c>
      <c r="BK710">
        <v>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2</v>
      </c>
      <c r="BR710">
        <v>2</v>
      </c>
      <c r="BS710">
        <v>0</v>
      </c>
      <c r="BT710">
        <v>3</v>
      </c>
      <c r="BU710">
        <v>32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C710">
        <v>0</v>
      </c>
      <c r="DD710">
        <v>0</v>
      </c>
      <c r="DE710">
        <v>0</v>
      </c>
      <c r="DF710">
        <v>0</v>
      </c>
      <c r="DH710">
        <v>0</v>
      </c>
      <c r="DI710">
        <v>0</v>
      </c>
    </row>
    <row r="711" spans="1:113" ht="15" customHeight="1" x14ac:dyDescent="0.25">
      <c r="A711" t="s">
        <v>3936</v>
      </c>
      <c r="B711" t="s">
        <v>3937</v>
      </c>
      <c r="C711" t="s">
        <v>3938</v>
      </c>
      <c r="D711" t="s">
        <v>1219</v>
      </c>
      <c r="E711" t="s">
        <v>1220</v>
      </c>
      <c r="F711" t="s">
        <v>3939</v>
      </c>
      <c r="G711">
        <v>2025</v>
      </c>
      <c r="H711" t="s">
        <v>1160</v>
      </c>
      <c r="I711" t="s">
        <v>139</v>
      </c>
      <c r="J711">
        <v>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Y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2</v>
      </c>
      <c r="BU711">
        <v>20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C711">
        <v>0</v>
      </c>
      <c r="DD711">
        <v>0</v>
      </c>
      <c r="DE711">
        <v>0</v>
      </c>
      <c r="DF711">
        <v>0</v>
      </c>
      <c r="DH711">
        <v>0</v>
      </c>
      <c r="DI711">
        <v>0</v>
      </c>
    </row>
    <row r="712" spans="1:113" ht="15" customHeight="1" x14ac:dyDescent="0.25">
      <c r="A712" t="s">
        <v>3940</v>
      </c>
      <c r="B712" t="s">
        <v>3941</v>
      </c>
      <c r="C712" t="s">
        <v>3942</v>
      </c>
      <c r="D712" t="s">
        <v>1684</v>
      </c>
      <c r="E712" t="s">
        <v>1307</v>
      </c>
      <c r="F712" t="s">
        <v>3943</v>
      </c>
      <c r="G712">
        <v>2025</v>
      </c>
      <c r="H712" t="s">
        <v>1160</v>
      </c>
      <c r="I712" t="s">
        <v>118</v>
      </c>
      <c r="J712">
        <v>16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Y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S712">
        <v>0</v>
      </c>
      <c r="AU712">
        <v>0</v>
      </c>
      <c r="AV712">
        <v>0</v>
      </c>
      <c r="AW712">
        <v>0</v>
      </c>
      <c r="AX712">
        <v>0</v>
      </c>
      <c r="AY712">
        <v>52</v>
      </c>
      <c r="AZ712">
        <v>2</v>
      </c>
      <c r="BA712">
        <v>53</v>
      </c>
      <c r="BB712">
        <v>0</v>
      </c>
      <c r="BC712">
        <v>0</v>
      </c>
      <c r="BD712">
        <v>1</v>
      </c>
      <c r="BE712">
        <v>1</v>
      </c>
      <c r="BF712">
        <v>0</v>
      </c>
      <c r="BG712">
        <v>2</v>
      </c>
      <c r="BH712">
        <v>2</v>
      </c>
      <c r="BI712">
        <v>0</v>
      </c>
      <c r="BJ712">
        <v>10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2</v>
      </c>
      <c r="BU712">
        <v>18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C712">
        <v>0</v>
      </c>
      <c r="DD712">
        <v>0</v>
      </c>
      <c r="DE712">
        <v>0</v>
      </c>
      <c r="DF712">
        <v>0</v>
      </c>
      <c r="DH712">
        <v>0</v>
      </c>
      <c r="DI712">
        <v>0</v>
      </c>
    </row>
    <row r="713" spans="1:113" ht="15" customHeight="1" x14ac:dyDescent="0.25">
      <c r="A713" t="s">
        <v>3944</v>
      </c>
      <c r="B713" t="s">
        <v>3945</v>
      </c>
      <c r="C713" t="s">
        <v>3946</v>
      </c>
      <c r="D713" t="s">
        <v>1158</v>
      </c>
      <c r="E713" t="s">
        <v>1158</v>
      </c>
      <c r="F713" t="s">
        <v>3947</v>
      </c>
      <c r="G713">
        <v>2025</v>
      </c>
      <c r="H713" t="s">
        <v>1160</v>
      </c>
      <c r="I713" t="s">
        <v>120</v>
      </c>
      <c r="J713">
        <v>16</v>
      </c>
      <c r="K713">
        <v>294</v>
      </c>
      <c r="L713">
        <v>454</v>
      </c>
      <c r="M713">
        <v>3224</v>
      </c>
      <c r="N713">
        <v>25</v>
      </c>
      <c r="O713">
        <v>6</v>
      </c>
      <c r="P713">
        <v>32</v>
      </c>
      <c r="Q713">
        <v>-181</v>
      </c>
      <c r="R713">
        <v>3</v>
      </c>
      <c r="S713">
        <v>1</v>
      </c>
      <c r="T713">
        <v>4072</v>
      </c>
      <c r="U713">
        <v>1265</v>
      </c>
      <c r="V713">
        <v>150</v>
      </c>
      <c r="W713">
        <v>34.3144432765787</v>
      </c>
      <c r="X713">
        <v>3.1833310875457101</v>
      </c>
      <c r="Y713">
        <v>0</v>
      </c>
      <c r="Z713">
        <v>0.79174852652259298</v>
      </c>
      <c r="AA713">
        <v>105</v>
      </c>
      <c r="AB713">
        <v>421</v>
      </c>
      <c r="AC713">
        <v>8</v>
      </c>
      <c r="AD713">
        <v>4</v>
      </c>
      <c r="AE713">
        <v>2</v>
      </c>
      <c r="AF713">
        <v>42</v>
      </c>
      <c r="AG713">
        <v>16.6811417014105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S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2</v>
      </c>
      <c r="BP713">
        <v>3</v>
      </c>
      <c r="BQ713">
        <v>1</v>
      </c>
      <c r="BR713">
        <v>1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C713">
        <v>0</v>
      </c>
      <c r="DD713">
        <v>0</v>
      </c>
      <c r="DE713">
        <v>0</v>
      </c>
      <c r="DF713">
        <v>0</v>
      </c>
      <c r="DH713">
        <v>301.06</v>
      </c>
      <c r="DI713">
        <v>301.06</v>
      </c>
    </row>
    <row r="714" spans="1:113" ht="15" customHeight="1" x14ac:dyDescent="0.25">
      <c r="A714" t="s">
        <v>3948</v>
      </c>
      <c r="B714" t="s">
        <v>3949</v>
      </c>
      <c r="C714" t="s">
        <v>3950</v>
      </c>
      <c r="D714" t="s">
        <v>1655</v>
      </c>
      <c r="E714" t="s">
        <v>1220</v>
      </c>
      <c r="F714" t="s">
        <v>3951</v>
      </c>
      <c r="G714">
        <v>2025</v>
      </c>
      <c r="H714" t="s">
        <v>1160</v>
      </c>
      <c r="I714" t="s">
        <v>142</v>
      </c>
      <c r="J714">
        <v>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Y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3</v>
      </c>
      <c r="BU714">
        <v>20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C714">
        <v>0</v>
      </c>
      <c r="DD714">
        <v>0</v>
      </c>
      <c r="DE714">
        <v>0</v>
      </c>
      <c r="DF714">
        <v>0</v>
      </c>
      <c r="DH714">
        <v>0</v>
      </c>
      <c r="DI714">
        <v>0</v>
      </c>
    </row>
    <row r="715" spans="1:113" ht="15" customHeight="1" x14ac:dyDescent="0.25">
      <c r="A715" t="s">
        <v>3952</v>
      </c>
      <c r="B715" t="s">
        <v>3953</v>
      </c>
      <c r="C715" t="s">
        <v>3954</v>
      </c>
      <c r="D715" t="s">
        <v>1219</v>
      </c>
      <c r="E715" t="s">
        <v>1220</v>
      </c>
      <c r="F715" t="s">
        <v>3955</v>
      </c>
      <c r="G715">
        <v>2025</v>
      </c>
      <c r="H715" t="s">
        <v>1160</v>
      </c>
      <c r="I715" t="s">
        <v>115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Y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3</v>
      </c>
      <c r="BU715">
        <v>25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C715">
        <v>0</v>
      </c>
      <c r="DD715">
        <v>0</v>
      </c>
      <c r="DE715">
        <v>0</v>
      </c>
      <c r="DF715">
        <v>0</v>
      </c>
      <c r="DH715">
        <v>0</v>
      </c>
      <c r="DI715">
        <v>0</v>
      </c>
    </row>
    <row r="716" spans="1:113" ht="15" customHeight="1" x14ac:dyDescent="0.25">
      <c r="A716" t="s">
        <v>3956</v>
      </c>
      <c r="B716" t="s">
        <v>3957</v>
      </c>
      <c r="C716" t="s">
        <v>3958</v>
      </c>
      <c r="D716" t="s">
        <v>1350</v>
      </c>
      <c r="E716" t="s">
        <v>1307</v>
      </c>
      <c r="F716" t="s">
        <v>3959</v>
      </c>
      <c r="G716">
        <v>2025</v>
      </c>
      <c r="H716" t="s">
        <v>1160</v>
      </c>
      <c r="I716" t="s">
        <v>89</v>
      </c>
      <c r="J716">
        <v>10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Y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>
        <v>0</v>
      </c>
      <c r="AU716">
        <v>0</v>
      </c>
      <c r="AV716">
        <v>0</v>
      </c>
      <c r="AW716">
        <v>0</v>
      </c>
      <c r="AX716">
        <v>0</v>
      </c>
      <c r="AY716">
        <v>13</v>
      </c>
      <c r="AZ716">
        <v>0</v>
      </c>
      <c r="BA716">
        <v>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2</v>
      </c>
      <c r="BU716">
        <v>32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C716">
        <v>0</v>
      </c>
      <c r="DD716">
        <v>0</v>
      </c>
      <c r="DE716">
        <v>0</v>
      </c>
      <c r="DF716">
        <v>0</v>
      </c>
      <c r="DH716">
        <v>0</v>
      </c>
      <c r="DI716">
        <v>0</v>
      </c>
    </row>
    <row r="717" spans="1:113" ht="15" customHeight="1" x14ac:dyDescent="0.25">
      <c r="A717" t="s">
        <v>3960</v>
      </c>
      <c r="B717" t="s">
        <v>3961</v>
      </c>
      <c r="C717" t="s">
        <v>3962</v>
      </c>
      <c r="D717" t="s">
        <v>1684</v>
      </c>
      <c r="E717" t="s">
        <v>1307</v>
      </c>
      <c r="F717" t="s">
        <v>3963</v>
      </c>
      <c r="G717">
        <v>2025</v>
      </c>
      <c r="H717" t="s">
        <v>1160</v>
      </c>
      <c r="I717" t="s">
        <v>121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Y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S717">
        <v>0</v>
      </c>
      <c r="AU717">
        <v>0</v>
      </c>
      <c r="AV717">
        <v>0</v>
      </c>
      <c r="AW717">
        <v>0</v>
      </c>
      <c r="AX717">
        <v>0</v>
      </c>
      <c r="AY717">
        <v>6</v>
      </c>
      <c r="AZ717">
        <v>1</v>
      </c>
      <c r="BA717">
        <v>2</v>
      </c>
      <c r="BB717">
        <v>2</v>
      </c>
      <c r="BC717">
        <v>6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2</v>
      </c>
      <c r="BU717">
        <v>40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C717">
        <v>0</v>
      </c>
      <c r="DD717">
        <v>0</v>
      </c>
      <c r="DE717">
        <v>0</v>
      </c>
      <c r="DF717">
        <v>0</v>
      </c>
      <c r="DH717">
        <v>0</v>
      </c>
      <c r="DI717">
        <v>0</v>
      </c>
    </row>
    <row r="718" spans="1:113" ht="15" customHeight="1" x14ac:dyDescent="0.25">
      <c r="A718" t="s">
        <v>3964</v>
      </c>
      <c r="B718" t="s">
        <v>3965</v>
      </c>
      <c r="C718" t="s">
        <v>3966</v>
      </c>
      <c r="D718" t="s">
        <v>1219</v>
      </c>
      <c r="E718" t="s">
        <v>1220</v>
      </c>
      <c r="F718" t="s">
        <v>3967</v>
      </c>
      <c r="G718">
        <v>2025</v>
      </c>
      <c r="H718" t="s">
        <v>1160</v>
      </c>
      <c r="I718" t="s">
        <v>126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Y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>
        <v>0</v>
      </c>
      <c r="AI718">
        <v>1</v>
      </c>
      <c r="AJ718">
        <v>1</v>
      </c>
      <c r="AK718">
        <v>2</v>
      </c>
      <c r="AL718">
        <v>1</v>
      </c>
      <c r="AM718">
        <v>0</v>
      </c>
      <c r="AN718">
        <v>0</v>
      </c>
      <c r="AO718">
        <v>1</v>
      </c>
      <c r="AP718">
        <v>1</v>
      </c>
      <c r="AQ718">
        <v>1</v>
      </c>
      <c r="AR718">
        <v>2.9882184629677799</v>
      </c>
      <c r="AS718">
        <v>0</v>
      </c>
      <c r="AT718">
        <v>2</v>
      </c>
      <c r="AU718">
        <v>1.8484288354898299E-3</v>
      </c>
      <c r="AV718">
        <v>2.2202486678507999E-4</v>
      </c>
      <c r="AW718">
        <v>2.9280606599843099E-3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4</v>
      </c>
      <c r="BU718">
        <v>30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C718">
        <v>0</v>
      </c>
      <c r="DD718">
        <v>0</v>
      </c>
      <c r="DE718">
        <v>0</v>
      </c>
      <c r="DF718">
        <v>0</v>
      </c>
      <c r="DH718">
        <v>6.2</v>
      </c>
      <c r="DI718">
        <v>7.2</v>
      </c>
    </row>
    <row r="719" spans="1:113" ht="15" customHeight="1" x14ac:dyDescent="0.25">
      <c r="A719" t="s">
        <v>3968</v>
      </c>
      <c r="B719" t="s">
        <v>3969</v>
      </c>
      <c r="C719" t="s">
        <v>562</v>
      </c>
      <c r="D719" t="s">
        <v>10</v>
      </c>
      <c r="E719" t="s">
        <v>10</v>
      </c>
      <c r="F719" t="s">
        <v>3970</v>
      </c>
      <c r="G719">
        <v>2025</v>
      </c>
      <c r="H719" t="s">
        <v>1160</v>
      </c>
      <c r="I719" t="s">
        <v>109</v>
      </c>
      <c r="J719">
        <v>17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Y719">
        <v>0</v>
      </c>
      <c r="AA719">
        <v>1</v>
      </c>
      <c r="AB719">
        <v>5</v>
      </c>
      <c r="AC719">
        <v>0</v>
      </c>
      <c r="AD719">
        <v>0</v>
      </c>
      <c r="AE719">
        <v>0</v>
      </c>
      <c r="AF719">
        <v>1</v>
      </c>
      <c r="AG719">
        <v>2.7333873165771401</v>
      </c>
      <c r="AH719">
        <v>0</v>
      </c>
      <c r="AI719">
        <v>50</v>
      </c>
      <c r="AJ719">
        <v>106</v>
      </c>
      <c r="AK719">
        <v>602</v>
      </c>
      <c r="AL719">
        <v>2</v>
      </c>
      <c r="AM719">
        <v>1</v>
      </c>
      <c r="AN719">
        <v>1</v>
      </c>
      <c r="AO719">
        <v>1288</v>
      </c>
      <c r="AP719">
        <v>166</v>
      </c>
      <c r="AQ719">
        <v>31</v>
      </c>
      <c r="AR719">
        <v>-32.305453498022601</v>
      </c>
      <c r="AS719">
        <v>0</v>
      </c>
      <c r="AT719">
        <v>0.467391304347826</v>
      </c>
      <c r="AU719">
        <v>0.20306513409961699</v>
      </c>
      <c r="AV719">
        <v>0.34029062087186301</v>
      </c>
      <c r="AW719">
        <v>0.54280113575972899</v>
      </c>
      <c r="AX719">
        <v>0</v>
      </c>
      <c r="AY719">
        <v>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2</v>
      </c>
      <c r="BU719">
        <v>20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C719">
        <v>0</v>
      </c>
      <c r="DD719">
        <v>0</v>
      </c>
      <c r="DE719">
        <v>0</v>
      </c>
      <c r="DF719">
        <v>0</v>
      </c>
      <c r="DH719">
        <v>70.7</v>
      </c>
      <c r="DI719">
        <v>120.7</v>
      </c>
    </row>
    <row r="720" spans="1:113" ht="15" customHeight="1" x14ac:dyDescent="0.25">
      <c r="A720" t="s">
        <v>3971</v>
      </c>
      <c r="B720" t="s">
        <v>3972</v>
      </c>
      <c r="C720" t="s">
        <v>3973</v>
      </c>
      <c r="D720" t="s">
        <v>1297</v>
      </c>
      <c r="E720" t="s">
        <v>1220</v>
      </c>
      <c r="F720" t="s">
        <v>3974</v>
      </c>
      <c r="G720">
        <v>2025</v>
      </c>
      <c r="H720" t="s">
        <v>1160</v>
      </c>
      <c r="I720" t="s">
        <v>138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Y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S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4</v>
      </c>
      <c r="BU720">
        <v>24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C720">
        <v>0</v>
      </c>
      <c r="DD720">
        <v>0</v>
      </c>
      <c r="DE720">
        <v>0</v>
      </c>
      <c r="DF720">
        <v>0</v>
      </c>
      <c r="DH720">
        <v>0</v>
      </c>
      <c r="DI720">
        <v>0</v>
      </c>
    </row>
    <row r="721" spans="1:113" ht="15" customHeight="1" x14ac:dyDescent="0.25">
      <c r="A721" t="s">
        <v>3975</v>
      </c>
      <c r="B721" t="s">
        <v>3976</v>
      </c>
      <c r="C721" t="s">
        <v>3977</v>
      </c>
      <c r="D721" t="s">
        <v>1234</v>
      </c>
      <c r="E721" t="s">
        <v>1234</v>
      </c>
      <c r="F721" t="s">
        <v>3978</v>
      </c>
      <c r="G721">
        <v>2025</v>
      </c>
      <c r="H721" t="s">
        <v>1160</v>
      </c>
      <c r="I721" t="s">
        <v>133</v>
      </c>
      <c r="J721">
        <v>17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Y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S721">
        <v>0</v>
      </c>
      <c r="AU721">
        <v>0</v>
      </c>
      <c r="AV721">
        <v>0</v>
      </c>
      <c r="AW721">
        <v>0</v>
      </c>
      <c r="AX721">
        <v>0</v>
      </c>
      <c r="AY721">
        <v>96</v>
      </c>
      <c r="AZ721">
        <v>3</v>
      </c>
      <c r="BA721">
        <v>84</v>
      </c>
      <c r="BB721">
        <v>13</v>
      </c>
      <c r="BC721">
        <v>43</v>
      </c>
      <c r="BD721">
        <v>1</v>
      </c>
      <c r="BE721">
        <v>3.5</v>
      </c>
      <c r="BF721">
        <v>25</v>
      </c>
      <c r="BG721">
        <v>4</v>
      </c>
      <c r="BH721">
        <v>0</v>
      </c>
      <c r="BI721">
        <v>0</v>
      </c>
      <c r="BJ721">
        <v>3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1</v>
      </c>
      <c r="BS721">
        <v>0</v>
      </c>
      <c r="BT721">
        <v>3</v>
      </c>
      <c r="BU721">
        <v>19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C721">
        <v>0</v>
      </c>
      <c r="DD721">
        <v>0</v>
      </c>
      <c r="DE721">
        <v>0</v>
      </c>
      <c r="DF721">
        <v>0</v>
      </c>
      <c r="DH721">
        <v>0</v>
      </c>
      <c r="DI721">
        <v>0</v>
      </c>
    </row>
    <row r="722" spans="1:113" ht="15" customHeight="1" x14ac:dyDescent="0.25">
      <c r="A722" t="s">
        <v>3979</v>
      </c>
      <c r="B722" t="s">
        <v>3980</v>
      </c>
      <c r="C722" t="s">
        <v>543</v>
      </c>
      <c r="D722" t="s">
        <v>10</v>
      </c>
      <c r="E722" t="s">
        <v>10</v>
      </c>
      <c r="F722" t="s">
        <v>3981</v>
      </c>
      <c r="G722">
        <v>2025</v>
      </c>
      <c r="H722" t="s">
        <v>1160</v>
      </c>
      <c r="I722" t="s">
        <v>107</v>
      </c>
      <c r="J722">
        <v>15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Y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H722">
        <v>0</v>
      </c>
      <c r="AI722">
        <v>59</v>
      </c>
      <c r="AJ722">
        <v>98</v>
      </c>
      <c r="AK722">
        <v>846</v>
      </c>
      <c r="AL722">
        <v>11</v>
      </c>
      <c r="AM722">
        <v>0</v>
      </c>
      <c r="AN722">
        <v>0</v>
      </c>
      <c r="AO722">
        <v>1314</v>
      </c>
      <c r="AP722">
        <v>166</v>
      </c>
      <c r="AQ722">
        <v>41</v>
      </c>
      <c r="AR722">
        <v>35.986866589898</v>
      </c>
      <c r="AS722">
        <v>1</v>
      </c>
      <c r="AT722">
        <v>0.64383561643835596</v>
      </c>
      <c r="AU722">
        <v>0.16118421052631601</v>
      </c>
      <c r="AV722">
        <v>0.27915869980879499</v>
      </c>
      <c r="AW722">
        <v>0.43718740565563002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C722">
        <v>0</v>
      </c>
      <c r="DD722">
        <v>0</v>
      </c>
      <c r="DE722">
        <v>0</v>
      </c>
      <c r="DF722">
        <v>0</v>
      </c>
      <c r="DH722">
        <v>152.6</v>
      </c>
      <c r="DI722">
        <v>211.6</v>
      </c>
    </row>
    <row r="723" spans="1:113" ht="15" customHeight="1" x14ac:dyDescent="0.25">
      <c r="A723" t="s">
        <v>3982</v>
      </c>
      <c r="B723" t="s">
        <v>3983</v>
      </c>
      <c r="C723" t="s">
        <v>3984</v>
      </c>
      <c r="D723" t="s">
        <v>1684</v>
      </c>
      <c r="E723" t="s">
        <v>1307</v>
      </c>
      <c r="F723" t="s">
        <v>3985</v>
      </c>
      <c r="G723">
        <v>2025</v>
      </c>
      <c r="H723" t="s">
        <v>1160</v>
      </c>
      <c r="I723" t="s">
        <v>126</v>
      </c>
      <c r="J723">
        <v>17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Y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S723">
        <v>0</v>
      </c>
      <c r="AU723">
        <v>0</v>
      </c>
      <c r="AV723">
        <v>0</v>
      </c>
      <c r="AW723">
        <v>0</v>
      </c>
      <c r="AX723">
        <v>0</v>
      </c>
      <c r="AY723">
        <v>53</v>
      </c>
      <c r="AZ723">
        <v>0</v>
      </c>
      <c r="BA723">
        <v>40</v>
      </c>
      <c r="BB723">
        <v>4</v>
      </c>
      <c r="BC723">
        <v>20</v>
      </c>
      <c r="BD723">
        <v>1</v>
      </c>
      <c r="BE723">
        <v>1</v>
      </c>
      <c r="BF723">
        <v>8</v>
      </c>
      <c r="BG723">
        <v>4</v>
      </c>
      <c r="BH723">
        <v>2</v>
      </c>
      <c r="BI723">
        <v>5</v>
      </c>
      <c r="BJ723">
        <v>8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C723">
        <v>0</v>
      </c>
      <c r="DD723">
        <v>0</v>
      </c>
      <c r="DE723">
        <v>0</v>
      </c>
      <c r="DF723">
        <v>0</v>
      </c>
      <c r="DH723">
        <v>0</v>
      </c>
      <c r="DI723">
        <v>0</v>
      </c>
    </row>
    <row r="724" spans="1:113" ht="15" customHeight="1" x14ac:dyDescent="0.25">
      <c r="A724" t="s">
        <v>3986</v>
      </c>
      <c r="B724" t="s">
        <v>3987</v>
      </c>
      <c r="C724" t="s">
        <v>3988</v>
      </c>
      <c r="D724" t="s">
        <v>1189</v>
      </c>
      <c r="E724" t="s">
        <v>1190</v>
      </c>
      <c r="F724" t="s">
        <v>3989</v>
      </c>
      <c r="G724">
        <v>2025</v>
      </c>
      <c r="H724" t="s">
        <v>1160</v>
      </c>
      <c r="I724" t="s">
        <v>121</v>
      </c>
      <c r="J724">
        <v>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Y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S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2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5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C724">
        <v>0</v>
      </c>
      <c r="DD724">
        <v>0</v>
      </c>
      <c r="DE724">
        <v>0</v>
      </c>
      <c r="DF724">
        <v>0</v>
      </c>
      <c r="DH724">
        <v>0</v>
      </c>
      <c r="DI724">
        <v>0</v>
      </c>
    </row>
    <row r="725" spans="1:113" ht="15" customHeight="1" x14ac:dyDescent="0.25">
      <c r="A725" t="s">
        <v>3990</v>
      </c>
      <c r="B725" t="s">
        <v>3991</v>
      </c>
      <c r="C725" t="s">
        <v>939</v>
      </c>
      <c r="D725" t="s">
        <v>431</v>
      </c>
      <c r="E725" t="s">
        <v>431</v>
      </c>
      <c r="F725" t="s">
        <v>3992</v>
      </c>
      <c r="G725">
        <v>2025</v>
      </c>
      <c r="H725" t="s">
        <v>1160</v>
      </c>
      <c r="I725" t="s">
        <v>140</v>
      </c>
      <c r="J725">
        <v>4</v>
      </c>
      <c r="K725">
        <v>1</v>
      </c>
      <c r="L725">
        <v>1</v>
      </c>
      <c r="M725">
        <v>32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15</v>
      </c>
      <c r="U725">
        <v>17</v>
      </c>
      <c r="V725">
        <v>1</v>
      </c>
      <c r="W725">
        <v>3.2600105608580598</v>
      </c>
      <c r="X725">
        <v>44.740182161331198</v>
      </c>
      <c r="Y725">
        <v>0</v>
      </c>
      <c r="Z725">
        <v>2.1333333333333302</v>
      </c>
      <c r="AA725">
        <v>5</v>
      </c>
      <c r="AB725">
        <v>19</v>
      </c>
      <c r="AC725">
        <v>0</v>
      </c>
      <c r="AD725">
        <v>0</v>
      </c>
      <c r="AE725">
        <v>0</v>
      </c>
      <c r="AF725">
        <v>1</v>
      </c>
      <c r="AG725">
        <v>-0.91470086405752205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-6</v>
      </c>
      <c r="AP725">
        <v>0</v>
      </c>
      <c r="AQ725">
        <v>0</v>
      </c>
      <c r="AR725">
        <v>-1.43015986331739</v>
      </c>
      <c r="AS725">
        <v>0</v>
      </c>
      <c r="AT725">
        <v>0</v>
      </c>
      <c r="AU725">
        <v>2.13675213675214E-3</v>
      </c>
      <c r="AV725">
        <v>-1.5970188980569599E-3</v>
      </c>
      <c r="AW725">
        <v>2.0872149764883299E-3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</v>
      </c>
      <c r="BU725">
        <v>5</v>
      </c>
      <c r="BV725">
        <v>0</v>
      </c>
      <c r="BW725">
        <v>0</v>
      </c>
      <c r="BX725">
        <v>2</v>
      </c>
      <c r="BY725">
        <v>54</v>
      </c>
      <c r="BZ725">
        <v>0</v>
      </c>
      <c r="CA725">
        <v>0</v>
      </c>
      <c r="CB725">
        <v>0</v>
      </c>
      <c r="CC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C725">
        <v>0</v>
      </c>
      <c r="DD725">
        <v>0</v>
      </c>
      <c r="DE725">
        <v>0</v>
      </c>
      <c r="DF725">
        <v>0</v>
      </c>
      <c r="DH725">
        <v>7.18</v>
      </c>
      <c r="DI725">
        <v>7.18</v>
      </c>
    </row>
    <row r="726" spans="1:113" ht="15" customHeight="1" x14ac:dyDescent="0.25">
      <c r="A726" t="s">
        <v>3993</v>
      </c>
      <c r="B726" t="s">
        <v>3994</v>
      </c>
      <c r="C726" t="s">
        <v>1030</v>
      </c>
      <c r="D726" t="s">
        <v>10</v>
      </c>
      <c r="E726" t="s">
        <v>10</v>
      </c>
      <c r="F726" t="s">
        <v>3995</v>
      </c>
      <c r="G726">
        <v>2025</v>
      </c>
      <c r="H726" t="s">
        <v>1160</v>
      </c>
      <c r="I726" t="s">
        <v>142</v>
      </c>
      <c r="J726">
        <v>14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Y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H726">
        <v>0</v>
      </c>
      <c r="AI726">
        <v>29</v>
      </c>
      <c r="AJ726">
        <v>52</v>
      </c>
      <c r="AK726">
        <v>350</v>
      </c>
      <c r="AL726">
        <v>1</v>
      </c>
      <c r="AM726">
        <v>0</v>
      </c>
      <c r="AN726">
        <v>0</v>
      </c>
      <c r="AO726">
        <v>623</v>
      </c>
      <c r="AP726">
        <v>83</v>
      </c>
      <c r="AQ726">
        <v>17</v>
      </c>
      <c r="AR726">
        <v>8.9384465412178198</v>
      </c>
      <c r="AS726">
        <v>0</v>
      </c>
      <c r="AT726">
        <v>0.56179775280898903</v>
      </c>
      <c r="AU726">
        <v>9.8113207547169803E-2</v>
      </c>
      <c r="AV726">
        <v>0.155206776283009</v>
      </c>
      <c r="AW726">
        <v>0.255814554718861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</v>
      </c>
      <c r="BU726">
        <v>5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C726">
        <v>0</v>
      </c>
      <c r="DD726">
        <v>0</v>
      </c>
      <c r="DE726">
        <v>0</v>
      </c>
      <c r="DF726">
        <v>0</v>
      </c>
      <c r="DH726">
        <v>41</v>
      </c>
      <c r="DI726">
        <v>70</v>
      </c>
    </row>
    <row r="727" spans="1:113" ht="15" customHeight="1" x14ac:dyDescent="0.25">
      <c r="A727" t="s">
        <v>3996</v>
      </c>
      <c r="B727" t="s">
        <v>3997</v>
      </c>
      <c r="C727" t="s">
        <v>3998</v>
      </c>
      <c r="D727" t="s">
        <v>1350</v>
      </c>
      <c r="E727" t="s">
        <v>1307</v>
      </c>
      <c r="F727" t="s">
        <v>3999</v>
      </c>
      <c r="G727">
        <v>2025</v>
      </c>
      <c r="H727" t="s">
        <v>1160</v>
      </c>
      <c r="I727" t="s">
        <v>123</v>
      </c>
      <c r="J727">
        <v>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Y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S727">
        <v>0</v>
      </c>
      <c r="AU727">
        <v>0</v>
      </c>
      <c r="AV727">
        <v>0</v>
      </c>
      <c r="AW727">
        <v>0</v>
      </c>
      <c r="AX727">
        <v>0</v>
      </c>
      <c r="AY727">
        <v>11</v>
      </c>
      <c r="AZ727">
        <v>1</v>
      </c>
      <c r="BA727">
        <v>4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6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5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C727">
        <v>0</v>
      </c>
      <c r="DD727">
        <v>0</v>
      </c>
      <c r="DE727">
        <v>0</v>
      </c>
      <c r="DF727">
        <v>0</v>
      </c>
      <c r="DH727">
        <v>0</v>
      </c>
      <c r="DI727">
        <v>0</v>
      </c>
    </row>
    <row r="728" spans="1:113" ht="15" customHeight="1" x14ac:dyDescent="0.25">
      <c r="A728" t="s">
        <v>4000</v>
      </c>
      <c r="B728" t="s">
        <v>4001</v>
      </c>
      <c r="C728" t="s">
        <v>4002</v>
      </c>
      <c r="D728" t="s">
        <v>1297</v>
      </c>
      <c r="E728" t="s">
        <v>1220</v>
      </c>
      <c r="F728" t="s">
        <v>4003</v>
      </c>
      <c r="G728">
        <v>2025</v>
      </c>
      <c r="H728" t="s">
        <v>1160</v>
      </c>
      <c r="I728" t="s">
        <v>96</v>
      </c>
      <c r="J728">
        <v>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Y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1</v>
      </c>
      <c r="BS728">
        <v>0</v>
      </c>
      <c r="BT728">
        <v>5</v>
      </c>
      <c r="BU728">
        <v>40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C728">
        <v>0</v>
      </c>
      <c r="DD728">
        <v>0</v>
      </c>
      <c r="DE728">
        <v>0</v>
      </c>
      <c r="DF728">
        <v>0</v>
      </c>
      <c r="DH728">
        <v>0</v>
      </c>
      <c r="DI728">
        <v>0</v>
      </c>
    </row>
    <row r="729" spans="1:113" ht="15" customHeight="1" x14ac:dyDescent="0.25">
      <c r="A729" t="s">
        <v>4004</v>
      </c>
      <c r="B729" t="s">
        <v>4005</v>
      </c>
      <c r="C729" t="s">
        <v>4006</v>
      </c>
      <c r="D729" t="s">
        <v>1234</v>
      </c>
      <c r="E729" t="s">
        <v>1234</v>
      </c>
      <c r="F729" t="s">
        <v>4007</v>
      </c>
      <c r="G729">
        <v>2025</v>
      </c>
      <c r="H729" t="s">
        <v>1160</v>
      </c>
      <c r="I729" t="s">
        <v>120</v>
      </c>
      <c r="J729">
        <v>16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Y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>
        <v>0</v>
      </c>
      <c r="AU729">
        <v>0</v>
      </c>
      <c r="AV729">
        <v>0</v>
      </c>
      <c r="AW729">
        <v>0</v>
      </c>
      <c r="AX729">
        <v>0</v>
      </c>
      <c r="AY729">
        <v>63</v>
      </c>
      <c r="AZ729">
        <v>1</v>
      </c>
      <c r="BA729">
        <v>59</v>
      </c>
      <c r="BB729">
        <v>7</v>
      </c>
      <c r="BC729">
        <v>16</v>
      </c>
      <c r="BD729">
        <v>1</v>
      </c>
      <c r="BE729">
        <v>3.5</v>
      </c>
      <c r="BF729">
        <v>14.5</v>
      </c>
      <c r="BG729">
        <v>5</v>
      </c>
      <c r="BH729">
        <v>2</v>
      </c>
      <c r="BI729">
        <v>0</v>
      </c>
      <c r="BJ729">
        <v>7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</v>
      </c>
      <c r="BR729">
        <v>1</v>
      </c>
      <c r="BS729">
        <v>0</v>
      </c>
      <c r="BT729">
        <v>1</v>
      </c>
      <c r="BU729">
        <v>14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C729">
        <v>0</v>
      </c>
      <c r="DD729">
        <v>0</v>
      </c>
      <c r="DE729">
        <v>0</v>
      </c>
      <c r="DF729">
        <v>0</v>
      </c>
      <c r="DH729">
        <v>0</v>
      </c>
      <c r="DI729">
        <v>0</v>
      </c>
    </row>
    <row r="730" spans="1:113" ht="15" customHeight="1" x14ac:dyDescent="0.25">
      <c r="A730" t="s">
        <v>4008</v>
      </c>
      <c r="B730" t="s">
        <v>4009</v>
      </c>
      <c r="C730" t="s">
        <v>4010</v>
      </c>
      <c r="D730" t="s">
        <v>1684</v>
      </c>
      <c r="E730" t="s">
        <v>1307</v>
      </c>
      <c r="F730" t="s">
        <v>4011</v>
      </c>
      <c r="G730">
        <v>2025</v>
      </c>
      <c r="H730" t="s">
        <v>1160</v>
      </c>
      <c r="I730" t="s">
        <v>138</v>
      </c>
      <c r="J730">
        <v>11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Y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S730">
        <v>0</v>
      </c>
      <c r="AU730">
        <v>0</v>
      </c>
      <c r="AV730">
        <v>0</v>
      </c>
      <c r="AW730">
        <v>0</v>
      </c>
      <c r="AX730">
        <v>0</v>
      </c>
      <c r="AY730">
        <v>10</v>
      </c>
      <c r="AZ730">
        <v>0</v>
      </c>
      <c r="BA730">
        <v>12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3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10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C730">
        <v>0</v>
      </c>
      <c r="DD730">
        <v>0</v>
      </c>
      <c r="DE730">
        <v>0</v>
      </c>
      <c r="DF730">
        <v>0</v>
      </c>
      <c r="DH730">
        <v>0</v>
      </c>
      <c r="DI730">
        <v>0</v>
      </c>
    </row>
    <row r="731" spans="1:113" ht="15" customHeight="1" x14ac:dyDescent="0.25">
      <c r="A731" t="s">
        <v>4012</v>
      </c>
      <c r="B731" t="s">
        <v>4013</v>
      </c>
      <c r="C731" t="s">
        <v>607</v>
      </c>
      <c r="D731" t="s">
        <v>439</v>
      </c>
      <c r="E731" t="s">
        <v>439</v>
      </c>
      <c r="F731" t="s">
        <v>4014</v>
      </c>
      <c r="G731">
        <v>2025</v>
      </c>
      <c r="H731" t="s">
        <v>1160</v>
      </c>
      <c r="I731" t="s">
        <v>115</v>
      </c>
      <c r="J731">
        <v>13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Y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H731">
        <v>0</v>
      </c>
      <c r="AI731">
        <v>20</v>
      </c>
      <c r="AJ731">
        <v>23</v>
      </c>
      <c r="AK731">
        <v>195</v>
      </c>
      <c r="AL731">
        <v>1</v>
      </c>
      <c r="AM731">
        <v>0</v>
      </c>
      <c r="AN731">
        <v>0</v>
      </c>
      <c r="AO731">
        <v>106</v>
      </c>
      <c r="AP731">
        <v>104</v>
      </c>
      <c r="AQ731">
        <v>11</v>
      </c>
      <c r="AR731">
        <v>10.7914902587654</v>
      </c>
      <c r="AS731">
        <v>0</v>
      </c>
      <c r="AT731">
        <v>1.8396226415094299</v>
      </c>
      <c r="AU731">
        <v>3.93835616438356E-2</v>
      </c>
      <c r="AV731">
        <v>2.36185383244207E-2</v>
      </c>
      <c r="AW731">
        <v>7.5608319292847906E-2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5</v>
      </c>
      <c r="BU731">
        <v>50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C731">
        <v>0</v>
      </c>
      <c r="DD731">
        <v>0</v>
      </c>
      <c r="DE731">
        <v>0</v>
      </c>
      <c r="DF731">
        <v>0</v>
      </c>
      <c r="DH731">
        <v>25.5</v>
      </c>
      <c r="DI731">
        <v>45.5</v>
      </c>
    </row>
    <row r="732" spans="1:113" ht="15" customHeight="1" x14ac:dyDescent="0.25">
      <c r="A732" t="s">
        <v>4015</v>
      </c>
      <c r="B732" t="s">
        <v>4016</v>
      </c>
      <c r="C732" t="s">
        <v>4017</v>
      </c>
      <c r="D732" t="s">
        <v>439</v>
      </c>
      <c r="E732" t="s">
        <v>439</v>
      </c>
      <c r="F732" t="s">
        <v>4018</v>
      </c>
      <c r="G732">
        <v>2025</v>
      </c>
      <c r="H732" t="s">
        <v>1160</v>
      </c>
      <c r="I732" t="s">
        <v>89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Y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H732">
        <v>0</v>
      </c>
      <c r="AI732">
        <v>5</v>
      </c>
      <c r="AJ732">
        <v>6</v>
      </c>
      <c r="AK732">
        <v>36</v>
      </c>
      <c r="AL732">
        <v>0</v>
      </c>
      <c r="AM732">
        <v>0</v>
      </c>
      <c r="AN732">
        <v>0</v>
      </c>
      <c r="AO732">
        <v>18</v>
      </c>
      <c r="AP732">
        <v>34</v>
      </c>
      <c r="AQ732">
        <v>2</v>
      </c>
      <c r="AR732">
        <v>1.61650970258052</v>
      </c>
      <c r="AS732">
        <v>0</v>
      </c>
      <c r="AT732">
        <v>2</v>
      </c>
      <c r="AU732">
        <v>1.21457489878543E-2</v>
      </c>
      <c r="AV732">
        <v>5.6109725685785502E-3</v>
      </c>
      <c r="AW732">
        <v>2.2146304279786401E-2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C732">
        <v>0</v>
      </c>
      <c r="DD732">
        <v>0</v>
      </c>
      <c r="DE732">
        <v>0</v>
      </c>
      <c r="DF732">
        <v>0</v>
      </c>
      <c r="DH732">
        <v>3.6</v>
      </c>
      <c r="DI732">
        <v>8.6</v>
      </c>
    </row>
    <row r="733" spans="1:113" ht="15" customHeight="1" x14ac:dyDescent="0.25">
      <c r="A733" t="s">
        <v>4019</v>
      </c>
      <c r="B733" t="s">
        <v>4020</v>
      </c>
      <c r="C733" t="s">
        <v>691</v>
      </c>
      <c r="D733" t="s">
        <v>431</v>
      </c>
      <c r="E733" t="s">
        <v>431</v>
      </c>
      <c r="F733" t="s">
        <v>4021</v>
      </c>
      <c r="G733">
        <v>2025</v>
      </c>
      <c r="H733" t="s">
        <v>1160</v>
      </c>
      <c r="I733" t="s">
        <v>106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Y733">
        <v>0</v>
      </c>
      <c r="AA733">
        <v>3</v>
      </c>
      <c r="AB733">
        <v>21</v>
      </c>
      <c r="AC733">
        <v>0</v>
      </c>
      <c r="AD733">
        <v>0</v>
      </c>
      <c r="AE733">
        <v>0</v>
      </c>
      <c r="AF733">
        <v>1</v>
      </c>
      <c r="AG733">
        <v>-0.557414979932224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-1</v>
      </c>
      <c r="AP733">
        <v>0</v>
      </c>
      <c r="AQ733">
        <v>0</v>
      </c>
      <c r="AR733">
        <v>-0.54930461326148405</v>
      </c>
      <c r="AS733">
        <v>0</v>
      </c>
      <c r="AT733">
        <v>0</v>
      </c>
      <c r="AU733">
        <v>2.0833333333333298E-3</v>
      </c>
      <c r="AV733">
        <v>-2.89855072463768E-4</v>
      </c>
      <c r="AW733">
        <v>2.9221014492753598E-3</v>
      </c>
      <c r="AX733">
        <v>0</v>
      </c>
      <c r="AY733">
        <v>2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12</v>
      </c>
      <c r="BY733">
        <v>321</v>
      </c>
      <c r="BZ733">
        <v>0</v>
      </c>
      <c r="CA733">
        <v>0</v>
      </c>
      <c r="CB733">
        <v>0</v>
      </c>
      <c r="CC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C733">
        <v>0</v>
      </c>
      <c r="DD733">
        <v>0</v>
      </c>
      <c r="DE733">
        <v>0</v>
      </c>
      <c r="DF733">
        <v>0</v>
      </c>
      <c r="DH733">
        <v>2.1</v>
      </c>
      <c r="DI733">
        <v>2.1</v>
      </c>
    </row>
    <row r="734" spans="1:113" ht="15" customHeight="1" x14ac:dyDescent="0.25">
      <c r="A734" t="s">
        <v>4022</v>
      </c>
      <c r="B734" t="s">
        <v>4023</v>
      </c>
      <c r="C734" t="s">
        <v>887</v>
      </c>
      <c r="D734" t="s">
        <v>10</v>
      </c>
      <c r="E734" t="s">
        <v>10</v>
      </c>
      <c r="F734" t="s">
        <v>4024</v>
      </c>
      <c r="G734">
        <v>2025</v>
      </c>
      <c r="H734" t="s">
        <v>1160</v>
      </c>
      <c r="I734" t="s">
        <v>101</v>
      </c>
      <c r="J734">
        <v>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Y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H734">
        <v>0</v>
      </c>
      <c r="AI734">
        <v>12</v>
      </c>
      <c r="AJ734">
        <v>18</v>
      </c>
      <c r="AK734">
        <v>197</v>
      </c>
      <c r="AL734">
        <v>1</v>
      </c>
      <c r="AM734">
        <v>0</v>
      </c>
      <c r="AN734">
        <v>0</v>
      </c>
      <c r="AO734">
        <v>210</v>
      </c>
      <c r="AP734">
        <v>64</v>
      </c>
      <c r="AQ734">
        <v>8</v>
      </c>
      <c r="AR734">
        <v>10.5790775002299</v>
      </c>
      <c r="AS734">
        <v>0</v>
      </c>
      <c r="AT734">
        <v>0.93809523809523798</v>
      </c>
      <c r="AU734">
        <v>3.8135593220338999E-2</v>
      </c>
      <c r="AV734">
        <v>6.1692126909518197E-2</v>
      </c>
      <c r="AW734">
        <v>0.100387878667171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</v>
      </c>
      <c r="BU734">
        <v>5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C734">
        <v>0</v>
      </c>
      <c r="DD734">
        <v>0</v>
      </c>
      <c r="DE734">
        <v>0</v>
      </c>
      <c r="DF734">
        <v>0</v>
      </c>
      <c r="DH734">
        <v>25.7</v>
      </c>
      <c r="DI734">
        <v>37.700000000000003</v>
      </c>
    </row>
    <row r="735" spans="1:113" ht="15" customHeight="1" x14ac:dyDescent="0.25">
      <c r="A735" t="s">
        <v>4025</v>
      </c>
      <c r="B735" t="s">
        <v>4026</v>
      </c>
      <c r="C735" t="s">
        <v>4027</v>
      </c>
      <c r="D735" t="s">
        <v>1234</v>
      </c>
      <c r="E735" t="s">
        <v>1234</v>
      </c>
      <c r="F735" t="s">
        <v>4028</v>
      </c>
      <c r="G735">
        <v>2025</v>
      </c>
      <c r="H735" t="s">
        <v>1160</v>
      </c>
      <c r="I735" t="s">
        <v>115</v>
      </c>
      <c r="J735">
        <v>13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Y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S735">
        <v>0</v>
      </c>
      <c r="AU735">
        <v>0</v>
      </c>
      <c r="AV735">
        <v>0</v>
      </c>
      <c r="AW735">
        <v>0</v>
      </c>
      <c r="AX735">
        <v>0</v>
      </c>
      <c r="AY735">
        <v>21</v>
      </c>
      <c r="AZ735">
        <v>2</v>
      </c>
      <c r="BA735">
        <v>35</v>
      </c>
      <c r="BB735">
        <v>5</v>
      </c>
      <c r="BC735">
        <v>28</v>
      </c>
      <c r="BD735">
        <v>0</v>
      </c>
      <c r="BE735">
        <v>4.5</v>
      </c>
      <c r="BF735">
        <v>30</v>
      </c>
      <c r="BG735">
        <v>8</v>
      </c>
      <c r="BH735">
        <v>1</v>
      </c>
      <c r="BI735">
        <v>21</v>
      </c>
      <c r="BJ735">
        <v>3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C735">
        <v>0</v>
      </c>
      <c r="DD735">
        <v>0</v>
      </c>
      <c r="DE735">
        <v>0</v>
      </c>
      <c r="DF735">
        <v>0</v>
      </c>
      <c r="DH735">
        <v>0</v>
      </c>
      <c r="DI735">
        <v>0</v>
      </c>
    </row>
    <row r="736" spans="1:113" ht="15" customHeight="1" x14ac:dyDescent="0.25">
      <c r="A736" t="s">
        <v>4029</v>
      </c>
      <c r="B736" t="s">
        <v>4030</v>
      </c>
      <c r="C736" t="s">
        <v>469</v>
      </c>
      <c r="D736" t="s">
        <v>439</v>
      </c>
      <c r="E736" t="s">
        <v>439</v>
      </c>
      <c r="F736" t="s">
        <v>4031</v>
      </c>
      <c r="G736">
        <v>2025</v>
      </c>
      <c r="H736" t="s">
        <v>1160</v>
      </c>
      <c r="I736" t="s">
        <v>93</v>
      </c>
      <c r="J736">
        <v>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Y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H736">
        <v>0</v>
      </c>
      <c r="AI736">
        <v>8</v>
      </c>
      <c r="AJ736">
        <v>9</v>
      </c>
      <c r="AK736">
        <v>48</v>
      </c>
      <c r="AL736">
        <v>0</v>
      </c>
      <c r="AM736">
        <v>0</v>
      </c>
      <c r="AN736">
        <v>0</v>
      </c>
      <c r="AO736">
        <v>12</v>
      </c>
      <c r="AP736">
        <v>35</v>
      </c>
      <c r="AQ736">
        <v>2</v>
      </c>
      <c r="AR736">
        <v>-0.20220594777492801</v>
      </c>
      <c r="AS736">
        <v>0</v>
      </c>
      <c r="AT736">
        <v>4</v>
      </c>
      <c r="AU736">
        <v>1.7341040462427699E-2</v>
      </c>
      <c r="AV736">
        <v>2.8776978417266201E-3</v>
      </c>
      <c r="AW736">
        <v>2.8025949182850299E-2</v>
      </c>
      <c r="AX736">
        <v>0</v>
      </c>
      <c r="AY736">
        <v>1</v>
      </c>
      <c r="AZ736">
        <v>0</v>
      </c>
      <c r="BA736">
        <v>2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C736">
        <v>0</v>
      </c>
      <c r="DD736">
        <v>0</v>
      </c>
      <c r="DE736">
        <v>0</v>
      </c>
      <c r="DF736">
        <v>0</v>
      </c>
      <c r="DH736">
        <v>4.8</v>
      </c>
      <c r="DI736">
        <v>12.8</v>
      </c>
    </row>
    <row r="737" spans="1:113" ht="15" customHeight="1" x14ac:dyDescent="0.25">
      <c r="A737" t="s">
        <v>4032</v>
      </c>
      <c r="B737" t="s">
        <v>4033</v>
      </c>
      <c r="C737" t="s">
        <v>4034</v>
      </c>
      <c r="D737" t="s">
        <v>1684</v>
      </c>
      <c r="E737" t="s">
        <v>1307</v>
      </c>
      <c r="F737" t="s">
        <v>4035</v>
      </c>
      <c r="G737">
        <v>2025</v>
      </c>
      <c r="H737" t="s">
        <v>1160</v>
      </c>
      <c r="I737" t="s">
        <v>93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Y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S737">
        <v>0</v>
      </c>
      <c r="AU737">
        <v>0</v>
      </c>
      <c r="AV737">
        <v>0</v>
      </c>
      <c r="AW737">
        <v>0</v>
      </c>
      <c r="AX737">
        <v>0</v>
      </c>
      <c r="AY737">
        <v>2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C737">
        <v>0</v>
      </c>
      <c r="DD737">
        <v>0</v>
      </c>
      <c r="DE737">
        <v>0</v>
      </c>
      <c r="DF737">
        <v>0</v>
      </c>
      <c r="DH737">
        <v>0</v>
      </c>
      <c r="DI737">
        <v>0</v>
      </c>
    </row>
    <row r="738" spans="1:113" ht="15" customHeight="1" x14ac:dyDescent="0.25">
      <c r="A738" t="s">
        <v>4036</v>
      </c>
      <c r="B738" t="s">
        <v>3009</v>
      </c>
      <c r="C738" t="s">
        <v>4037</v>
      </c>
      <c r="D738" t="s">
        <v>1234</v>
      </c>
      <c r="E738" t="s">
        <v>1234</v>
      </c>
      <c r="F738" t="s">
        <v>4038</v>
      </c>
      <c r="G738">
        <v>2025</v>
      </c>
      <c r="H738" t="s">
        <v>1160</v>
      </c>
      <c r="I738" t="s">
        <v>112</v>
      </c>
      <c r="J738">
        <v>17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Y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S738">
        <v>0</v>
      </c>
      <c r="AU738">
        <v>0</v>
      </c>
      <c r="AV738">
        <v>0</v>
      </c>
      <c r="AW738">
        <v>0</v>
      </c>
      <c r="AX738">
        <v>0</v>
      </c>
      <c r="AY738">
        <v>38</v>
      </c>
      <c r="AZ738">
        <v>0</v>
      </c>
      <c r="BA738">
        <v>43</v>
      </c>
      <c r="BB738">
        <v>4</v>
      </c>
      <c r="BC738">
        <v>9</v>
      </c>
      <c r="BD738">
        <v>0</v>
      </c>
      <c r="BE738">
        <v>1</v>
      </c>
      <c r="BF738">
        <v>1</v>
      </c>
      <c r="BG738">
        <v>3</v>
      </c>
      <c r="BH738">
        <v>0</v>
      </c>
      <c r="BI738">
        <v>0</v>
      </c>
      <c r="BJ738">
        <v>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1</v>
      </c>
      <c r="BS738">
        <v>0</v>
      </c>
      <c r="BT738">
        <v>2</v>
      </c>
      <c r="BU738">
        <v>20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C738">
        <v>0</v>
      </c>
      <c r="DD738">
        <v>0</v>
      </c>
      <c r="DE738">
        <v>0</v>
      </c>
      <c r="DF738">
        <v>0</v>
      </c>
      <c r="DH738">
        <v>0</v>
      </c>
      <c r="DI738">
        <v>0</v>
      </c>
    </row>
    <row r="739" spans="1:113" ht="15" customHeight="1" x14ac:dyDescent="0.25">
      <c r="A739" t="s">
        <v>4039</v>
      </c>
      <c r="B739" t="s">
        <v>4040</v>
      </c>
      <c r="C739" t="s">
        <v>4041</v>
      </c>
      <c r="D739" t="s">
        <v>1158</v>
      </c>
      <c r="E739" t="s">
        <v>1158</v>
      </c>
      <c r="F739" t="s">
        <v>4042</v>
      </c>
      <c r="G739">
        <v>2025</v>
      </c>
      <c r="H739" t="s">
        <v>1160</v>
      </c>
      <c r="I739" t="s">
        <v>107</v>
      </c>
      <c r="J739">
        <v>8</v>
      </c>
      <c r="K739">
        <v>173</v>
      </c>
      <c r="L739">
        <v>259</v>
      </c>
      <c r="M739">
        <v>1809</v>
      </c>
      <c r="N739">
        <v>17</v>
      </c>
      <c r="O739">
        <v>5</v>
      </c>
      <c r="P739">
        <v>17</v>
      </c>
      <c r="Q739">
        <v>-113</v>
      </c>
      <c r="R739">
        <v>0</v>
      </c>
      <c r="S739">
        <v>0</v>
      </c>
      <c r="T739">
        <v>1868</v>
      </c>
      <c r="U739">
        <v>824</v>
      </c>
      <c r="V739">
        <v>100</v>
      </c>
      <c r="W739">
        <v>36.6070933425231</v>
      </c>
      <c r="X739">
        <v>4.65429821201871</v>
      </c>
      <c r="Y739">
        <v>0</v>
      </c>
      <c r="Z739">
        <v>0.96841541755888705</v>
      </c>
      <c r="AA739">
        <v>14</v>
      </c>
      <c r="AB739">
        <v>41</v>
      </c>
      <c r="AC739">
        <v>0</v>
      </c>
      <c r="AD739">
        <v>0</v>
      </c>
      <c r="AE739">
        <v>0</v>
      </c>
      <c r="AF739">
        <v>5</v>
      </c>
      <c r="AG739">
        <v>3.5651939742383498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S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C739">
        <v>0</v>
      </c>
      <c r="DD739">
        <v>0</v>
      </c>
      <c r="DE739">
        <v>0</v>
      </c>
      <c r="DF739">
        <v>0</v>
      </c>
      <c r="DH739">
        <v>134.46</v>
      </c>
      <c r="DI739">
        <v>134.46</v>
      </c>
    </row>
    <row r="740" spans="1:113" ht="15" customHeight="1" x14ac:dyDescent="0.25">
      <c r="A740" t="s">
        <v>4043</v>
      </c>
      <c r="B740" t="s">
        <v>4044</v>
      </c>
      <c r="C740" t="s">
        <v>4045</v>
      </c>
      <c r="D740" t="s">
        <v>1214</v>
      </c>
      <c r="E740" t="s">
        <v>1169</v>
      </c>
      <c r="F740" t="s">
        <v>4046</v>
      </c>
      <c r="G740">
        <v>2025</v>
      </c>
      <c r="H740" t="s">
        <v>1160</v>
      </c>
      <c r="I740" t="s">
        <v>109</v>
      </c>
      <c r="J740">
        <v>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Y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S740">
        <v>0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0</v>
      </c>
      <c r="BA740">
        <v>4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C740">
        <v>0</v>
      </c>
      <c r="DD740">
        <v>0</v>
      </c>
      <c r="DE740">
        <v>0</v>
      </c>
      <c r="DF740">
        <v>0</v>
      </c>
      <c r="DH740">
        <v>0</v>
      </c>
      <c r="DI740">
        <v>0</v>
      </c>
    </row>
    <row r="741" spans="1:113" ht="15" customHeight="1" x14ac:dyDescent="0.25">
      <c r="A741" t="s">
        <v>4047</v>
      </c>
      <c r="B741" t="s">
        <v>4048</v>
      </c>
      <c r="C741" t="s">
        <v>454</v>
      </c>
      <c r="D741" t="s">
        <v>10</v>
      </c>
      <c r="E741" t="s">
        <v>10</v>
      </c>
      <c r="F741" t="s">
        <v>4049</v>
      </c>
      <c r="G741">
        <v>2025</v>
      </c>
      <c r="H741" t="s">
        <v>1160</v>
      </c>
      <c r="I741" t="s">
        <v>93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Y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S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C741">
        <v>0</v>
      </c>
      <c r="DD741">
        <v>0</v>
      </c>
      <c r="DE741">
        <v>0</v>
      </c>
      <c r="DF741">
        <v>0</v>
      </c>
      <c r="DH741">
        <v>0</v>
      </c>
      <c r="DI741">
        <v>0</v>
      </c>
    </row>
    <row r="742" spans="1:113" ht="15" customHeight="1" x14ac:dyDescent="0.25">
      <c r="A742" t="s">
        <v>4050</v>
      </c>
      <c r="B742" t="s">
        <v>4051</v>
      </c>
      <c r="C742" t="s">
        <v>4052</v>
      </c>
      <c r="D742" t="s">
        <v>1189</v>
      </c>
      <c r="E742" t="s">
        <v>1190</v>
      </c>
      <c r="F742" t="s">
        <v>4053</v>
      </c>
      <c r="G742">
        <v>2025</v>
      </c>
      <c r="H742" t="s">
        <v>1160</v>
      </c>
      <c r="I742" t="s">
        <v>124</v>
      </c>
      <c r="J742">
        <v>16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Y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S742">
        <v>0</v>
      </c>
      <c r="AU742">
        <v>0</v>
      </c>
      <c r="AV742">
        <v>0</v>
      </c>
      <c r="AW742">
        <v>0</v>
      </c>
      <c r="AX742">
        <v>0</v>
      </c>
      <c r="AY742">
        <v>14</v>
      </c>
      <c r="AZ742">
        <v>1</v>
      </c>
      <c r="BA742">
        <v>24</v>
      </c>
      <c r="BB742">
        <v>6</v>
      </c>
      <c r="BC742">
        <v>24</v>
      </c>
      <c r="BD742">
        <v>0</v>
      </c>
      <c r="BE742">
        <v>4</v>
      </c>
      <c r="BF742">
        <v>19</v>
      </c>
      <c r="BG742">
        <v>9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C742">
        <v>0</v>
      </c>
      <c r="DD742">
        <v>0</v>
      </c>
      <c r="DE742">
        <v>0</v>
      </c>
      <c r="DF742">
        <v>0</v>
      </c>
      <c r="DH742">
        <v>0</v>
      </c>
      <c r="DI742">
        <v>0</v>
      </c>
    </row>
    <row r="743" spans="1:113" ht="15" customHeight="1" x14ac:dyDescent="0.25">
      <c r="A743" t="s">
        <v>4054</v>
      </c>
      <c r="B743" t="s">
        <v>4055</v>
      </c>
      <c r="C743" t="s">
        <v>4056</v>
      </c>
      <c r="D743" t="s">
        <v>1189</v>
      </c>
      <c r="E743" t="s">
        <v>1190</v>
      </c>
      <c r="F743" t="s">
        <v>4057</v>
      </c>
      <c r="G743">
        <v>2025</v>
      </c>
      <c r="H743" t="s">
        <v>1160</v>
      </c>
      <c r="I743" t="s">
        <v>104</v>
      </c>
      <c r="J743">
        <v>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Y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S743">
        <v>0</v>
      </c>
      <c r="AU743">
        <v>0</v>
      </c>
      <c r="AV743">
        <v>0</v>
      </c>
      <c r="AW743">
        <v>0</v>
      </c>
      <c r="AX743">
        <v>0</v>
      </c>
      <c r="AY743">
        <v>9</v>
      </c>
      <c r="AZ743">
        <v>0</v>
      </c>
      <c r="BA743">
        <v>12</v>
      </c>
      <c r="BB743">
        <v>2</v>
      </c>
      <c r="BC743">
        <v>5</v>
      </c>
      <c r="BD743">
        <v>0</v>
      </c>
      <c r="BE743">
        <v>1</v>
      </c>
      <c r="BF743">
        <v>2</v>
      </c>
      <c r="BG743">
        <v>4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2</v>
      </c>
      <c r="BU743">
        <v>16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C743">
        <v>0</v>
      </c>
      <c r="DD743">
        <v>0</v>
      </c>
      <c r="DE743">
        <v>0</v>
      </c>
      <c r="DF743">
        <v>0</v>
      </c>
      <c r="DH743">
        <v>0</v>
      </c>
      <c r="DI743">
        <v>0</v>
      </c>
    </row>
    <row r="744" spans="1:113" ht="15" customHeight="1" x14ac:dyDescent="0.25">
      <c r="A744" t="s">
        <v>4058</v>
      </c>
      <c r="B744" t="s">
        <v>4059</v>
      </c>
      <c r="C744" t="s">
        <v>4060</v>
      </c>
      <c r="D744" t="s">
        <v>1297</v>
      </c>
      <c r="E744" t="s">
        <v>1220</v>
      </c>
      <c r="F744" t="s">
        <v>4061</v>
      </c>
      <c r="G744">
        <v>2025</v>
      </c>
      <c r="H744" t="s">
        <v>1160</v>
      </c>
      <c r="I744" t="s">
        <v>137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Y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S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3</v>
      </c>
      <c r="BU744">
        <v>20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C744">
        <v>0</v>
      </c>
      <c r="DD744">
        <v>0</v>
      </c>
      <c r="DE744">
        <v>0</v>
      </c>
      <c r="DF744">
        <v>0</v>
      </c>
      <c r="DH744">
        <v>0</v>
      </c>
      <c r="DI744">
        <v>0</v>
      </c>
    </row>
    <row r="745" spans="1:113" ht="15" customHeight="1" x14ac:dyDescent="0.25">
      <c r="A745" t="s">
        <v>4062</v>
      </c>
      <c r="B745" t="s">
        <v>4063</v>
      </c>
      <c r="C745" t="s">
        <v>695</v>
      </c>
      <c r="D745" t="s">
        <v>10</v>
      </c>
      <c r="E745" t="s">
        <v>10</v>
      </c>
      <c r="F745" t="s">
        <v>4064</v>
      </c>
      <c r="G745">
        <v>2025</v>
      </c>
      <c r="H745" t="s">
        <v>1160</v>
      </c>
      <c r="I745" t="s">
        <v>106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Y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H745">
        <v>0</v>
      </c>
      <c r="AI745">
        <v>1</v>
      </c>
      <c r="AJ745">
        <v>1</v>
      </c>
      <c r="AK745">
        <v>15</v>
      </c>
      <c r="AL745">
        <v>0</v>
      </c>
      <c r="AM745">
        <v>0</v>
      </c>
      <c r="AN745">
        <v>0</v>
      </c>
      <c r="AO745">
        <v>4</v>
      </c>
      <c r="AP745">
        <v>11</v>
      </c>
      <c r="AQ745">
        <v>1</v>
      </c>
      <c r="AR745">
        <v>1.0751921531627899</v>
      </c>
      <c r="AS745">
        <v>0</v>
      </c>
      <c r="AT745">
        <v>3.75</v>
      </c>
      <c r="AU745">
        <v>1.82815356489945E-3</v>
      </c>
      <c r="AV745">
        <v>8.1967213114754098E-4</v>
      </c>
      <c r="AW745">
        <v>3.3160008391524601E-3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C745">
        <v>0</v>
      </c>
      <c r="DD745">
        <v>0</v>
      </c>
      <c r="DE745">
        <v>0</v>
      </c>
      <c r="DF745">
        <v>0</v>
      </c>
      <c r="DH745">
        <v>1.5</v>
      </c>
      <c r="DI745">
        <v>2.5</v>
      </c>
    </row>
    <row r="746" spans="1:113" ht="15" customHeight="1" x14ac:dyDescent="0.25">
      <c r="A746" t="s">
        <v>4065</v>
      </c>
      <c r="B746" t="s">
        <v>4066</v>
      </c>
      <c r="C746" t="s">
        <v>4067</v>
      </c>
      <c r="D746" t="s">
        <v>1234</v>
      </c>
      <c r="E746" t="s">
        <v>1234</v>
      </c>
      <c r="F746" t="s">
        <v>4068</v>
      </c>
      <c r="G746">
        <v>2025</v>
      </c>
      <c r="H746" t="s">
        <v>1160</v>
      </c>
      <c r="I746" t="s">
        <v>101</v>
      </c>
      <c r="J746">
        <v>17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Y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S746">
        <v>0</v>
      </c>
      <c r="AU746">
        <v>0</v>
      </c>
      <c r="AV746">
        <v>0</v>
      </c>
      <c r="AW746">
        <v>0</v>
      </c>
      <c r="AX746">
        <v>0</v>
      </c>
      <c r="AY746">
        <v>68</v>
      </c>
      <c r="AZ746">
        <v>3</v>
      </c>
      <c r="BA746">
        <v>83</v>
      </c>
      <c r="BB746">
        <v>8</v>
      </c>
      <c r="BC746">
        <v>32</v>
      </c>
      <c r="BD746">
        <v>0</v>
      </c>
      <c r="BE746">
        <v>2</v>
      </c>
      <c r="BF746">
        <v>19</v>
      </c>
      <c r="BG746">
        <v>5</v>
      </c>
      <c r="BH746">
        <v>0</v>
      </c>
      <c r="BI746">
        <v>0</v>
      </c>
      <c r="BJ746">
        <v>8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2</v>
      </c>
      <c r="BU746">
        <v>10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C746">
        <v>0</v>
      </c>
      <c r="DD746">
        <v>0</v>
      </c>
      <c r="DE746">
        <v>0</v>
      </c>
      <c r="DF746">
        <v>0</v>
      </c>
      <c r="DH746">
        <v>0</v>
      </c>
      <c r="DI746">
        <v>0</v>
      </c>
    </row>
    <row r="747" spans="1:113" ht="15" customHeight="1" x14ac:dyDescent="0.25">
      <c r="A747" t="s">
        <v>4069</v>
      </c>
      <c r="B747" t="s">
        <v>4070</v>
      </c>
      <c r="C747" t="s">
        <v>4071</v>
      </c>
      <c r="D747" t="s">
        <v>1350</v>
      </c>
      <c r="E747" t="s">
        <v>1307</v>
      </c>
      <c r="F747" t="s">
        <v>4072</v>
      </c>
      <c r="G747">
        <v>2025</v>
      </c>
      <c r="H747" t="s">
        <v>1160</v>
      </c>
      <c r="I747" t="s">
        <v>120</v>
      </c>
      <c r="J747">
        <v>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Y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S747">
        <v>0</v>
      </c>
      <c r="AU747">
        <v>0</v>
      </c>
      <c r="AV747">
        <v>0</v>
      </c>
      <c r="AW747">
        <v>0</v>
      </c>
      <c r="AX747">
        <v>0</v>
      </c>
      <c r="AY747">
        <v>9</v>
      </c>
      <c r="AZ747">
        <v>3</v>
      </c>
      <c r="BA747">
        <v>12</v>
      </c>
      <c r="BB747">
        <v>1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</v>
      </c>
      <c r="BU747">
        <v>5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C747">
        <v>0</v>
      </c>
      <c r="DD747">
        <v>0</v>
      </c>
      <c r="DE747">
        <v>0</v>
      </c>
      <c r="DF747">
        <v>0</v>
      </c>
      <c r="DH747">
        <v>0</v>
      </c>
      <c r="DI747">
        <v>0</v>
      </c>
    </row>
    <row r="748" spans="1:113" ht="15" customHeight="1" x14ac:dyDescent="0.25">
      <c r="A748" t="s">
        <v>4073</v>
      </c>
      <c r="B748" t="s">
        <v>4074</v>
      </c>
      <c r="C748" t="s">
        <v>4075</v>
      </c>
      <c r="D748" t="s">
        <v>1684</v>
      </c>
      <c r="E748" t="s">
        <v>1307</v>
      </c>
      <c r="F748" t="s">
        <v>4076</v>
      </c>
      <c r="G748">
        <v>2025</v>
      </c>
      <c r="H748" t="s">
        <v>1160</v>
      </c>
      <c r="I748" t="s">
        <v>141</v>
      </c>
      <c r="J748">
        <v>13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Y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S748">
        <v>0</v>
      </c>
      <c r="AU748">
        <v>0</v>
      </c>
      <c r="AV748">
        <v>0</v>
      </c>
      <c r="AW748">
        <v>0</v>
      </c>
      <c r="AX748">
        <v>0</v>
      </c>
      <c r="AY748">
        <v>27</v>
      </c>
      <c r="AZ748">
        <v>0</v>
      </c>
      <c r="BA748">
        <v>14</v>
      </c>
      <c r="BB748">
        <v>1</v>
      </c>
      <c r="BC748">
        <v>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C748">
        <v>0</v>
      </c>
      <c r="DD748">
        <v>0</v>
      </c>
      <c r="DE748">
        <v>0</v>
      </c>
      <c r="DF748">
        <v>0</v>
      </c>
      <c r="DH748">
        <v>0</v>
      </c>
      <c r="DI748">
        <v>0</v>
      </c>
    </row>
    <row r="749" spans="1:113" ht="15" customHeight="1" x14ac:dyDescent="0.25">
      <c r="A749" t="s">
        <v>4077</v>
      </c>
      <c r="B749" t="s">
        <v>4078</v>
      </c>
      <c r="C749" t="s">
        <v>4079</v>
      </c>
      <c r="D749" t="s">
        <v>1350</v>
      </c>
      <c r="E749" t="s">
        <v>1307</v>
      </c>
      <c r="F749" t="s">
        <v>4080</v>
      </c>
      <c r="G749">
        <v>2025</v>
      </c>
      <c r="H749" t="s">
        <v>1160</v>
      </c>
      <c r="I749" t="s">
        <v>103</v>
      </c>
      <c r="J749">
        <v>14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Y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S749">
        <v>0</v>
      </c>
      <c r="AU749">
        <v>0</v>
      </c>
      <c r="AV749">
        <v>0</v>
      </c>
      <c r="AW749">
        <v>0</v>
      </c>
      <c r="AX749">
        <v>0</v>
      </c>
      <c r="AY749">
        <v>34</v>
      </c>
      <c r="AZ749">
        <v>0</v>
      </c>
      <c r="BA749">
        <v>14</v>
      </c>
      <c r="BB749">
        <v>3</v>
      </c>
      <c r="BC749">
        <v>10</v>
      </c>
      <c r="BD749">
        <v>1</v>
      </c>
      <c r="BE749">
        <v>1</v>
      </c>
      <c r="BF749">
        <v>8</v>
      </c>
      <c r="BG749">
        <v>2</v>
      </c>
      <c r="BH749">
        <v>2</v>
      </c>
      <c r="BI749">
        <v>0</v>
      </c>
      <c r="BJ749">
        <v>6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1</v>
      </c>
      <c r="BS749">
        <v>0</v>
      </c>
      <c r="BT749">
        <v>3</v>
      </c>
      <c r="BU749">
        <v>28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C749">
        <v>0</v>
      </c>
      <c r="DD749">
        <v>0</v>
      </c>
      <c r="DE749">
        <v>0</v>
      </c>
      <c r="DF749">
        <v>0</v>
      </c>
      <c r="DH749">
        <v>0</v>
      </c>
      <c r="DI749">
        <v>0</v>
      </c>
    </row>
    <row r="750" spans="1:113" ht="15" customHeight="1" x14ac:dyDescent="0.25">
      <c r="A750" t="s">
        <v>4081</v>
      </c>
      <c r="B750" t="s">
        <v>4082</v>
      </c>
      <c r="C750" t="s">
        <v>4083</v>
      </c>
      <c r="D750" t="s">
        <v>10</v>
      </c>
      <c r="E750" t="s">
        <v>10</v>
      </c>
      <c r="F750" t="s">
        <v>4084</v>
      </c>
      <c r="G750">
        <v>2025</v>
      </c>
      <c r="H750" t="s">
        <v>1160</v>
      </c>
      <c r="I750" t="s">
        <v>89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Y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S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C750">
        <v>0</v>
      </c>
      <c r="DD750">
        <v>0</v>
      </c>
      <c r="DE750">
        <v>0</v>
      </c>
      <c r="DF750">
        <v>0</v>
      </c>
      <c r="DH750">
        <v>0</v>
      </c>
      <c r="DI750">
        <v>0</v>
      </c>
    </row>
    <row r="751" spans="1:113" ht="15" customHeight="1" x14ac:dyDescent="0.25">
      <c r="A751" t="s">
        <v>4085</v>
      </c>
      <c r="B751" t="s">
        <v>4086</v>
      </c>
      <c r="C751" t="s">
        <v>4087</v>
      </c>
      <c r="D751" t="s">
        <v>439</v>
      </c>
      <c r="E751" t="s">
        <v>439</v>
      </c>
      <c r="F751" t="s">
        <v>4088</v>
      </c>
      <c r="G751">
        <v>2025</v>
      </c>
      <c r="H751" t="s">
        <v>1160</v>
      </c>
      <c r="I751" t="s">
        <v>111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Y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H751">
        <v>0</v>
      </c>
      <c r="AI751">
        <v>3</v>
      </c>
      <c r="AJ751">
        <v>5</v>
      </c>
      <c r="AK751">
        <v>20</v>
      </c>
      <c r="AL751">
        <v>0</v>
      </c>
      <c r="AM751">
        <v>0</v>
      </c>
      <c r="AN751">
        <v>0</v>
      </c>
      <c r="AO751">
        <v>37</v>
      </c>
      <c r="AP751">
        <v>2</v>
      </c>
      <c r="AQ751">
        <v>1</v>
      </c>
      <c r="AR751">
        <v>-1.83611708204262</v>
      </c>
      <c r="AS751">
        <v>0</v>
      </c>
      <c r="AT751">
        <v>0.54054054054054101</v>
      </c>
      <c r="AU751">
        <v>9.0909090909090905E-3</v>
      </c>
      <c r="AV751">
        <v>9.9142550911039597E-3</v>
      </c>
      <c r="AW751">
        <v>2.0576342200136401E-2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</v>
      </c>
      <c r="BU751">
        <v>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C751">
        <v>0</v>
      </c>
      <c r="DD751">
        <v>0</v>
      </c>
      <c r="DE751">
        <v>0</v>
      </c>
      <c r="DF751">
        <v>0</v>
      </c>
      <c r="DH751">
        <v>2</v>
      </c>
      <c r="DI751">
        <v>5</v>
      </c>
    </row>
    <row r="752" spans="1:113" ht="15" customHeight="1" x14ac:dyDescent="0.25">
      <c r="A752" t="s">
        <v>4089</v>
      </c>
      <c r="B752" t="s">
        <v>4090</v>
      </c>
      <c r="C752" t="s">
        <v>473</v>
      </c>
      <c r="D752" t="s">
        <v>10</v>
      </c>
      <c r="E752" t="s">
        <v>10</v>
      </c>
      <c r="F752" t="s">
        <v>4091</v>
      </c>
      <c r="G752">
        <v>2025</v>
      </c>
      <c r="H752" t="s">
        <v>1160</v>
      </c>
      <c r="I752" t="s">
        <v>97</v>
      </c>
      <c r="J752">
        <v>13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Y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H752">
        <v>0</v>
      </c>
      <c r="AI752">
        <v>19</v>
      </c>
      <c r="AJ752">
        <v>38</v>
      </c>
      <c r="AK752">
        <v>224</v>
      </c>
      <c r="AL752">
        <v>2</v>
      </c>
      <c r="AM752">
        <v>0</v>
      </c>
      <c r="AN752">
        <v>0</v>
      </c>
      <c r="AO752">
        <v>468</v>
      </c>
      <c r="AP752">
        <v>39</v>
      </c>
      <c r="AQ752">
        <v>12</v>
      </c>
      <c r="AR752">
        <v>-1.67575973441765</v>
      </c>
      <c r="AS752">
        <v>1</v>
      </c>
      <c r="AT752">
        <v>0.47863247863247899</v>
      </c>
      <c r="AU752">
        <v>9.3366093366093403E-2</v>
      </c>
      <c r="AV752">
        <v>0.13676212741087099</v>
      </c>
      <c r="AW752">
        <v>0.23578262923675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</v>
      </c>
      <c r="BU752">
        <v>13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C752">
        <v>0</v>
      </c>
      <c r="DD752">
        <v>0</v>
      </c>
      <c r="DE752">
        <v>0</v>
      </c>
      <c r="DF752">
        <v>0</v>
      </c>
      <c r="DH752">
        <v>36.4</v>
      </c>
      <c r="DI752">
        <v>55.4</v>
      </c>
    </row>
    <row r="753" spans="1:113" ht="15" customHeight="1" x14ac:dyDescent="0.25">
      <c r="A753" t="s">
        <v>4092</v>
      </c>
      <c r="B753" t="s">
        <v>4093</v>
      </c>
      <c r="C753" t="s">
        <v>4094</v>
      </c>
      <c r="D753" t="s">
        <v>1297</v>
      </c>
      <c r="E753" t="s">
        <v>1220</v>
      </c>
      <c r="F753" t="s">
        <v>4095</v>
      </c>
      <c r="G753">
        <v>2025</v>
      </c>
      <c r="H753" t="s">
        <v>1160</v>
      </c>
      <c r="I753" t="s">
        <v>118</v>
      </c>
      <c r="J753">
        <v>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Y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S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5</v>
      </c>
      <c r="BU753">
        <v>36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C753">
        <v>0</v>
      </c>
      <c r="DD753">
        <v>0</v>
      </c>
      <c r="DE753">
        <v>0</v>
      </c>
      <c r="DF753">
        <v>0</v>
      </c>
      <c r="DH753">
        <v>0</v>
      </c>
      <c r="DI753">
        <v>0</v>
      </c>
    </row>
    <row r="754" spans="1:113" ht="15" customHeight="1" x14ac:dyDescent="0.25">
      <c r="A754" t="s">
        <v>4096</v>
      </c>
      <c r="B754" t="s">
        <v>4097</v>
      </c>
      <c r="C754" t="s">
        <v>4098</v>
      </c>
      <c r="D754" t="s">
        <v>1234</v>
      </c>
      <c r="E754" t="s">
        <v>1234</v>
      </c>
      <c r="F754" t="s">
        <v>4099</v>
      </c>
      <c r="G754">
        <v>2025</v>
      </c>
      <c r="H754" t="s">
        <v>1160</v>
      </c>
      <c r="I754" t="s">
        <v>120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Y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S754">
        <v>0</v>
      </c>
      <c r="AU754">
        <v>0</v>
      </c>
      <c r="AV754">
        <v>0</v>
      </c>
      <c r="AW754">
        <v>0</v>
      </c>
      <c r="AX754">
        <v>0</v>
      </c>
      <c r="AY754">
        <v>2</v>
      </c>
      <c r="AZ754">
        <v>0</v>
      </c>
      <c r="BA754">
        <v>4</v>
      </c>
      <c r="BB754">
        <v>1</v>
      </c>
      <c r="BC754">
        <v>3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C754">
        <v>0</v>
      </c>
      <c r="DD754">
        <v>0</v>
      </c>
      <c r="DE754">
        <v>0</v>
      </c>
      <c r="DF754">
        <v>0</v>
      </c>
      <c r="DH754">
        <v>0</v>
      </c>
      <c r="DI754">
        <v>0</v>
      </c>
    </row>
    <row r="755" spans="1:113" ht="15" customHeight="1" x14ac:dyDescent="0.25">
      <c r="A755" t="s">
        <v>4100</v>
      </c>
      <c r="B755" t="s">
        <v>4101</v>
      </c>
      <c r="C755" t="s">
        <v>4102</v>
      </c>
      <c r="D755" t="s">
        <v>1234</v>
      </c>
      <c r="E755" t="s">
        <v>1234</v>
      </c>
      <c r="F755" t="s">
        <v>4103</v>
      </c>
      <c r="G755">
        <v>2025</v>
      </c>
      <c r="H755" t="s">
        <v>1160</v>
      </c>
      <c r="I755" t="s">
        <v>96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Y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S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C755">
        <v>0</v>
      </c>
      <c r="DD755">
        <v>0</v>
      </c>
      <c r="DE755">
        <v>0</v>
      </c>
      <c r="DF755">
        <v>0</v>
      </c>
      <c r="DH755">
        <v>0</v>
      </c>
      <c r="DI755">
        <v>0</v>
      </c>
    </row>
    <row r="756" spans="1:113" ht="15" customHeight="1" x14ac:dyDescent="0.25">
      <c r="A756" t="s">
        <v>4104</v>
      </c>
      <c r="B756" t="s">
        <v>4105</v>
      </c>
      <c r="C756" t="s">
        <v>651</v>
      </c>
      <c r="D756" t="s">
        <v>10</v>
      </c>
      <c r="E756" t="s">
        <v>10</v>
      </c>
      <c r="F756" t="s">
        <v>4106</v>
      </c>
      <c r="G756">
        <v>2025</v>
      </c>
      <c r="H756" t="s">
        <v>1160</v>
      </c>
      <c r="I756" t="s">
        <v>121</v>
      </c>
      <c r="J756">
        <v>15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Y756">
        <v>0</v>
      </c>
      <c r="AA756">
        <v>2</v>
      </c>
      <c r="AB756">
        <v>15</v>
      </c>
      <c r="AC756">
        <v>1</v>
      </c>
      <c r="AD756">
        <v>0</v>
      </c>
      <c r="AE756">
        <v>0</v>
      </c>
      <c r="AF756">
        <v>1</v>
      </c>
      <c r="AG756">
        <v>1.9955103607499001</v>
      </c>
      <c r="AH756">
        <v>0</v>
      </c>
      <c r="AI756">
        <v>71</v>
      </c>
      <c r="AJ756">
        <v>120</v>
      </c>
      <c r="AK756">
        <v>1117</v>
      </c>
      <c r="AL756">
        <v>6</v>
      </c>
      <c r="AM756">
        <v>1</v>
      </c>
      <c r="AN756">
        <v>1</v>
      </c>
      <c r="AO756">
        <v>1529</v>
      </c>
      <c r="AP756">
        <v>324</v>
      </c>
      <c r="AQ756">
        <v>48</v>
      </c>
      <c r="AR756">
        <v>39.3101993226418</v>
      </c>
      <c r="AS756">
        <v>1</v>
      </c>
      <c r="AT756">
        <v>0.73054283845650803</v>
      </c>
      <c r="AU756">
        <v>0.21699819168173601</v>
      </c>
      <c r="AV756">
        <v>0.32088142707240302</v>
      </c>
      <c r="AW756">
        <v>0.55011428647328597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2</v>
      </c>
      <c r="BU756">
        <v>20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C756">
        <v>0</v>
      </c>
      <c r="DD756">
        <v>0</v>
      </c>
      <c r="DE756">
        <v>0</v>
      </c>
      <c r="DF756">
        <v>0</v>
      </c>
      <c r="DH756">
        <v>155.19999999999999</v>
      </c>
      <c r="DI756">
        <v>226.2</v>
      </c>
    </row>
    <row r="757" spans="1:113" ht="15" customHeight="1" x14ac:dyDescent="0.25">
      <c r="A757" t="s">
        <v>4107</v>
      </c>
      <c r="B757" t="s">
        <v>1337</v>
      </c>
      <c r="C757" t="s">
        <v>506</v>
      </c>
      <c r="D757" t="s">
        <v>431</v>
      </c>
      <c r="E757" t="s">
        <v>431</v>
      </c>
      <c r="F757" t="s">
        <v>4108</v>
      </c>
      <c r="G757">
        <v>2025</v>
      </c>
      <c r="H757" t="s">
        <v>1160</v>
      </c>
      <c r="I757" t="s">
        <v>96</v>
      </c>
      <c r="J757">
        <v>15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Y757">
        <v>0</v>
      </c>
      <c r="AA757">
        <v>134</v>
      </c>
      <c r="AB757">
        <v>511</v>
      </c>
      <c r="AC757">
        <v>1</v>
      </c>
      <c r="AD757">
        <v>1</v>
      </c>
      <c r="AE757">
        <v>1</v>
      </c>
      <c r="AF757">
        <v>33</v>
      </c>
      <c r="AG757">
        <v>-15.6743709249376</v>
      </c>
      <c r="AH757">
        <v>0</v>
      </c>
      <c r="AI757">
        <v>30</v>
      </c>
      <c r="AJ757">
        <v>39</v>
      </c>
      <c r="AK757">
        <v>223</v>
      </c>
      <c r="AL757">
        <v>3</v>
      </c>
      <c r="AM757">
        <v>0</v>
      </c>
      <c r="AN757">
        <v>0</v>
      </c>
      <c r="AO757">
        <v>-40</v>
      </c>
      <c r="AP757">
        <v>291</v>
      </c>
      <c r="AQ757">
        <v>12</v>
      </c>
      <c r="AR757">
        <v>4.5799546750380804</v>
      </c>
      <c r="AS757">
        <v>0</v>
      </c>
      <c r="AT757">
        <v>-5.5750000000000002</v>
      </c>
      <c r="AU757">
        <v>8.1250000000000003E-2</v>
      </c>
      <c r="AV757">
        <v>-1.15942028985507E-2</v>
      </c>
      <c r="AW757">
        <v>0.113759057971015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9</v>
      </c>
      <c r="BY757">
        <v>233</v>
      </c>
      <c r="BZ757">
        <v>0</v>
      </c>
      <c r="CA757">
        <v>0</v>
      </c>
      <c r="CB757">
        <v>0</v>
      </c>
      <c r="CC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C757">
        <v>0</v>
      </c>
      <c r="DD757">
        <v>0</v>
      </c>
      <c r="DE757">
        <v>0</v>
      </c>
      <c r="DF757">
        <v>0</v>
      </c>
      <c r="DH757">
        <v>95.4</v>
      </c>
      <c r="DI757">
        <v>125.4</v>
      </c>
    </row>
    <row r="758" spans="1:113" ht="15" customHeight="1" x14ac:dyDescent="0.25">
      <c r="A758" t="s">
        <v>4109</v>
      </c>
      <c r="B758" t="s">
        <v>4110</v>
      </c>
      <c r="C758" t="s">
        <v>4111</v>
      </c>
      <c r="D758" t="s">
        <v>1350</v>
      </c>
      <c r="E758" t="s">
        <v>1307</v>
      </c>
      <c r="F758" t="s">
        <v>4112</v>
      </c>
      <c r="G758">
        <v>2025</v>
      </c>
      <c r="H758" t="s">
        <v>1160</v>
      </c>
      <c r="I758" t="s">
        <v>93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Y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S758">
        <v>0</v>
      </c>
      <c r="AU758">
        <v>0</v>
      </c>
      <c r="AV758">
        <v>0</v>
      </c>
      <c r="AW758">
        <v>0</v>
      </c>
      <c r="AX758">
        <v>0</v>
      </c>
      <c r="AY758">
        <v>4</v>
      </c>
      <c r="AZ758">
        <v>0</v>
      </c>
      <c r="BA758">
        <v>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C758">
        <v>0</v>
      </c>
      <c r="DD758">
        <v>0</v>
      </c>
      <c r="DE758">
        <v>0</v>
      </c>
      <c r="DF758">
        <v>0</v>
      </c>
      <c r="DH758">
        <v>0</v>
      </c>
      <c r="DI758">
        <v>0</v>
      </c>
    </row>
    <row r="759" spans="1:113" ht="15" customHeight="1" x14ac:dyDescent="0.25">
      <c r="A759" t="s">
        <v>4113</v>
      </c>
      <c r="B759" t="s">
        <v>4114</v>
      </c>
      <c r="C759" t="s">
        <v>4115</v>
      </c>
      <c r="D759" t="s">
        <v>1350</v>
      </c>
      <c r="E759" t="s">
        <v>1307</v>
      </c>
      <c r="F759" t="s">
        <v>4116</v>
      </c>
      <c r="G759">
        <v>2025</v>
      </c>
      <c r="H759" t="s">
        <v>1160</v>
      </c>
      <c r="I759" t="s">
        <v>141</v>
      </c>
      <c r="J759">
        <v>17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Y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S759">
        <v>0</v>
      </c>
      <c r="AU759">
        <v>0</v>
      </c>
      <c r="AV759">
        <v>0</v>
      </c>
      <c r="AW759">
        <v>0</v>
      </c>
      <c r="AX759">
        <v>0</v>
      </c>
      <c r="AY759">
        <v>36</v>
      </c>
      <c r="AZ759">
        <v>3</v>
      </c>
      <c r="BA759">
        <v>22</v>
      </c>
      <c r="BB759">
        <v>4</v>
      </c>
      <c r="BC759">
        <v>8</v>
      </c>
      <c r="BD759">
        <v>0</v>
      </c>
      <c r="BE759">
        <v>0</v>
      </c>
      <c r="BF759">
        <v>0</v>
      </c>
      <c r="BG759">
        <v>0</v>
      </c>
      <c r="BH759">
        <v>2</v>
      </c>
      <c r="BI759">
        <v>90</v>
      </c>
      <c r="BJ759">
        <v>5</v>
      </c>
      <c r="BK759">
        <v>0</v>
      </c>
      <c r="BL759">
        <v>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10</v>
      </c>
      <c r="BU759">
        <v>87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C759">
        <v>0</v>
      </c>
      <c r="DD759">
        <v>0</v>
      </c>
      <c r="DE759">
        <v>0</v>
      </c>
      <c r="DF759">
        <v>0</v>
      </c>
      <c r="DH759">
        <v>0</v>
      </c>
      <c r="DI759">
        <v>0</v>
      </c>
    </row>
    <row r="760" spans="1:113" ht="15" customHeight="1" x14ac:dyDescent="0.25">
      <c r="A760" t="s">
        <v>4117</v>
      </c>
      <c r="B760" t="s">
        <v>4118</v>
      </c>
      <c r="C760" t="s">
        <v>4119</v>
      </c>
      <c r="D760" t="s">
        <v>1684</v>
      </c>
      <c r="E760" t="s">
        <v>1307</v>
      </c>
      <c r="F760" t="s">
        <v>4120</v>
      </c>
      <c r="G760">
        <v>2025</v>
      </c>
      <c r="H760" t="s">
        <v>1160</v>
      </c>
      <c r="I760" t="s">
        <v>115</v>
      </c>
      <c r="J760">
        <v>17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Y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S760">
        <v>0</v>
      </c>
      <c r="AU760">
        <v>0</v>
      </c>
      <c r="AV760">
        <v>0</v>
      </c>
      <c r="AW760">
        <v>0</v>
      </c>
      <c r="AX760">
        <v>0</v>
      </c>
      <c r="AY760">
        <v>67</v>
      </c>
      <c r="AZ760">
        <v>0</v>
      </c>
      <c r="BA760">
        <v>39</v>
      </c>
      <c r="BB760">
        <v>6</v>
      </c>
      <c r="BC760">
        <v>24</v>
      </c>
      <c r="BD760">
        <v>1</v>
      </c>
      <c r="BE760">
        <v>2</v>
      </c>
      <c r="BF760">
        <v>17</v>
      </c>
      <c r="BG760">
        <v>3</v>
      </c>
      <c r="BH760">
        <v>0</v>
      </c>
      <c r="BI760">
        <v>0</v>
      </c>
      <c r="BJ760">
        <v>11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4</v>
      </c>
      <c r="BU760">
        <v>46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C760">
        <v>0</v>
      </c>
      <c r="DD760">
        <v>0</v>
      </c>
      <c r="DE760">
        <v>0</v>
      </c>
      <c r="DF760">
        <v>0</v>
      </c>
      <c r="DH760">
        <v>0</v>
      </c>
      <c r="DI760">
        <v>0</v>
      </c>
    </row>
    <row r="761" spans="1:113" ht="15" customHeight="1" x14ac:dyDescent="0.25">
      <c r="A761" t="s">
        <v>4121</v>
      </c>
      <c r="B761" t="s">
        <v>4122</v>
      </c>
      <c r="C761" t="s">
        <v>826</v>
      </c>
      <c r="D761" t="s">
        <v>431</v>
      </c>
      <c r="E761" t="s">
        <v>431</v>
      </c>
      <c r="F761" t="s">
        <v>4123</v>
      </c>
      <c r="G761">
        <v>2025</v>
      </c>
      <c r="H761" t="s">
        <v>1160</v>
      </c>
      <c r="I761" t="s">
        <v>123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Y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16</v>
      </c>
      <c r="AP761">
        <v>0</v>
      </c>
      <c r="AQ761">
        <v>0</v>
      </c>
      <c r="AR761">
        <v>-3.3650654857046902</v>
      </c>
      <c r="AS761">
        <v>0</v>
      </c>
      <c r="AT761">
        <v>0</v>
      </c>
      <c r="AU761">
        <v>1.82149362477231E-3</v>
      </c>
      <c r="AV761">
        <v>3.52967129936025E-3</v>
      </c>
      <c r="AW761">
        <v>5.2030103467106403E-3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C761">
        <v>0</v>
      </c>
      <c r="DD761">
        <v>0</v>
      </c>
      <c r="DE761">
        <v>0</v>
      </c>
      <c r="DF761">
        <v>0</v>
      </c>
      <c r="DH761">
        <v>0</v>
      </c>
      <c r="DI761">
        <v>0</v>
      </c>
    </row>
    <row r="762" spans="1:113" ht="15" customHeight="1" x14ac:dyDescent="0.25">
      <c r="A762" t="s">
        <v>4124</v>
      </c>
      <c r="B762" t="s">
        <v>4125</v>
      </c>
      <c r="C762" t="s">
        <v>4126</v>
      </c>
      <c r="D762" t="s">
        <v>1243</v>
      </c>
      <c r="E762" t="s">
        <v>1190</v>
      </c>
      <c r="F762" t="s">
        <v>4127</v>
      </c>
      <c r="G762">
        <v>2025</v>
      </c>
      <c r="H762" t="s">
        <v>1160</v>
      </c>
      <c r="I762" t="s">
        <v>111</v>
      </c>
      <c r="J762">
        <v>14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Y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S762">
        <v>0</v>
      </c>
      <c r="AU762">
        <v>0</v>
      </c>
      <c r="AV762">
        <v>0</v>
      </c>
      <c r="AW762">
        <v>0</v>
      </c>
      <c r="AX762">
        <v>0</v>
      </c>
      <c r="AY762">
        <v>11</v>
      </c>
      <c r="AZ762">
        <v>0</v>
      </c>
      <c r="BA762">
        <v>19</v>
      </c>
      <c r="BB762">
        <v>4</v>
      </c>
      <c r="BC762">
        <v>13</v>
      </c>
      <c r="BD762">
        <v>0</v>
      </c>
      <c r="BE762">
        <v>2</v>
      </c>
      <c r="BF762">
        <v>16</v>
      </c>
      <c r="BG762">
        <v>5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2</v>
      </c>
      <c r="BU762">
        <v>11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C762">
        <v>0</v>
      </c>
      <c r="DD762">
        <v>0</v>
      </c>
      <c r="DE762">
        <v>0</v>
      </c>
      <c r="DF762">
        <v>0</v>
      </c>
      <c r="DH762">
        <v>0</v>
      </c>
      <c r="DI762">
        <v>0</v>
      </c>
    </row>
    <row r="763" spans="1:113" ht="15" customHeight="1" x14ac:dyDescent="0.25">
      <c r="A763" t="s">
        <v>4128</v>
      </c>
      <c r="B763" t="s">
        <v>4129</v>
      </c>
      <c r="C763" t="s">
        <v>537</v>
      </c>
      <c r="D763" t="s">
        <v>431</v>
      </c>
      <c r="E763" t="s">
        <v>431</v>
      </c>
      <c r="F763" t="s">
        <v>4130</v>
      </c>
      <c r="G763">
        <v>2025</v>
      </c>
      <c r="H763" t="s">
        <v>1160</v>
      </c>
      <c r="I763" t="s">
        <v>107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Y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S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4</v>
      </c>
      <c r="BY763">
        <v>83</v>
      </c>
      <c r="BZ763">
        <v>0</v>
      </c>
      <c r="CA763">
        <v>0</v>
      </c>
      <c r="CB763">
        <v>0</v>
      </c>
      <c r="CC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C763">
        <v>0</v>
      </c>
      <c r="DD763">
        <v>0</v>
      </c>
      <c r="DE763">
        <v>0</v>
      </c>
      <c r="DF763">
        <v>0</v>
      </c>
      <c r="DH763">
        <v>0</v>
      </c>
      <c r="DI763">
        <v>0</v>
      </c>
    </row>
    <row r="764" spans="1:113" ht="15" customHeight="1" x14ac:dyDescent="0.25">
      <c r="A764" t="s">
        <v>4131</v>
      </c>
      <c r="B764" t="s">
        <v>4132</v>
      </c>
      <c r="C764" t="s">
        <v>4133</v>
      </c>
      <c r="D764" t="s">
        <v>1684</v>
      </c>
      <c r="E764" t="s">
        <v>1307</v>
      </c>
      <c r="F764" t="s">
        <v>4134</v>
      </c>
      <c r="G764">
        <v>2025</v>
      </c>
      <c r="H764" t="s">
        <v>1160</v>
      </c>
      <c r="I764" t="s">
        <v>97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Y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S764">
        <v>0</v>
      </c>
      <c r="AU764">
        <v>0</v>
      </c>
      <c r="AV764">
        <v>0</v>
      </c>
      <c r="AW764">
        <v>0</v>
      </c>
      <c r="AX764">
        <v>0</v>
      </c>
      <c r="AY764">
        <v>3</v>
      </c>
      <c r="AZ764">
        <v>0</v>
      </c>
      <c r="BA764">
        <v>4</v>
      </c>
      <c r="BB764">
        <v>1</v>
      </c>
      <c r="BC764">
        <v>2</v>
      </c>
      <c r="BD764">
        <v>1</v>
      </c>
      <c r="BE764">
        <v>1</v>
      </c>
      <c r="BF764">
        <v>2</v>
      </c>
      <c r="BG764">
        <v>3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C764">
        <v>0</v>
      </c>
      <c r="DD764">
        <v>0</v>
      </c>
      <c r="DE764">
        <v>0</v>
      </c>
      <c r="DF764">
        <v>0</v>
      </c>
      <c r="DH764">
        <v>0</v>
      </c>
      <c r="DI764">
        <v>0</v>
      </c>
    </row>
    <row r="765" spans="1:113" ht="15" customHeight="1" x14ac:dyDescent="0.25">
      <c r="A765" t="s">
        <v>4135</v>
      </c>
      <c r="B765" t="s">
        <v>4136</v>
      </c>
      <c r="C765" t="s">
        <v>4137</v>
      </c>
      <c r="D765" t="s">
        <v>1350</v>
      </c>
      <c r="E765" t="s">
        <v>1307</v>
      </c>
      <c r="F765" t="s">
        <v>4138</v>
      </c>
      <c r="G765">
        <v>2025</v>
      </c>
      <c r="H765" t="s">
        <v>1160</v>
      </c>
      <c r="I765" t="s">
        <v>104</v>
      </c>
      <c r="J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Y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U765">
        <v>0</v>
      </c>
      <c r="AV765">
        <v>0</v>
      </c>
      <c r="AW765">
        <v>0</v>
      </c>
      <c r="AX765">
        <v>0</v>
      </c>
      <c r="AY765">
        <v>18</v>
      </c>
      <c r="AZ765">
        <v>0</v>
      </c>
      <c r="BA765">
        <v>9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4</v>
      </c>
      <c r="BU765">
        <v>42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C765">
        <v>0</v>
      </c>
      <c r="DD765">
        <v>0</v>
      </c>
      <c r="DE765">
        <v>0</v>
      </c>
      <c r="DF765">
        <v>0</v>
      </c>
      <c r="DH765">
        <v>0</v>
      </c>
      <c r="DI765">
        <v>0</v>
      </c>
    </row>
    <row r="766" spans="1:113" ht="15" customHeight="1" x14ac:dyDescent="0.25">
      <c r="A766" t="s">
        <v>4139</v>
      </c>
      <c r="B766" t="s">
        <v>4140</v>
      </c>
      <c r="C766" t="s">
        <v>698</v>
      </c>
      <c r="D766" t="s">
        <v>439</v>
      </c>
      <c r="E766" t="s">
        <v>439</v>
      </c>
      <c r="F766" t="s">
        <v>4141</v>
      </c>
      <c r="G766">
        <v>2025</v>
      </c>
      <c r="H766" t="s">
        <v>1160</v>
      </c>
      <c r="I766" t="s">
        <v>106</v>
      </c>
      <c r="J766">
        <v>11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Y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H766">
        <v>0</v>
      </c>
      <c r="AI766">
        <v>6</v>
      </c>
      <c r="AJ766">
        <v>9</v>
      </c>
      <c r="AK766">
        <v>55</v>
      </c>
      <c r="AL766">
        <v>1</v>
      </c>
      <c r="AM766">
        <v>0</v>
      </c>
      <c r="AN766">
        <v>0</v>
      </c>
      <c r="AO766">
        <v>45</v>
      </c>
      <c r="AP766">
        <v>21</v>
      </c>
      <c r="AQ766">
        <v>4</v>
      </c>
      <c r="AR766">
        <v>-0.61821403130306896</v>
      </c>
      <c r="AS766">
        <v>0</v>
      </c>
      <c r="AT766">
        <v>1.2222222222222201</v>
      </c>
      <c r="AU766">
        <v>1.6453382084095101E-2</v>
      </c>
      <c r="AV766">
        <v>9.2213114754098394E-3</v>
      </c>
      <c r="AW766">
        <v>3.1134991158929499E-2</v>
      </c>
      <c r="AX766">
        <v>0</v>
      </c>
      <c r="AY766">
        <v>3</v>
      </c>
      <c r="AZ766">
        <v>1</v>
      </c>
      <c r="BA766">
        <v>4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C766">
        <v>0</v>
      </c>
      <c r="DD766">
        <v>0</v>
      </c>
      <c r="DE766">
        <v>0</v>
      </c>
      <c r="DF766">
        <v>0</v>
      </c>
      <c r="DH766">
        <v>11.5</v>
      </c>
      <c r="DI766">
        <v>17.5</v>
      </c>
    </row>
    <row r="767" spans="1:113" ht="15" customHeight="1" x14ac:dyDescent="0.25">
      <c r="A767" t="s">
        <v>4142</v>
      </c>
      <c r="B767" t="s">
        <v>2173</v>
      </c>
      <c r="C767" t="s">
        <v>4143</v>
      </c>
      <c r="D767" t="s">
        <v>1219</v>
      </c>
      <c r="E767" t="s">
        <v>1220</v>
      </c>
      <c r="F767" t="s">
        <v>4144</v>
      </c>
      <c r="G767">
        <v>2025</v>
      </c>
      <c r="H767" t="s">
        <v>1160</v>
      </c>
      <c r="I767" t="s">
        <v>1200</v>
      </c>
      <c r="J767">
        <v>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Y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S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3</v>
      </c>
      <c r="BU767">
        <v>20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C767">
        <v>0</v>
      </c>
      <c r="DD767">
        <v>0</v>
      </c>
      <c r="DE767">
        <v>0</v>
      </c>
      <c r="DF767">
        <v>0</v>
      </c>
      <c r="DH767">
        <v>0</v>
      </c>
      <c r="DI767">
        <v>0</v>
      </c>
    </row>
    <row r="768" spans="1:113" ht="15" customHeight="1" x14ac:dyDescent="0.25">
      <c r="A768" t="s">
        <v>4145</v>
      </c>
      <c r="B768" t="s">
        <v>4146</v>
      </c>
      <c r="C768" t="s">
        <v>4147</v>
      </c>
      <c r="D768" t="s">
        <v>1655</v>
      </c>
      <c r="E768" t="s">
        <v>1220</v>
      </c>
      <c r="F768" t="s">
        <v>4148</v>
      </c>
      <c r="G768">
        <v>2025</v>
      </c>
      <c r="H768" t="s">
        <v>1160</v>
      </c>
      <c r="I768" t="s">
        <v>89</v>
      </c>
      <c r="J768">
        <v>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Y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S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2</v>
      </c>
      <c r="BU768">
        <v>15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C768">
        <v>0</v>
      </c>
      <c r="DD768">
        <v>0</v>
      </c>
      <c r="DE768">
        <v>0</v>
      </c>
      <c r="DF768">
        <v>0</v>
      </c>
      <c r="DH768">
        <v>0</v>
      </c>
      <c r="DI768">
        <v>0</v>
      </c>
    </row>
    <row r="769" spans="1:113" ht="15" customHeight="1" x14ac:dyDescent="0.25">
      <c r="A769" t="s">
        <v>4149</v>
      </c>
      <c r="B769" t="s">
        <v>4150</v>
      </c>
      <c r="C769" t="s">
        <v>609</v>
      </c>
      <c r="D769" t="s">
        <v>10</v>
      </c>
      <c r="E769" t="s">
        <v>10</v>
      </c>
      <c r="F769" t="s">
        <v>4151</v>
      </c>
      <c r="G769">
        <v>2025</v>
      </c>
      <c r="H769" t="s">
        <v>1160</v>
      </c>
      <c r="I769" t="s">
        <v>133</v>
      </c>
      <c r="J769">
        <v>16</v>
      </c>
      <c r="K769">
        <v>1</v>
      </c>
      <c r="L769">
        <v>1</v>
      </c>
      <c r="M769">
        <v>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-5</v>
      </c>
      <c r="U769">
        <v>13</v>
      </c>
      <c r="V769">
        <v>0</v>
      </c>
      <c r="W769">
        <v>-0.59236479114443197</v>
      </c>
      <c r="X769">
        <v>11.6132378578186</v>
      </c>
      <c r="Y769">
        <v>0</v>
      </c>
      <c r="Z769">
        <v>0</v>
      </c>
      <c r="AA769">
        <v>2</v>
      </c>
      <c r="AB769">
        <v>28</v>
      </c>
      <c r="AC769">
        <v>0</v>
      </c>
      <c r="AD769">
        <v>0</v>
      </c>
      <c r="AE769">
        <v>0</v>
      </c>
      <c r="AF769">
        <v>1</v>
      </c>
      <c r="AG769">
        <v>1.92951566330157</v>
      </c>
      <c r="AH769">
        <v>0</v>
      </c>
      <c r="AI769">
        <v>64</v>
      </c>
      <c r="AJ769">
        <v>100</v>
      </c>
      <c r="AK769">
        <v>910</v>
      </c>
      <c r="AL769">
        <v>6</v>
      </c>
      <c r="AM769">
        <v>1</v>
      </c>
      <c r="AN769">
        <v>0</v>
      </c>
      <c r="AO769">
        <v>1306</v>
      </c>
      <c r="AP769">
        <v>228</v>
      </c>
      <c r="AQ769">
        <v>48</v>
      </c>
      <c r="AR769">
        <v>34.451660055798698</v>
      </c>
      <c r="AS769">
        <v>0</v>
      </c>
      <c r="AT769">
        <v>0.69678407350689098</v>
      </c>
      <c r="AU769">
        <v>0.216450216450216</v>
      </c>
      <c r="AV769">
        <v>0.38845925044616297</v>
      </c>
      <c r="AW769">
        <v>0.59659679998763904</v>
      </c>
      <c r="AX769">
        <v>0</v>
      </c>
      <c r="AY769">
        <v>4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C769">
        <v>0</v>
      </c>
      <c r="DD769">
        <v>0</v>
      </c>
      <c r="DE769">
        <v>0</v>
      </c>
      <c r="DF769">
        <v>0</v>
      </c>
      <c r="DH769">
        <v>130.12</v>
      </c>
      <c r="DI769">
        <v>194.12</v>
      </c>
    </row>
    <row r="770" spans="1:113" ht="15" customHeight="1" x14ac:dyDescent="0.25">
      <c r="A770" t="s">
        <v>4152</v>
      </c>
      <c r="B770" t="s">
        <v>2574</v>
      </c>
      <c r="C770" t="s">
        <v>4153</v>
      </c>
      <c r="D770" t="s">
        <v>1234</v>
      </c>
      <c r="E770" t="s">
        <v>1234</v>
      </c>
      <c r="F770" t="s">
        <v>4154</v>
      </c>
      <c r="G770">
        <v>2025</v>
      </c>
      <c r="H770" t="s">
        <v>1160</v>
      </c>
      <c r="I770" t="s">
        <v>89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Y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S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2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C770">
        <v>0</v>
      </c>
      <c r="DD770">
        <v>0</v>
      </c>
      <c r="DE770">
        <v>0</v>
      </c>
      <c r="DF770">
        <v>0</v>
      </c>
      <c r="DH770">
        <v>0</v>
      </c>
      <c r="DI770">
        <v>0</v>
      </c>
    </row>
    <row r="771" spans="1:113" ht="15" customHeight="1" x14ac:dyDescent="0.25">
      <c r="A771" t="s">
        <v>4155</v>
      </c>
      <c r="B771" t="s">
        <v>4156</v>
      </c>
      <c r="C771" t="s">
        <v>4157</v>
      </c>
      <c r="D771" t="s">
        <v>1219</v>
      </c>
      <c r="E771" t="s">
        <v>1220</v>
      </c>
      <c r="F771" t="s">
        <v>4158</v>
      </c>
      <c r="G771">
        <v>2025</v>
      </c>
      <c r="H771" t="s">
        <v>1160</v>
      </c>
      <c r="I771" t="s">
        <v>137</v>
      </c>
      <c r="J771">
        <v>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Y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S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7</v>
      </c>
      <c r="BU771">
        <v>36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C771">
        <v>0</v>
      </c>
      <c r="DD771">
        <v>0</v>
      </c>
      <c r="DE771">
        <v>0</v>
      </c>
      <c r="DF771">
        <v>0</v>
      </c>
      <c r="DH771">
        <v>0</v>
      </c>
      <c r="DI771">
        <v>0</v>
      </c>
    </row>
    <row r="772" spans="1:113" ht="15" customHeight="1" x14ac:dyDescent="0.25">
      <c r="A772" t="s">
        <v>4159</v>
      </c>
      <c r="B772" t="s">
        <v>4160</v>
      </c>
      <c r="C772" t="s">
        <v>4161</v>
      </c>
      <c r="D772" t="s">
        <v>1350</v>
      </c>
      <c r="E772" t="s">
        <v>1307</v>
      </c>
      <c r="F772" t="s">
        <v>4162</v>
      </c>
      <c r="G772">
        <v>2025</v>
      </c>
      <c r="H772" t="s">
        <v>1160</v>
      </c>
      <c r="I772" t="s">
        <v>103</v>
      </c>
      <c r="J772">
        <v>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Y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S772">
        <v>0</v>
      </c>
      <c r="AU772">
        <v>0</v>
      </c>
      <c r="AV772">
        <v>0</v>
      </c>
      <c r="AW772">
        <v>0</v>
      </c>
      <c r="AX772">
        <v>0</v>
      </c>
      <c r="AY772">
        <v>6</v>
      </c>
      <c r="AZ772">
        <v>0</v>
      </c>
      <c r="BA772">
        <v>4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</v>
      </c>
      <c r="BU772">
        <v>10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C772">
        <v>0</v>
      </c>
      <c r="DD772">
        <v>0</v>
      </c>
      <c r="DE772">
        <v>0</v>
      </c>
      <c r="DF772">
        <v>0</v>
      </c>
      <c r="DH772">
        <v>0</v>
      </c>
      <c r="DI772">
        <v>0</v>
      </c>
    </row>
    <row r="773" spans="1:113" ht="15" customHeight="1" x14ac:dyDescent="0.25">
      <c r="A773" t="s">
        <v>4163</v>
      </c>
      <c r="B773" t="s">
        <v>4164</v>
      </c>
      <c r="C773" t="s">
        <v>4165</v>
      </c>
      <c r="D773" t="s">
        <v>1297</v>
      </c>
      <c r="E773" t="s">
        <v>1220</v>
      </c>
      <c r="F773" t="s">
        <v>4166</v>
      </c>
      <c r="G773">
        <v>2025</v>
      </c>
      <c r="H773" t="s">
        <v>1160</v>
      </c>
      <c r="I773" t="s">
        <v>143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Y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S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5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C773">
        <v>0</v>
      </c>
      <c r="DD773">
        <v>0</v>
      </c>
      <c r="DE773">
        <v>0</v>
      </c>
      <c r="DF773">
        <v>0</v>
      </c>
      <c r="DH773">
        <v>0</v>
      </c>
      <c r="DI773">
        <v>0</v>
      </c>
    </row>
    <row r="774" spans="1:113" ht="15" customHeight="1" x14ac:dyDescent="0.25">
      <c r="A774" t="s">
        <v>4167</v>
      </c>
      <c r="B774" t="s">
        <v>4168</v>
      </c>
      <c r="C774" t="s">
        <v>4169</v>
      </c>
      <c r="D774" t="s">
        <v>1219</v>
      </c>
      <c r="E774" t="s">
        <v>1220</v>
      </c>
      <c r="F774" t="s">
        <v>4170</v>
      </c>
      <c r="G774">
        <v>2025</v>
      </c>
      <c r="H774" t="s">
        <v>1160</v>
      </c>
      <c r="I774" t="s">
        <v>138</v>
      </c>
      <c r="J774">
        <v>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Y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S774">
        <v>0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7</v>
      </c>
      <c r="BU774">
        <v>48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C774">
        <v>0</v>
      </c>
      <c r="DD774">
        <v>0</v>
      </c>
      <c r="DE774">
        <v>0</v>
      </c>
      <c r="DF774">
        <v>0</v>
      </c>
      <c r="DH774">
        <v>0</v>
      </c>
      <c r="DI774">
        <v>0</v>
      </c>
    </row>
    <row r="775" spans="1:113" ht="15" customHeight="1" x14ac:dyDescent="0.25">
      <c r="A775" t="s">
        <v>4171</v>
      </c>
      <c r="B775" t="s">
        <v>4172</v>
      </c>
      <c r="C775" t="s">
        <v>782</v>
      </c>
      <c r="D775" t="s">
        <v>10</v>
      </c>
      <c r="E775" t="s">
        <v>10</v>
      </c>
      <c r="F775" t="s">
        <v>4173</v>
      </c>
      <c r="G775">
        <v>2025</v>
      </c>
      <c r="H775" t="s">
        <v>1160</v>
      </c>
      <c r="I775" t="s">
        <v>133</v>
      </c>
      <c r="J775">
        <v>11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Y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H775">
        <v>0</v>
      </c>
      <c r="AI775">
        <v>4</v>
      </c>
      <c r="AJ775">
        <v>7</v>
      </c>
      <c r="AK775">
        <v>62</v>
      </c>
      <c r="AL775">
        <v>0</v>
      </c>
      <c r="AM775">
        <v>0</v>
      </c>
      <c r="AN775">
        <v>0</v>
      </c>
      <c r="AO775">
        <v>98</v>
      </c>
      <c r="AP775">
        <v>9</v>
      </c>
      <c r="AQ775">
        <v>3</v>
      </c>
      <c r="AR775">
        <v>3.0458659707801399</v>
      </c>
      <c r="AS775">
        <v>0</v>
      </c>
      <c r="AT775">
        <v>0.63265306122449005</v>
      </c>
      <c r="AU775">
        <v>1.5151515151515201E-2</v>
      </c>
      <c r="AV775">
        <v>2.91493158834027E-2</v>
      </c>
      <c r="AW775">
        <v>4.3131793845654597E-2</v>
      </c>
      <c r="AX775">
        <v>0</v>
      </c>
      <c r="AY775">
        <v>1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15</v>
      </c>
      <c r="BV775">
        <v>0</v>
      </c>
      <c r="BW775">
        <v>0</v>
      </c>
      <c r="BX775">
        <v>28</v>
      </c>
      <c r="BY775">
        <v>726</v>
      </c>
      <c r="BZ775">
        <v>0</v>
      </c>
      <c r="CA775">
        <v>0</v>
      </c>
      <c r="CB775">
        <v>0</v>
      </c>
      <c r="CC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C775">
        <v>0</v>
      </c>
      <c r="DD775">
        <v>0</v>
      </c>
      <c r="DE775">
        <v>0</v>
      </c>
      <c r="DF775">
        <v>0</v>
      </c>
      <c r="DH775">
        <v>6.2</v>
      </c>
      <c r="DI775">
        <v>10.199999999999999</v>
      </c>
    </row>
    <row r="776" spans="1:113" ht="15" customHeight="1" x14ac:dyDescent="0.25">
      <c r="A776" t="s">
        <v>4174</v>
      </c>
      <c r="B776" t="s">
        <v>4175</v>
      </c>
      <c r="C776" t="s">
        <v>4176</v>
      </c>
      <c r="D776" t="s">
        <v>1234</v>
      </c>
      <c r="E776" t="s">
        <v>1234</v>
      </c>
      <c r="F776" t="s">
        <v>4177</v>
      </c>
      <c r="G776">
        <v>2025</v>
      </c>
      <c r="H776" t="s">
        <v>1160</v>
      </c>
      <c r="I776" t="s">
        <v>123</v>
      </c>
      <c r="J776">
        <v>17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Y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S776">
        <v>0</v>
      </c>
      <c r="AU776">
        <v>0</v>
      </c>
      <c r="AV776">
        <v>0</v>
      </c>
      <c r="AW776">
        <v>0</v>
      </c>
      <c r="AX776">
        <v>0</v>
      </c>
      <c r="AY776">
        <v>69</v>
      </c>
      <c r="AZ776">
        <v>4</v>
      </c>
      <c r="BA776">
        <v>81</v>
      </c>
      <c r="BB776">
        <v>10</v>
      </c>
      <c r="BC776">
        <v>27</v>
      </c>
      <c r="BD776">
        <v>1</v>
      </c>
      <c r="BE776">
        <v>1</v>
      </c>
      <c r="BF776">
        <v>8</v>
      </c>
      <c r="BG776">
        <v>7</v>
      </c>
      <c r="BH776">
        <v>1</v>
      </c>
      <c r="BI776">
        <v>0</v>
      </c>
      <c r="BJ776">
        <v>6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</v>
      </c>
      <c r="BU776">
        <v>5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C776">
        <v>0</v>
      </c>
      <c r="DD776">
        <v>0</v>
      </c>
      <c r="DE776">
        <v>0</v>
      </c>
      <c r="DF776">
        <v>0</v>
      </c>
      <c r="DH776">
        <v>0</v>
      </c>
      <c r="DI776">
        <v>0</v>
      </c>
    </row>
    <row r="777" spans="1:113" ht="15" customHeight="1" x14ac:dyDescent="0.25">
      <c r="A777" t="s">
        <v>4178</v>
      </c>
      <c r="B777" t="s">
        <v>1494</v>
      </c>
      <c r="C777" t="s">
        <v>4179</v>
      </c>
      <c r="D777" t="s">
        <v>1655</v>
      </c>
      <c r="E777" t="s">
        <v>1220</v>
      </c>
      <c r="F777" t="s">
        <v>4180</v>
      </c>
      <c r="G777">
        <v>2025</v>
      </c>
      <c r="H777" t="s">
        <v>1160</v>
      </c>
      <c r="I777" t="s">
        <v>101</v>
      </c>
      <c r="J777">
        <v>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Y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S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0</v>
      </c>
      <c r="BT777">
        <v>4</v>
      </c>
      <c r="BU777">
        <v>25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C777">
        <v>0</v>
      </c>
      <c r="DD777">
        <v>0</v>
      </c>
      <c r="DE777">
        <v>0</v>
      </c>
      <c r="DF777">
        <v>0</v>
      </c>
      <c r="DH777">
        <v>0</v>
      </c>
      <c r="DI777">
        <v>0</v>
      </c>
    </row>
    <row r="778" spans="1:113" ht="15" customHeight="1" x14ac:dyDescent="0.25">
      <c r="A778" t="s">
        <v>4181</v>
      </c>
      <c r="B778" t="s">
        <v>4182</v>
      </c>
      <c r="C778" t="s">
        <v>4183</v>
      </c>
      <c r="D778" t="s">
        <v>1655</v>
      </c>
      <c r="E778" t="s">
        <v>1220</v>
      </c>
      <c r="F778" t="s">
        <v>4184</v>
      </c>
      <c r="G778">
        <v>2025</v>
      </c>
      <c r="H778" t="s">
        <v>1160</v>
      </c>
      <c r="I778" t="s">
        <v>123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Y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S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10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C778">
        <v>0</v>
      </c>
      <c r="DD778">
        <v>0</v>
      </c>
      <c r="DE778">
        <v>0</v>
      </c>
      <c r="DF778">
        <v>0</v>
      </c>
      <c r="DH778">
        <v>0</v>
      </c>
      <c r="DI778">
        <v>0</v>
      </c>
    </row>
    <row r="779" spans="1:113" ht="15" customHeight="1" x14ac:dyDescent="0.25">
      <c r="A779" t="s">
        <v>4185</v>
      </c>
      <c r="B779" t="s">
        <v>4186</v>
      </c>
      <c r="C779" t="s">
        <v>4187</v>
      </c>
      <c r="D779" t="s">
        <v>1243</v>
      </c>
      <c r="E779" t="s">
        <v>1190</v>
      </c>
      <c r="F779" t="s">
        <v>4188</v>
      </c>
      <c r="G779">
        <v>2025</v>
      </c>
      <c r="H779" t="s">
        <v>1160</v>
      </c>
      <c r="I779" t="s">
        <v>111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Y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S779">
        <v>0</v>
      </c>
      <c r="AU779">
        <v>0</v>
      </c>
      <c r="AV779">
        <v>0</v>
      </c>
      <c r="AW779">
        <v>0</v>
      </c>
      <c r="AX779">
        <v>0</v>
      </c>
      <c r="AY779">
        <v>5</v>
      </c>
      <c r="AZ779">
        <v>0</v>
      </c>
      <c r="BA779">
        <v>9</v>
      </c>
      <c r="BB779">
        <v>2</v>
      </c>
      <c r="BC779">
        <v>17</v>
      </c>
      <c r="BD779">
        <v>1</v>
      </c>
      <c r="BE779">
        <v>1</v>
      </c>
      <c r="BF779">
        <v>16</v>
      </c>
      <c r="BG779">
        <v>3</v>
      </c>
      <c r="BH779">
        <v>0</v>
      </c>
      <c r="BI779">
        <v>0</v>
      </c>
      <c r="BJ779">
        <v>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2</v>
      </c>
      <c r="BU779">
        <v>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C779">
        <v>0</v>
      </c>
      <c r="DD779">
        <v>0</v>
      </c>
      <c r="DE779">
        <v>0</v>
      </c>
      <c r="DF779">
        <v>0</v>
      </c>
      <c r="DH779">
        <v>0</v>
      </c>
      <c r="DI779">
        <v>0</v>
      </c>
    </row>
    <row r="780" spans="1:113" ht="15" customHeight="1" x14ac:dyDescent="0.25">
      <c r="A780" t="s">
        <v>4189</v>
      </c>
      <c r="B780" t="s">
        <v>4190</v>
      </c>
      <c r="C780" t="s">
        <v>4191</v>
      </c>
      <c r="D780" t="s">
        <v>1350</v>
      </c>
      <c r="E780" t="s">
        <v>1307</v>
      </c>
      <c r="F780" t="s">
        <v>4192</v>
      </c>
      <c r="G780">
        <v>2025</v>
      </c>
      <c r="H780" t="s">
        <v>1160</v>
      </c>
      <c r="I780" t="s">
        <v>131</v>
      </c>
      <c r="J780">
        <v>14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Y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S780">
        <v>0</v>
      </c>
      <c r="AU780">
        <v>0</v>
      </c>
      <c r="AV780">
        <v>0</v>
      </c>
      <c r="AW780">
        <v>0</v>
      </c>
      <c r="AX780">
        <v>0</v>
      </c>
      <c r="AY780">
        <v>22</v>
      </c>
      <c r="AZ780">
        <v>0</v>
      </c>
      <c r="BA780">
        <v>15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7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5</v>
      </c>
      <c r="BU780">
        <v>35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C780">
        <v>0</v>
      </c>
      <c r="DD780">
        <v>0</v>
      </c>
      <c r="DE780">
        <v>0</v>
      </c>
      <c r="DF780">
        <v>0</v>
      </c>
      <c r="DH780">
        <v>0</v>
      </c>
      <c r="DI780">
        <v>0</v>
      </c>
    </row>
    <row r="781" spans="1:113" ht="15" customHeight="1" x14ac:dyDescent="0.25">
      <c r="A781" t="s">
        <v>4193</v>
      </c>
      <c r="B781" t="s">
        <v>3641</v>
      </c>
      <c r="C781" t="s">
        <v>1020</v>
      </c>
      <c r="D781" t="s">
        <v>10</v>
      </c>
      <c r="E781" t="s">
        <v>10</v>
      </c>
      <c r="F781" t="s">
        <v>4194</v>
      </c>
      <c r="G781">
        <v>2025</v>
      </c>
      <c r="H781" t="s">
        <v>1160</v>
      </c>
      <c r="I781" t="s">
        <v>106</v>
      </c>
      <c r="J781">
        <v>11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Y781">
        <v>0</v>
      </c>
      <c r="AA781">
        <v>6</v>
      </c>
      <c r="AB781">
        <v>30</v>
      </c>
      <c r="AC781">
        <v>0</v>
      </c>
      <c r="AD781">
        <v>1</v>
      </c>
      <c r="AE781">
        <v>1</v>
      </c>
      <c r="AF781">
        <v>2</v>
      </c>
      <c r="AG781">
        <v>-0.66652726317988698</v>
      </c>
      <c r="AH781">
        <v>0</v>
      </c>
      <c r="AI781">
        <v>20</v>
      </c>
      <c r="AJ781">
        <v>37</v>
      </c>
      <c r="AK781">
        <v>227</v>
      </c>
      <c r="AL781">
        <v>1</v>
      </c>
      <c r="AM781">
        <v>0</v>
      </c>
      <c r="AN781">
        <v>0</v>
      </c>
      <c r="AO781">
        <v>518</v>
      </c>
      <c r="AP781">
        <v>31</v>
      </c>
      <c r="AQ781">
        <v>13</v>
      </c>
      <c r="AR781">
        <v>-2.08392019058443</v>
      </c>
      <c r="AS781">
        <v>0</v>
      </c>
      <c r="AT781">
        <v>0.43822393822393801</v>
      </c>
      <c r="AU781">
        <v>6.7641681901279699E-2</v>
      </c>
      <c r="AV781">
        <v>0.106147540983607</v>
      </c>
      <c r="AW781">
        <v>0.17576580154044399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2</v>
      </c>
      <c r="BU781">
        <v>15</v>
      </c>
      <c r="BV781">
        <v>0</v>
      </c>
      <c r="BW781">
        <v>0</v>
      </c>
      <c r="BX781">
        <v>4</v>
      </c>
      <c r="BY781">
        <v>106</v>
      </c>
      <c r="BZ781">
        <v>0</v>
      </c>
      <c r="CA781">
        <v>0</v>
      </c>
      <c r="CB781">
        <v>0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C781">
        <v>0</v>
      </c>
      <c r="DD781">
        <v>0</v>
      </c>
      <c r="DE781">
        <v>0</v>
      </c>
      <c r="DF781">
        <v>0</v>
      </c>
      <c r="DH781">
        <v>29.7</v>
      </c>
      <c r="DI781">
        <v>49.7</v>
      </c>
    </row>
    <row r="782" spans="1:113" ht="15" customHeight="1" x14ac:dyDescent="0.25">
      <c r="A782" t="s">
        <v>4195</v>
      </c>
      <c r="B782" t="s">
        <v>2636</v>
      </c>
      <c r="C782" t="s">
        <v>1018</v>
      </c>
      <c r="D782" t="s">
        <v>439</v>
      </c>
      <c r="E782" t="s">
        <v>439</v>
      </c>
      <c r="F782" t="s">
        <v>4196</v>
      </c>
      <c r="G782">
        <v>2025</v>
      </c>
      <c r="H782" t="s">
        <v>1160</v>
      </c>
      <c r="I782" t="s">
        <v>143</v>
      </c>
      <c r="J782">
        <v>10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Y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H782">
        <v>0</v>
      </c>
      <c r="AI782">
        <v>11</v>
      </c>
      <c r="AJ782">
        <v>16</v>
      </c>
      <c r="AK782">
        <v>103</v>
      </c>
      <c r="AL782">
        <v>1</v>
      </c>
      <c r="AM782">
        <v>0</v>
      </c>
      <c r="AN782">
        <v>0</v>
      </c>
      <c r="AO782">
        <v>48</v>
      </c>
      <c r="AP782">
        <v>68</v>
      </c>
      <c r="AQ782">
        <v>6</v>
      </c>
      <c r="AR782">
        <v>7.8047239480656598</v>
      </c>
      <c r="AS782">
        <v>0</v>
      </c>
      <c r="AT782">
        <v>2.1458333333333299</v>
      </c>
      <c r="AU782">
        <v>3.7037037037037E-2</v>
      </c>
      <c r="AV782">
        <v>1.2006003001500801E-2</v>
      </c>
      <c r="AW782">
        <v>6.3959757656606095E-2</v>
      </c>
      <c r="AX782">
        <v>0</v>
      </c>
      <c r="AY782">
        <v>0</v>
      </c>
      <c r="AZ782">
        <v>0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1</v>
      </c>
      <c r="BU782">
        <v>10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C782">
        <v>0</v>
      </c>
      <c r="DD782">
        <v>0</v>
      </c>
      <c r="DE782">
        <v>0</v>
      </c>
      <c r="DF782">
        <v>0</v>
      </c>
      <c r="DH782">
        <v>16.3</v>
      </c>
      <c r="DI782">
        <v>27.3</v>
      </c>
    </row>
    <row r="783" spans="1:113" ht="15" customHeight="1" x14ac:dyDescent="0.25">
      <c r="A783" t="s">
        <v>4197</v>
      </c>
      <c r="B783" t="s">
        <v>4198</v>
      </c>
      <c r="C783" t="s">
        <v>4199</v>
      </c>
      <c r="D783" t="s">
        <v>1684</v>
      </c>
      <c r="E783" t="s">
        <v>1307</v>
      </c>
      <c r="F783" t="s">
        <v>4200</v>
      </c>
      <c r="G783">
        <v>2025</v>
      </c>
      <c r="H783" t="s">
        <v>1160</v>
      </c>
      <c r="I783" t="s">
        <v>124</v>
      </c>
      <c r="J783">
        <v>17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Y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S783">
        <v>0</v>
      </c>
      <c r="AU783">
        <v>0</v>
      </c>
      <c r="AV783">
        <v>0</v>
      </c>
      <c r="AW783">
        <v>0</v>
      </c>
      <c r="AX783">
        <v>0</v>
      </c>
      <c r="AY783">
        <v>47</v>
      </c>
      <c r="AZ783">
        <v>3</v>
      </c>
      <c r="BA783">
        <v>31</v>
      </c>
      <c r="BB783">
        <v>3</v>
      </c>
      <c r="BC783">
        <v>18</v>
      </c>
      <c r="BD783">
        <v>1</v>
      </c>
      <c r="BE783">
        <v>1</v>
      </c>
      <c r="BF783">
        <v>15</v>
      </c>
      <c r="BG783">
        <v>0</v>
      </c>
      <c r="BH783">
        <v>4</v>
      </c>
      <c r="BI783">
        <v>22</v>
      </c>
      <c r="BJ783">
        <v>8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C783">
        <v>0</v>
      </c>
      <c r="DD783">
        <v>0</v>
      </c>
      <c r="DE783">
        <v>0</v>
      </c>
      <c r="DF783">
        <v>0</v>
      </c>
      <c r="DH783">
        <v>0</v>
      </c>
      <c r="DI783">
        <v>0</v>
      </c>
    </row>
    <row r="784" spans="1:113" ht="15" customHeight="1" x14ac:dyDescent="0.25">
      <c r="A784" t="s">
        <v>4201</v>
      </c>
      <c r="B784" t="s">
        <v>4202</v>
      </c>
      <c r="C784" t="s">
        <v>572</v>
      </c>
      <c r="D784" t="s">
        <v>10</v>
      </c>
      <c r="E784" t="s">
        <v>10</v>
      </c>
      <c r="F784" t="s">
        <v>4203</v>
      </c>
      <c r="G784">
        <v>2025</v>
      </c>
      <c r="H784" t="s">
        <v>1160</v>
      </c>
      <c r="I784" t="s">
        <v>97</v>
      </c>
      <c r="J784">
        <v>11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Y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H784">
        <v>0</v>
      </c>
      <c r="AI784">
        <v>4</v>
      </c>
      <c r="AJ784">
        <v>8</v>
      </c>
      <c r="AK784">
        <v>45</v>
      </c>
      <c r="AL784">
        <v>1</v>
      </c>
      <c r="AM784">
        <v>0</v>
      </c>
      <c r="AN784">
        <v>0</v>
      </c>
      <c r="AO784">
        <v>107</v>
      </c>
      <c r="AP784">
        <v>17</v>
      </c>
      <c r="AQ784">
        <v>3</v>
      </c>
      <c r="AR784">
        <v>1.5113781204127701</v>
      </c>
      <c r="AS784">
        <v>0</v>
      </c>
      <c r="AT784">
        <v>0.420560747663551</v>
      </c>
      <c r="AU784">
        <v>1.9656019656019701E-2</v>
      </c>
      <c r="AV784">
        <v>3.1268264172998203E-2</v>
      </c>
      <c r="AW784">
        <v>5.1371814405128301E-2</v>
      </c>
      <c r="AX784">
        <v>0</v>
      </c>
      <c r="AY784">
        <v>5</v>
      </c>
      <c r="AZ784">
        <v>0</v>
      </c>
      <c r="BA784">
        <v>3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2</v>
      </c>
      <c r="BU784">
        <v>15</v>
      </c>
      <c r="BV784">
        <v>0</v>
      </c>
      <c r="BW784">
        <v>0</v>
      </c>
      <c r="BX784">
        <v>5</v>
      </c>
      <c r="BY784">
        <v>123</v>
      </c>
      <c r="BZ784">
        <v>0</v>
      </c>
      <c r="CA784">
        <v>0</v>
      </c>
      <c r="CB784">
        <v>0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C784">
        <v>0</v>
      </c>
      <c r="DD784">
        <v>0</v>
      </c>
      <c r="DE784">
        <v>0</v>
      </c>
      <c r="DF784">
        <v>0</v>
      </c>
      <c r="DH784">
        <v>10.5</v>
      </c>
      <c r="DI784">
        <v>14.5</v>
      </c>
    </row>
    <row r="785" spans="1:113" ht="15" customHeight="1" x14ac:dyDescent="0.25">
      <c r="A785" t="s">
        <v>4204</v>
      </c>
      <c r="B785" t="s">
        <v>4205</v>
      </c>
      <c r="C785" t="s">
        <v>709</v>
      </c>
      <c r="D785" t="s">
        <v>439</v>
      </c>
      <c r="E785" t="s">
        <v>439</v>
      </c>
      <c r="F785" t="s">
        <v>4206</v>
      </c>
      <c r="G785">
        <v>2025</v>
      </c>
      <c r="H785" t="s">
        <v>1160</v>
      </c>
      <c r="I785" t="s">
        <v>123</v>
      </c>
      <c r="J785">
        <v>14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Y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H785">
        <v>0</v>
      </c>
      <c r="AI785">
        <v>21</v>
      </c>
      <c r="AJ785">
        <v>37</v>
      </c>
      <c r="AK785">
        <v>178</v>
      </c>
      <c r="AL785">
        <v>0</v>
      </c>
      <c r="AM785">
        <v>0</v>
      </c>
      <c r="AN785">
        <v>0</v>
      </c>
      <c r="AO785">
        <v>239</v>
      </c>
      <c r="AP785">
        <v>107</v>
      </c>
      <c r="AQ785">
        <v>9</v>
      </c>
      <c r="AR785">
        <v>-6.8543196658579602</v>
      </c>
      <c r="AS785">
        <v>0</v>
      </c>
      <c r="AT785">
        <v>0.74476987447698695</v>
      </c>
      <c r="AU785">
        <v>6.7395264116575607E-2</v>
      </c>
      <c r="AV785">
        <v>5.2724465034193702E-2</v>
      </c>
      <c r="AW785">
        <v>0.13800002169879899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2</v>
      </c>
      <c r="BU785">
        <v>15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C785">
        <v>0</v>
      </c>
      <c r="DD785">
        <v>0</v>
      </c>
      <c r="DE785">
        <v>0</v>
      </c>
      <c r="DF785">
        <v>0</v>
      </c>
      <c r="DH785">
        <v>17.8</v>
      </c>
      <c r="DI785">
        <v>38.799999999999997</v>
      </c>
    </row>
    <row r="786" spans="1:113" ht="15" customHeight="1" x14ac:dyDescent="0.25">
      <c r="A786" t="s">
        <v>4207</v>
      </c>
      <c r="B786" t="s">
        <v>4208</v>
      </c>
      <c r="C786" t="s">
        <v>4209</v>
      </c>
      <c r="D786" t="s">
        <v>1243</v>
      </c>
      <c r="E786" t="s">
        <v>1190</v>
      </c>
      <c r="F786" t="s">
        <v>4210</v>
      </c>
      <c r="G786">
        <v>2025</v>
      </c>
      <c r="H786" t="s">
        <v>1160</v>
      </c>
      <c r="I786" t="s">
        <v>107</v>
      </c>
      <c r="J786">
        <v>15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Y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S786">
        <v>0</v>
      </c>
      <c r="AU786">
        <v>0</v>
      </c>
      <c r="AV786">
        <v>0</v>
      </c>
      <c r="AW786">
        <v>0</v>
      </c>
      <c r="AX786">
        <v>0</v>
      </c>
      <c r="AY786">
        <v>18</v>
      </c>
      <c r="AZ786">
        <v>1</v>
      </c>
      <c r="BA786">
        <v>33</v>
      </c>
      <c r="BB786">
        <v>4</v>
      </c>
      <c r="BC786">
        <v>20</v>
      </c>
      <c r="BD786">
        <v>0</v>
      </c>
      <c r="BE786">
        <v>3</v>
      </c>
      <c r="BF786">
        <v>19</v>
      </c>
      <c r="BG786">
        <v>7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C786">
        <v>0</v>
      </c>
      <c r="DD786">
        <v>0</v>
      </c>
      <c r="DE786">
        <v>0</v>
      </c>
      <c r="DF786">
        <v>0</v>
      </c>
      <c r="DH786">
        <v>0</v>
      </c>
      <c r="DI786">
        <v>0</v>
      </c>
    </row>
    <row r="787" spans="1:113" ht="15" customHeight="1" x14ac:dyDescent="0.25">
      <c r="A787" t="s">
        <v>4211</v>
      </c>
      <c r="B787" t="s">
        <v>4212</v>
      </c>
      <c r="C787" t="s">
        <v>4213</v>
      </c>
      <c r="D787" t="s">
        <v>1234</v>
      </c>
      <c r="E787" t="s">
        <v>1234</v>
      </c>
      <c r="F787" t="s">
        <v>4214</v>
      </c>
      <c r="G787">
        <v>2025</v>
      </c>
      <c r="H787" t="s">
        <v>1160</v>
      </c>
      <c r="I787" t="s">
        <v>133</v>
      </c>
      <c r="J787">
        <v>12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Y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S787">
        <v>0</v>
      </c>
      <c r="AU787">
        <v>0</v>
      </c>
      <c r="AV787">
        <v>0</v>
      </c>
      <c r="AW787">
        <v>0</v>
      </c>
      <c r="AX787">
        <v>0</v>
      </c>
      <c r="AY787">
        <v>11</v>
      </c>
      <c r="AZ787">
        <v>1</v>
      </c>
      <c r="BA787">
        <v>23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</v>
      </c>
      <c r="BU787">
        <v>20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C787">
        <v>0</v>
      </c>
      <c r="DD787">
        <v>0</v>
      </c>
      <c r="DE787">
        <v>0</v>
      </c>
      <c r="DF787">
        <v>0</v>
      </c>
      <c r="DH787">
        <v>0</v>
      </c>
      <c r="DI787">
        <v>0</v>
      </c>
    </row>
    <row r="788" spans="1:113" ht="15" customHeight="1" x14ac:dyDescent="0.25">
      <c r="A788" t="s">
        <v>4215</v>
      </c>
      <c r="B788" t="s">
        <v>4216</v>
      </c>
      <c r="C788" t="s">
        <v>4217</v>
      </c>
      <c r="D788" t="s">
        <v>1234</v>
      </c>
      <c r="E788" t="s">
        <v>1234</v>
      </c>
      <c r="F788" t="s">
        <v>4218</v>
      </c>
      <c r="G788">
        <v>2025</v>
      </c>
      <c r="H788" t="s">
        <v>1160</v>
      </c>
      <c r="I788" t="s">
        <v>124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Y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S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C788">
        <v>0</v>
      </c>
      <c r="DD788">
        <v>0</v>
      </c>
      <c r="DE788">
        <v>0</v>
      </c>
      <c r="DF788">
        <v>0</v>
      </c>
      <c r="DH788">
        <v>0</v>
      </c>
      <c r="DI788">
        <v>0</v>
      </c>
    </row>
    <row r="789" spans="1:113" ht="15" customHeight="1" x14ac:dyDescent="0.25">
      <c r="A789" t="s">
        <v>4219</v>
      </c>
      <c r="B789" t="s">
        <v>4220</v>
      </c>
      <c r="C789" t="s">
        <v>440</v>
      </c>
      <c r="D789" t="s">
        <v>10</v>
      </c>
      <c r="E789" t="s">
        <v>10</v>
      </c>
      <c r="F789" t="s">
        <v>4221</v>
      </c>
      <c r="G789">
        <v>2025</v>
      </c>
      <c r="H789" t="s">
        <v>1160</v>
      </c>
      <c r="I789" t="s">
        <v>90</v>
      </c>
      <c r="J789">
        <v>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Y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S789">
        <v>0</v>
      </c>
      <c r="AU789">
        <v>0</v>
      </c>
      <c r="AV789">
        <v>0</v>
      </c>
      <c r="AW789">
        <v>0</v>
      </c>
      <c r="AX789">
        <v>0</v>
      </c>
      <c r="AY789">
        <v>3</v>
      </c>
      <c r="AZ789">
        <v>0</v>
      </c>
      <c r="BA789">
        <v>4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C789">
        <v>0</v>
      </c>
      <c r="DD789">
        <v>0</v>
      </c>
      <c r="DE789">
        <v>0</v>
      </c>
      <c r="DF789">
        <v>0</v>
      </c>
      <c r="DH789">
        <v>0</v>
      </c>
      <c r="DI789">
        <v>0</v>
      </c>
    </row>
    <row r="790" spans="1:113" ht="15" customHeight="1" x14ac:dyDescent="0.25">
      <c r="A790" t="s">
        <v>4222</v>
      </c>
      <c r="B790" t="s">
        <v>4223</v>
      </c>
      <c r="C790" t="s">
        <v>4224</v>
      </c>
      <c r="D790" t="s">
        <v>1234</v>
      </c>
      <c r="E790" t="s">
        <v>1234</v>
      </c>
      <c r="F790" t="s">
        <v>4225</v>
      </c>
      <c r="G790">
        <v>2025</v>
      </c>
      <c r="H790" t="s">
        <v>1160</v>
      </c>
      <c r="I790" t="s">
        <v>118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Y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S790">
        <v>0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0</v>
      </c>
      <c r="BA790">
        <v>5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C790">
        <v>0</v>
      </c>
      <c r="DD790">
        <v>0</v>
      </c>
      <c r="DE790">
        <v>0</v>
      </c>
      <c r="DF790">
        <v>0</v>
      </c>
      <c r="DH790">
        <v>0</v>
      </c>
      <c r="DI790">
        <v>0</v>
      </c>
    </row>
    <row r="791" spans="1:113" ht="15" customHeight="1" x14ac:dyDescent="0.25">
      <c r="A791" t="s">
        <v>4226</v>
      </c>
      <c r="B791" t="s">
        <v>4227</v>
      </c>
      <c r="C791" t="s">
        <v>4228</v>
      </c>
      <c r="D791" t="s">
        <v>1243</v>
      </c>
      <c r="E791" t="s">
        <v>1190</v>
      </c>
      <c r="F791" t="s">
        <v>4229</v>
      </c>
      <c r="G791">
        <v>2025</v>
      </c>
      <c r="H791" t="s">
        <v>1160</v>
      </c>
      <c r="I791" t="s">
        <v>118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Y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S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4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C791">
        <v>0</v>
      </c>
      <c r="DD791">
        <v>0</v>
      </c>
      <c r="DE791">
        <v>0</v>
      </c>
      <c r="DF791">
        <v>0</v>
      </c>
      <c r="DH791">
        <v>0</v>
      </c>
      <c r="DI791">
        <v>0</v>
      </c>
    </row>
    <row r="792" spans="1:113" ht="15" customHeight="1" x14ac:dyDescent="0.25">
      <c r="A792" t="s">
        <v>4230</v>
      </c>
      <c r="B792" t="s">
        <v>4231</v>
      </c>
      <c r="C792" t="s">
        <v>4232</v>
      </c>
      <c r="D792" t="s">
        <v>1219</v>
      </c>
      <c r="E792" t="s">
        <v>1220</v>
      </c>
      <c r="F792" t="s">
        <v>4233</v>
      </c>
      <c r="G792">
        <v>2025</v>
      </c>
      <c r="H792" t="s">
        <v>1160</v>
      </c>
      <c r="I792" t="s">
        <v>89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Y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S792">
        <v>0</v>
      </c>
      <c r="AU792">
        <v>0</v>
      </c>
      <c r="AV792">
        <v>0</v>
      </c>
      <c r="AW792">
        <v>0</v>
      </c>
      <c r="AX792">
        <v>0</v>
      </c>
      <c r="AY792">
        <v>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4</v>
      </c>
      <c r="BU792">
        <v>34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C792">
        <v>0</v>
      </c>
      <c r="DD792">
        <v>0</v>
      </c>
      <c r="DE792">
        <v>0</v>
      </c>
      <c r="DF792">
        <v>0</v>
      </c>
      <c r="DH792">
        <v>0</v>
      </c>
      <c r="DI792">
        <v>0</v>
      </c>
    </row>
    <row r="793" spans="1:113" ht="15" customHeight="1" x14ac:dyDescent="0.25">
      <c r="A793" t="s">
        <v>4234</v>
      </c>
      <c r="B793" t="s">
        <v>4235</v>
      </c>
      <c r="C793" t="s">
        <v>4236</v>
      </c>
      <c r="D793" t="s">
        <v>1297</v>
      </c>
      <c r="E793" t="s">
        <v>1220</v>
      </c>
      <c r="F793" t="s">
        <v>4237</v>
      </c>
      <c r="G793">
        <v>2025</v>
      </c>
      <c r="H793" t="s">
        <v>1160</v>
      </c>
      <c r="I793" t="s">
        <v>106</v>
      </c>
      <c r="J793">
        <v>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Y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S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4</v>
      </c>
      <c r="BU793">
        <v>30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C793">
        <v>0</v>
      </c>
      <c r="DD793">
        <v>0</v>
      </c>
      <c r="DE793">
        <v>0</v>
      </c>
      <c r="DF793">
        <v>0</v>
      </c>
      <c r="DH793">
        <v>0</v>
      </c>
      <c r="DI793">
        <v>0</v>
      </c>
    </row>
    <row r="794" spans="1:113" ht="15" customHeight="1" x14ac:dyDescent="0.25">
      <c r="A794" t="s">
        <v>4238</v>
      </c>
      <c r="B794" t="s">
        <v>4239</v>
      </c>
      <c r="C794" t="s">
        <v>4240</v>
      </c>
      <c r="D794" t="s">
        <v>1234</v>
      </c>
      <c r="E794" t="s">
        <v>1234</v>
      </c>
      <c r="F794" t="s">
        <v>4241</v>
      </c>
      <c r="G794">
        <v>2025</v>
      </c>
      <c r="H794" t="s">
        <v>1160</v>
      </c>
      <c r="I794" t="s">
        <v>118</v>
      </c>
      <c r="J794">
        <v>16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Y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S794">
        <v>0</v>
      </c>
      <c r="AU794">
        <v>0</v>
      </c>
      <c r="AV794">
        <v>0</v>
      </c>
      <c r="AW794">
        <v>0</v>
      </c>
      <c r="AX794">
        <v>0</v>
      </c>
      <c r="AY794">
        <v>46</v>
      </c>
      <c r="AZ794">
        <v>1</v>
      </c>
      <c r="BA794">
        <v>45</v>
      </c>
      <c r="BB794">
        <v>3</v>
      </c>
      <c r="BC794">
        <v>5</v>
      </c>
      <c r="BD794">
        <v>0</v>
      </c>
      <c r="BE794">
        <v>1</v>
      </c>
      <c r="BF794">
        <v>7</v>
      </c>
      <c r="BG794">
        <v>3</v>
      </c>
      <c r="BH794">
        <v>1</v>
      </c>
      <c r="BI794">
        <v>0</v>
      </c>
      <c r="BJ794">
        <v>1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2</v>
      </c>
      <c r="BU794">
        <v>24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C794">
        <v>0</v>
      </c>
      <c r="DD794">
        <v>0</v>
      </c>
      <c r="DE794">
        <v>0</v>
      </c>
      <c r="DF794">
        <v>0</v>
      </c>
      <c r="DH794">
        <v>0</v>
      </c>
      <c r="DI794">
        <v>0</v>
      </c>
    </row>
    <row r="795" spans="1:113" ht="15" customHeight="1" x14ac:dyDescent="0.25">
      <c r="A795" t="s">
        <v>4242</v>
      </c>
      <c r="B795" t="s">
        <v>2423</v>
      </c>
      <c r="C795" t="s">
        <v>4243</v>
      </c>
      <c r="D795" t="s">
        <v>1297</v>
      </c>
      <c r="E795" t="s">
        <v>1220</v>
      </c>
      <c r="F795" t="s">
        <v>4244</v>
      </c>
      <c r="G795">
        <v>2025</v>
      </c>
      <c r="H795" t="s">
        <v>1160</v>
      </c>
      <c r="I795" t="s">
        <v>123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Y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S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2</v>
      </c>
      <c r="BU795">
        <v>10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C795">
        <v>0</v>
      </c>
      <c r="DD795">
        <v>0</v>
      </c>
      <c r="DE795">
        <v>0</v>
      </c>
      <c r="DF795">
        <v>0</v>
      </c>
      <c r="DH795">
        <v>0</v>
      </c>
      <c r="DI795">
        <v>0</v>
      </c>
    </row>
    <row r="796" spans="1:113" ht="15" customHeight="1" x14ac:dyDescent="0.25">
      <c r="A796" t="s">
        <v>4245</v>
      </c>
      <c r="B796" t="s">
        <v>4246</v>
      </c>
      <c r="C796" t="s">
        <v>4247</v>
      </c>
      <c r="D796" t="s">
        <v>1350</v>
      </c>
      <c r="E796" t="s">
        <v>1307</v>
      </c>
      <c r="F796" t="s">
        <v>4248</v>
      </c>
      <c r="G796">
        <v>2025</v>
      </c>
      <c r="H796" t="s">
        <v>1160</v>
      </c>
      <c r="I796" t="s">
        <v>96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Y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S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</v>
      </c>
      <c r="BU796">
        <v>5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C796">
        <v>0</v>
      </c>
      <c r="DD796">
        <v>0</v>
      </c>
      <c r="DE796">
        <v>0</v>
      </c>
      <c r="DF796">
        <v>0</v>
      </c>
      <c r="DH796">
        <v>0</v>
      </c>
      <c r="DI796">
        <v>0</v>
      </c>
    </row>
    <row r="797" spans="1:113" ht="15" customHeight="1" x14ac:dyDescent="0.25">
      <c r="A797" t="s">
        <v>4249</v>
      </c>
      <c r="B797" t="s">
        <v>4250</v>
      </c>
      <c r="C797" t="s">
        <v>4251</v>
      </c>
      <c r="D797" t="s">
        <v>1234</v>
      </c>
      <c r="E797" t="s">
        <v>1234</v>
      </c>
      <c r="F797" t="s">
        <v>4252</v>
      </c>
      <c r="G797">
        <v>2025</v>
      </c>
      <c r="H797" t="s">
        <v>1160</v>
      </c>
      <c r="I797" t="s">
        <v>111</v>
      </c>
      <c r="J797">
        <v>14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Y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-2.7863296521827601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S797">
        <v>0</v>
      </c>
      <c r="AU797">
        <v>0</v>
      </c>
      <c r="AV797">
        <v>0</v>
      </c>
      <c r="AW797">
        <v>0</v>
      </c>
      <c r="AX797">
        <v>0</v>
      </c>
      <c r="AY797">
        <v>5</v>
      </c>
      <c r="AZ797">
        <v>1</v>
      </c>
      <c r="BA797">
        <v>13</v>
      </c>
      <c r="BB797">
        <v>1</v>
      </c>
      <c r="BC797">
        <v>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</v>
      </c>
      <c r="BU797">
        <v>30</v>
      </c>
      <c r="BV797">
        <v>0</v>
      </c>
      <c r="BW797">
        <v>0</v>
      </c>
      <c r="BX797">
        <v>3</v>
      </c>
      <c r="BY797">
        <v>72</v>
      </c>
      <c r="BZ797">
        <v>0</v>
      </c>
      <c r="CA797">
        <v>0</v>
      </c>
      <c r="CB797">
        <v>0</v>
      </c>
      <c r="CC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C797">
        <v>0</v>
      </c>
      <c r="DD797">
        <v>0</v>
      </c>
      <c r="DE797">
        <v>0</v>
      </c>
      <c r="DF797">
        <v>0</v>
      </c>
      <c r="DH797">
        <v>0</v>
      </c>
      <c r="DI797">
        <v>0</v>
      </c>
    </row>
    <row r="798" spans="1:113" ht="15" customHeight="1" x14ac:dyDescent="0.25">
      <c r="A798" t="s">
        <v>4253</v>
      </c>
      <c r="B798" t="s">
        <v>4254</v>
      </c>
      <c r="C798" t="s">
        <v>4255</v>
      </c>
      <c r="D798" t="s">
        <v>1684</v>
      </c>
      <c r="E798" t="s">
        <v>1307</v>
      </c>
      <c r="F798" t="s">
        <v>4256</v>
      </c>
      <c r="G798">
        <v>2025</v>
      </c>
      <c r="H798" t="s">
        <v>1160</v>
      </c>
      <c r="I798" t="s">
        <v>118</v>
      </c>
      <c r="J798">
        <v>12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Y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S798">
        <v>0</v>
      </c>
      <c r="AU798">
        <v>0</v>
      </c>
      <c r="AV798">
        <v>0</v>
      </c>
      <c r="AW798">
        <v>0</v>
      </c>
      <c r="AX798">
        <v>0</v>
      </c>
      <c r="AY798">
        <v>5</v>
      </c>
      <c r="AZ798">
        <v>0</v>
      </c>
      <c r="BA798">
        <v>10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1</v>
      </c>
      <c r="BQ798">
        <v>1</v>
      </c>
      <c r="BR798">
        <v>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C798">
        <v>0</v>
      </c>
      <c r="DD798">
        <v>0</v>
      </c>
      <c r="DE798">
        <v>0</v>
      </c>
      <c r="DF798">
        <v>0</v>
      </c>
      <c r="DH798">
        <v>0</v>
      </c>
      <c r="DI798">
        <v>0</v>
      </c>
    </row>
    <row r="799" spans="1:113" ht="15" customHeight="1" x14ac:dyDescent="0.25">
      <c r="A799" t="s">
        <v>4257</v>
      </c>
      <c r="B799" t="s">
        <v>4258</v>
      </c>
      <c r="C799" t="s">
        <v>4259</v>
      </c>
      <c r="D799" t="s">
        <v>1158</v>
      </c>
      <c r="E799" t="s">
        <v>1158</v>
      </c>
      <c r="F799" t="s">
        <v>4260</v>
      </c>
      <c r="G799">
        <v>2025</v>
      </c>
      <c r="H799" t="s">
        <v>1160</v>
      </c>
      <c r="I799" t="s">
        <v>123</v>
      </c>
      <c r="J799">
        <v>1</v>
      </c>
      <c r="K799">
        <v>7</v>
      </c>
      <c r="L799">
        <v>14</v>
      </c>
      <c r="M799">
        <v>88</v>
      </c>
      <c r="N799">
        <v>0</v>
      </c>
      <c r="O799">
        <v>0</v>
      </c>
      <c r="P799">
        <v>5</v>
      </c>
      <c r="Q799">
        <v>-22</v>
      </c>
      <c r="R799">
        <v>0</v>
      </c>
      <c r="S799">
        <v>0</v>
      </c>
      <c r="T799">
        <v>138</v>
      </c>
      <c r="U799">
        <v>28</v>
      </c>
      <c r="V799">
        <v>4</v>
      </c>
      <c r="W799">
        <v>-6.8254729354436998</v>
      </c>
      <c r="X799">
        <v>-16.7718983613528</v>
      </c>
      <c r="Y799">
        <v>0</v>
      </c>
      <c r="Z799">
        <v>0.63768115942029002</v>
      </c>
      <c r="AA799">
        <v>1</v>
      </c>
      <c r="AB799">
        <v>4</v>
      </c>
      <c r="AC799">
        <v>0</v>
      </c>
      <c r="AD799">
        <v>0</v>
      </c>
      <c r="AE799">
        <v>0</v>
      </c>
      <c r="AF799">
        <v>0</v>
      </c>
      <c r="AG799">
        <v>-0.83470584289170802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S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C799">
        <v>0</v>
      </c>
      <c r="DD799">
        <v>0</v>
      </c>
      <c r="DE799">
        <v>0</v>
      </c>
      <c r="DF799">
        <v>0</v>
      </c>
      <c r="DH799">
        <v>3.92</v>
      </c>
      <c r="DI799">
        <v>3.92</v>
      </c>
    </row>
    <row r="800" spans="1:113" ht="15" customHeight="1" x14ac:dyDescent="0.25">
      <c r="A800" t="s">
        <v>4261</v>
      </c>
      <c r="B800" t="s">
        <v>4262</v>
      </c>
      <c r="C800" t="s">
        <v>4263</v>
      </c>
      <c r="D800" t="s">
        <v>1684</v>
      </c>
      <c r="E800" t="s">
        <v>1307</v>
      </c>
      <c r="F800" t="s">
        <v>4264</v>
      </c>
      <c r="G800">
        <v>2025</v>
      </c>
      <c r="H800" t="s">
        <v>1160</v>
      </c>
      <c r="I800" t="s">
        <v>115</v>
      </c>
      <c r="J800">
        <v>15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Y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S800">
        <v>0</v>
      </c>
      <c r="AU800">
        <v>0</v>
      </c>
      <c r="AV800">
        <v>0</v>
      </c>
      <c r="AW800">
        <v>0</v>
      </c>
      <c r="AX800">
        <v>0</v>
      </c>
      <c r="AY800">
        <v>19</v>
      </c>
      <c r="AZ800">
        <v>0</v>
      </c>
      <c r="BA800">
        <v>9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C800">
        <v>0</v>
      </c>
      <c r="DD800">
        <v>0</v>
      </c>
      <c r="DE800">
        <v>0</v>
      </c>
      <c r="DF800">
        <v>0</v>
      </c>
      <c r="DH800">
        <v>0</v>
      </c>
      <c r="DI800">
        <v>0</v>
      </c>
    </row>
    <row r="801" spans="1:113" ht="15" customHeight="1" x14ac:dyDescent="0.25">
      <c r="A801" t="s">
        <v>4265</v>
      </c>
      <c r="B801" t="s">
        <v>4266</v>
      </c>
      <c r="C801" t="s">
        <v>4267</v>
      </c>
      <c r="D801" t="s">
        <v>1243</v>
      </c>
      <c r="E801" t="s">
        <v>1190</v>
      </c>
      <c r="F801" t="s">
        <v>4268</v>
      </c>
      <c r="G801">
        <v>2025</v>
      </c>
      <c r="H801" t="s">
        <v>1160</v>
      </c>
      <c r="I801" t="s">
        <v>121</v>
      </c>
      <c r="J801">
        <v>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Y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S801">
        <v>0</v>
      </c>
      <c r="AU801">
        <v>0</v>
      </c>
      <c r="AV801">
        <v>0</v>
      </c>
      <c r="AW801">
        <v>0</v>
      </c>
      <c r="AX801">
        <v>0</v>
      </c>
      <c r="AY801">
        <v>7</v>
      </c>
      <c r="AZ801">
        <v>1</v>
      </c>
      <c r="BA801">
        <v>5</v>
      </c>
      <c r="BB801">
        <v>1</v>
      </c>
      <c r="BC801">
        <v>3</v>
      </c>
      <c r="BD801">
        <v>0</v>
      </c>
      <c r="BE801">
        <v>0</v>
      </c>
      <c r="BF801">
        <v>0</v>
      </c>
      <c r="BG801">
        <v>1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3</v>
      </c>
      <c r="BU801">
        <v>11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C801">
        <v>0</v>
      </c>
      <c r="DD801">
        <v>0</v>
      </c>
      <c r="DE801">
        <v>0</v>
      </c>
      <c r="DF801">
        <v>0</v>
      </c>
      <c r="DH801">
        <v>0</v>
      </c>
      <c r="DI801">
        <v>0</v>
      </c>
    </row>
    <row r="802" spans="1:113" ht="15" customHeight="1" x14ac:dyDescent="0.25">
      <c r="A802" t="s">
        <v>4269</v>
      </c>
      <c r="B802" t="s">
        <v>4270</v>
      </c>
      <c r="C802" t="s">
        <v>4271</v>
      </c>
      <c r="D802" t="s">
        <v>1234</v>
      </c>
      <c r="E802" t="s">
        <v>1234</v>
      </c>
      <c r="F802" t="s">
        <v>4272</v>
      </c>
      <c r="G802">
        <v>2025</v>
      </c>
      <c r="H802" t="s">
        <v>1160</v>
      </c>
      <c r="I802" t="s">
        <v>133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Y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S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C802">
        <v>0</v>
      </c>
      <c r="DD802">
        <v>0</v>
      </c>
      <c r="DE802">
        <v>0</v>
      </c>
      <c r="DF802">
        <v>0</v>
      </c>
      <c r="DH802">
        <v>0</v>
      </c>
      <c r="DI802">
        <v>0</v>
      </c>
    </row>
    <row r="803" spans="1:113" ht="15" customHeight="1" x14ac:dyDescent="0.25">
      <c r="A803" t="s">
        <v>4273</v>
      </c>
      <c r="B803" t="s">
        <v>4274</v>
      </c>
      <c r="C803" t="s">
        <v>4275</v>
      </c>
      <c r="D803" t="s">
        <v>1234</v>
      </c>
      <c r="E803" t="s">
        <v>1234</v>
      </c>
      <c r="F803" t="s">
        <v>4276</v>
      </c>
      <c r="G803">
        <v>2025</v>
      </c>
      <c r="H803" t="s">
        <v>1160</v>
      </c>
      <c r="I803" t="s">
        <v>109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Y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S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2</v>
      </c>
      <c r="BA803">
        <v>3</v>
      </c>
      <c r="BB803">
        <v>3</v>
      </c>
      <c r="BC803">
        <v>6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C803">
        <v>0</v>
      </c>
      <c r="DD803">
        <v>0</v>
      </c>
      <c r="DE803">
        <v>0</v>
      </c>
      <c r="DF803">
        <v>0</v>
      </c>
      <c r="DH803">
        <v>0</v>
      </c>
      <c r="DI803">
        <v>0</v>
      </c>
    </row>
    <row r="804" spans="1:113" ht="15" customHeight="1" x14ac:dyDescent="0.25">
      <c r="A804" t="s">
        <v>4277</v>
      </c>
      <c r="B804" t="s">
        <v>4278</v>
      </c>
      <c r="C804" t="s">
        <v>4279</v>
      </c>
      <c r="D804" t="s">
        <v>1189</v>
      </c>
      <c r="E804" t="s">
        <v>1190</v>
      </c>
      <c r="F804" t="s">
        <v>4280</v>
      </c>
      <c r="G804">
        <v>2025</v>
      </c>
      <c r="H804" t="s">
        <v>1160</v>
      </c>
      <c r="I804" t="s">
        <v>89</v>
      </c>
      <c r="J804">
        <v>12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Y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S804">
        <v>0</v>
      </c>
      <c r="AU804">
        <v>0</v>
      </c>
      <c r="AV804">
        <v>0</v>
      </c>
      <c r="AW804">
        <v>0</v>
      </c>
      <c r="AX804">
        <v>0</v>
      </c>
      <c r="AY804">
        <v>16</v>
      </c>
      <c r="AZ804">
        <v>1</v>
      </c>
      <c r="BA804">
        <v>11</v>
      </c>
      <c r="BB804">
        <v>5</v>
      </c>
      <c r="BC804">
        <v>25</v>
      </c>
      <c r="BD804">
        <v>0</v>
      </c>
      <c r="BE804">
        <v>3</v>
      </c>
      <c r="BF804">
        <v>15</v>
      </c>
      <c r="BG804">
        <v>4</v>
      </c>
      <c r="BH804">
        <v>1</v>
      </c>
      <c r="BI804">
        <v>18</v>
      </c>
      <c r="BJ804">
        <v>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3</v>
      </c>
      <c r="BU804">
        <v>20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C804">
        <v>0</v>
      </c>
      <c r="DD804">
        <v>0</v>
      </c>
      <c r="DE804">
        <v>0</v>
      </c>
      <c r="DF804">
        <v>0</v>
      </c>
      <c r="DH804">
        <v>0</v>
      </c>
      <c r="DI804">
        <v>0</v>
      </c>
    </row>
    <row r="805" spans="1:113" ht="15" customHeight="1" x14ac:dyDescent="0.25">
      <c r="A805" t="s">
        <v>4281</v>
      </c>
      <c r="B805" t="s">
        <v>4282</v>
      </c>
      <c r="C805" t="s">
        <v>4283</v>
      </c>
      <c r="D805" t="s">
        <v>1234</v>
      </c>
      <c r="E805" t="s">
        <v>1234</v>
      </c>
      <c r="F805" t="s">
        <v>4284</v>
      </c>
      <c r="G805">
        <v>2025</v>
      </c>
      <c r="H805" t="s">
        <v>1160</v>
      </c>
      <c r="I805" t="s">
        <v>104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Y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S805">
        <v>0</v>
      </c>
      <c r="AU805">
        <v>0</v>
      </c>
      <c r="AV805">
        <v>0</v>
      </c>
      <c r="AW805">
        <v>0</v>
      </c>
      <c r="AX805">
        <v>0</v>
      </c>
      <c r="AY805">
        <v>5</v>
      </c>
      <c r="AZ805">
        <v>0</v>
      </c>
      <c r="BA805">
        <v>12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C805">
        <v>0</v>
      </c>
      <c r="DD805">
        <v>0</v>
      </c>
      <c r="DE805">
        <v>0</v>
      </c>
      <c r="DF805">
        <v>0</v>
      </c>
      <c r="DH805">
        <v>0</v>
      </c>
      <c r="DI805">
        <v>0</v>
      </c>
    </row>
    <row r="806" spans="1:113" ht="15" customHeight="1" x14ac:dyDescent="0.25">
      <c r="A806" t="s">
        <v>4285</v>
      </c>
      <c r="B806" t="s">
        <v>4286</v>
      </c>
      <c r="C806" t="s">
        <v>4287</v>
      </c>
      <c r="D806" t="s">
        <v>431</v>
      </c>
      <c r="E806" t="s">
        <v>431</v>
      </c>
      <c r="F806" t="s">
        <v>4288</v>
      </c>
      <c r="G806">
        <v>2025</v>
      </c>
      <c r="H806" t="s">
        <v>1160</v>
      </c>
      <c r="I806" t="s">
        <v>115</v>
      </c>
      <c r="J806">
        <v>13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Y806">
        <v>0</v>
      </c>
      <c r="AA806">
        <v>10</v>
      </c>
      <c r="AB806">
        <v>44</v>
      </c>
      <c r="AC806">
        <v>0</v>
      </c>
      <c r="AD806">
        <v>0</v>
      </c>
      <c r="AE806">
        <v>0</v>
      </c>
      <c r="AF806">
        <v>7</v>
      </c>
      <c r="AG806">
        <v>-0.59127168409759201</v>
      </c>
      <c r="AH806">
        <v>0</v>
      </c>
      <c r="AI806">
        <v>6</v>
      </c>
      <c r="AJ806">
        <v>8</v>
      </c>
      <c r="AK806">
        <v>53</v>
      </c>
      <c r="AL806">
        <v>0</v>
      </c>
      <c r="AM806">
        <v>0</v>
      </c>
      <c r="AN806">
        <v>0</v>
      </c>
      <c r="AO806">
        <v>9</v>
      </c>
      <c r="AP806">
        <v>43</v>
      </c>
      <c r="AQ806">
        <v>3</v>
      </c>
      <c r="AR806">
        <v>1.73441274743527</v>
      </c>
      <c r="AS806">
        <v>0</v>
      </c>
      <c r="AT806">
        <v>5.8888888888888902</v>
      </c>
      <c r="AU806">
        <v>1.3698630136986301E-2</v>
      </c>
      <c r="AV806">
        <v>2.0053475935828901E-3</v>
      </c>
      <c r="AW806">
        <v>2.19516885209875E-2</v>
      </c>
      <c r="AX806">
        <v>0</v>
      </c>
      <c r="AY806">
        <v>3</v>
      </c>
      <c r="AZ806">
        <v>0</v>
      </c>
      <c r="BA806">
        <v>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C806">
        <v>0</v>
      </c>
      <c r="DD806">
        <v>0</v>
      </c>
      <c r="DE806">
        <v>0</v>
      </c>
      <c r="DF806">
        <v>0</v>
      </c>
      <c r="DH806">
        <v>9.6999999999999993</v>
      </c>
      <c r="DI806">
        <v>15.7</v>
      </c>
    </row>
    <row r="807" spans="1:113" ht="15" customHeight="1" x14ac:dyDescent="0.25">
      <c r="A807" t="s">
        <v>4289</v>
      </c>
      <c r="B807" t="s">
        <v>2196</v>
      </c>
      <c r="C807" t="s">
        <v>4290</v>
      </c>
      <c r="D807" t="s">
        <v>1234</v>
      </c>
      <c r="E807" t="s">
        <v>1234</v>
      </c>
      <c r="F807" t="s">
        <v>4291</v>
      </c>
      <c r="G807">
        <v>2025</v>
      </c>
      <c r="H807" t="s">
        <v>1160</v>
      </c>
      <c r="I807" t="s">
        <v>141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Y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S807">
        <v>0</v>
      </c>
      <c r="AU807">
        <v>0</v>
      </c>
      <c r="AV807">
        <v>0</v>
      </c>
      <c r="AW807">
        <v>0</v>
      </c>
      <c r="AX807">
        <v>0</v>
      </c>
      <c r="AY807">
        <v>18</v>
      </c>
      <c r="AZ807">
        <v>1</v>
      </c>
      <c r="BA807">
        <v>23</v>
      </c>
      <c r="BB807">
        <v>1</v>
      </c>
      <c r="BC807">
        <v>5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C807">
        <v>0</v>
      </c>
      <c r="DD807">
        <v>0</v>
      </c>
      <c r="DE807">
        <v>0</v>
      </c>
      <c r="DF807">
        <v>0</v>
      </c>
      <c r="DH807">
        <v>0</v>
      </c>
      <c r="DI807">
        <v>0</v>
      </c>
    </row>
    <row r="808" spans="1:113" ht="15" customHeight="1" x14ac:dyDescent="0.25">
      <c r="A808" t="s">
        <v>4292</v>
      </c>
      <c r="B808" t="s">
        <v>4293</v>
      </c>
      <c r="C808" t="s">
        <v>569</v>
      </c>
      <c r="D808" t="s">
        <v>439</v>
      </c>
      <c r="E808" t="s">
        <v>439</v>
      </c>
      <c r="F808" t="s">
        <v>4294</v>
      </c>
      <c r="G808">
        <v>2025</v>
      </c>
      <c r="H808" t="s">
        <v>1160</v>
      </c>
      <c r="I808" t="s">
        <v>138</v>
      </c>
      <c r="J808">
        <v>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Y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H808">
        <v>0</v>
      </c>
      <c r="AI808">
        <v>6</v>
      </c>
      <c r="AJ808">
        <v>11</v>
      </c>
      <c r="AK808">
        <v>46</v>
      </c>
      <c r="AL808">
        <v>1</v>
      </c>
      <c r="AM808">
        <v>0</v>
      </c>
      <c r="AN808">
        <v>0</v>
      </c>
      <c r="AO808">
        <v>34</v>
      </c>
      <c r="AP808">
        <v>17</v>
      </c>
      <c r="AQ808">
        <v>2</v>
      </c>
      <c r="AR808">
        <v>-5.0341330545488701</v>
      </c>
      <c r="AS808">
        <v>0</v>
      </c>
      <c r="AT808">
        <v>1.3529411764705901</v>
      </c>
      <c r="AU808">
        <v>1.9469026548672601E-2</v>
      </c>
      <c r="AV808">
        <v>7.1025694589513296E-3</v>
      </c>
      <c r="AW808">
        <v>3.4175338444274797E-2</v>
      </c>
      <c r="AX808">
        <v>0</v>
      </c>
      <c r="AY808">
        <v>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C808">
        <v>0</v>
      </c>
      <c r="DD808">
        <v>0</v>
      </c>
      <c r="DE808">
        <v>0</v>
      </c>
      <c r="DF808">
        <v>0</v>
      </c>
      <c r="DH808">
        <v>10.6</v>
      </c>
      <c r="DI808">
        <v>16.600000000000001</v>
      </c>
    </row>
    <row r="809" spans="1:113" ht="15" customHeight="1" x14ac:dyDescent="0.25">
      <c r="A809" t="s">
        <v>4295</v>
      </c>
      <c r="B809" t="s">
        <v>4296</v>
      </c>
      <c r="C809" t="s">
        <v>629</v>
      </c>
      <c r="D809" t="s">
        <v>439</v>
      </c>
      <c r="E809" t="s">
        <v>439</v>
      </c>
      <c r="F809" t="s">
        <v>4297</v>
      </c>
      <c r="G809">
        <v>2025</v>
      </c>
      <c r="H809" t="s">
        <v>1160</v>
      </c>
      <c r="I809" t="s">
        <v>111</v>
      </c>
      <c r="J809">
        <v>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Y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H809">
        <v>0</v>
      </c>
      <c r="AI809">
        <v>14</v>
      </c>
      <c r="AJ809">
        <v>22</v>
      </c>
      <c r="AK809">
        <v>108</v>
      </c>
      <c r="AL809">
        <v>2</v>
      </c>
      <c r="AM809">
        <v>0</v>
      </c>
      <c r="AN809">
        <v>0</v>
      </c>
      <c r="AO809">
        <v>22</v>
      </c>
      <c r="AP809">
        <v>86</v>
      </c>
      <c r="AQ809">
        <v>7</v>
      </c>
      <c r="AR809">
        <v>-1.92902500196942</v>
      </c>
      <c r="AS809">
        <v>0</v>
      </c>
      <c r="AT809">
        <v>4.9090909090909101</v>
      </c>
      <c r="AU809">
        <v>0.04</v>
      </c>
      <c r="AV809">
        <v>5.8949624866023601E-3</v>
      </c>
      <c r="AW809">
        <v>6.4126473740621706E-2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2</v>
      </c>
      <c r="BU809">
        <v>10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C809">
        <v>0</v>
      </c>
      <c r="DD809">
        <v>0</v>
      </c>
      <c r="DE809">
        <v>0</v>
      </c>
      <c r="DF809">
        <v>0</v>
      </c>
      <c r="DH809">
        <v>22.8</v>
      </c>
      <c r="DI809">
        <v>36.799999999999997</v>
      </c>
    </row>
    <row r="810" spans="1:113" ht="15" customHeight="1" x14ac:dyDescent="0.25">
      <c r="A810" t="s">
        <v>4298</v>
      </c>
      <c r="B810" t="s">
        <v>4299</v>
      </c>
      <c r="C810" t="s">
        <v>738</v>
      </c>
      <c r="D810" t="s">
        <v>431</v>
      </c>
      <c r="E810" t="s">
        <v>431</v>
      </c>
      <c r="F810" t="s">
        <v>4300</v>
      </c>
      <c r="G810">
        <v>2025</v>
      </c>
      <c r="H810" t="s">
        <v>1160</v>
      </c>
      <c r="I810" t="s">
        <v>131</v>
      </c>
      <c r="J810">
        <v>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Y810">
        <v>0</v>
      </c>
      <c r="AA810">
        <v>41</v>
      </c>
      <c r="AB810">
        <v>159</v>
      </c>
      <c r="AC810">
        <v>1</v>
      </c>
      <c r="AD810">
        <v>0</v>
      </c>
      <c r="AE810">
        <v>0</v>
      </c>
      <c r="AF810">
        <v>7</v>
      </c>
      <c r="AG810">
        <v>-1.4585378609228199</v>
      </c>
      <c r="AH810">
        <v>0</v>
      </c>
      <c r="AI810">
        <v>3</v>
      </c>
      <c r="AJ810">
        <v>4</v>
      </c>
      <c r="AK810">
        <v>8</v>
      </c>
      <c r="AL810">
        <v>0</v>
      </c>
      <c r="AM810">
        <v>0</v>
      </c>
      <c r="AN810">
        <v>0</v>
      </c>
      <c r="AO810">
        <v>-1</v>
      </c>
      <c r="AP810">
        <v>8</v>
      </c>
      <c r="AQ810">
        <v>1</v>
      </c>
      <c r="AR810">
        <v>-1.61643091065343</v>
      </c>
      <c r="AS810">
        <v>0</v>
      </c>
      <c r="AT810">
        <v>-8</v>
      </c>
      <c r="AU810">
        <v>7.3529411764705899E-3</v>
      </c>
      <c r="AV810">
        <v>-2.1997360316762001E-4</v>
      </c>
      <c r="AW810">
        <v>1.08754302424885E-2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3</v>
      </c>
      <c r="BY810">
        <v>79</v>
      </c>
      <c r="BZ810">
        <v>0</v>
      </c>
      <c r="CA810">
        <v>0</v>
      </c>
      <c r="CB810">
        <v>0</v>
      </c>
      <c r="CC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C810">
        <v>0</v>
      </c>
      <c r="DD810">
        <v>0</v>
      </c>
      <c r="DE810">
        <v>0</v>
      </c>
      <c r="DF810">
        <v>0</v>
      </c>
      <c r="DH810">
        <v>22.7</v>
      </c>
      <c r="DI810">
        <v>25.7</v>
      </c>
    </row>
    <row r="811" spans="1:113" ht="15" customHeight="1" x14ac:dyDescent="0.25">
      <c r="A811" t="s">
        <v>4301</v>
      </c>
      <c r="B811" t="s">
        <v>4302</v>
      </c>
      <c r="C811" t="s">
        <v>4303</v>
      </c>
      <c r="D811" t="s">
        <v>1189</v>
      </c>
      <c r="E811" t="s">
        <v>1190</v>
      </c>
      <c r="F811" t="s">
        <v>4304</v>
      </c>
      <c r="G811">
        <v>2025</v>
      </c>
      <c r="H811" t="s">
        <v>1160</v>
      </c>
      <c r="I811" t="s">
        <v>1200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Y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S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C811">
        <v>0</v>
      </c>
      <c r="DD811">
        <v>0</v>
      </c>
      <c r="DE811">
        <v>0</v>
      </c>
      <c r="DF811">
        <v>0</v>
      </c>
      <c r="DH811">
        <v>0</v>
      </c>
      <c r="DI811">
        <v>0</v>
      </c>
    </row>
    <row r="812" spans="1:113" ht="15" customHeight="1" x14ac:dyDescent="0.25">
      <c r="A812" t="s">
        <v>4305</v>
      </c>
      <c r="B812" t="s">
        <v>4306</v>
      </c>
      <c r="C812" t="s">
        <v>4307</v>
      </c>
      <c r="D812" t="s">
        <v>1234</v>
      </c>
      <c r="E812" t="s">
        <v>1234</v>
      </c>
      <c r="F812" t="s">
        <v>4308</v>
      </c>
      <c r="G812">
        <v>2025</v>
      </c>
      <c r="H812" t="s">
        <v>1160</v>
      </c>
      <c r="I812" t="s">
        <v>89</v>
      </c>
      <c r="J812">
        <v>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Y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S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5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C812">
        <v>0</v>
      </c>
      <c r="DD812">
        <v>0</v>
      </c>
      <c r="DE812">
        <v>0</v>
      </c>
      <c r="DF812">
        <v>0</v>
      </c>
      <c r="DH812">
        <v>0</v>
      </c>
      <c r="DI812">
        <v>0</v>
      </c>
    </row>
    <row r="813" spans="1:113" ht="15" customHeight="1" x14ac:dyDescent="0.25">
      <c r="A813" t="s">
        <v>4309</v>
      </c>
      <c r="B813" t="s">
        <v>4310</v>
      </c>
      <c r="C813" t="s">
        <v>4311</v>
      </c>
      <c r="D813" t="s">
        <v>1234</v>
      </c>
      <c r="E813" t="s">
        <v>1234</v>
      </c>
      <c r="F813" t="s">
        <v>4312</v>
      </c>
      <c r="G813">
        <v>2025</v>
      </c>
      <c r="H813" t="s">
        <v>1160</v>
      </c>
      <c r="I813" t="s">
        <v>114</v>
      </c>
      <c r="J813">
        <v>15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Y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S813">
        <v>0</v>
      </c>
      <c r="AU813">
        <v>0</v>
      </c>
      <c r="AV813">
        <v>0</v>
      </c>
      <c r="AW813">
        <v>0</v>
      </c>
      <c r="AX813">
        <v>0</v>
      </c>
      <c r="AY813">
        <v>37</v>
      </c>
      <c r="AZ813">
        <v>2</v>
      </c>
      <c r="BA813">
        <v>55</v>
      </c>
      <c r="BB813">
        <v>0</v>
      </c>
      <c r="BC813">
        <v>0</v>
      </c>
      <c r="BD813">
        <v>1</v>
      </c>
      <c r="BE813">
        <v>0</v>
      </c>
      <c r="BF813">
        <v>0</v>
      </c>
      <c r="BG813">
        <v>3</v>
      </c>
      <c r="BH813">
        <v>0</v>
      </c>
      <c r="BI813">
        <v>0</v>
      </c>
      <c r="BJ813">
        <v>3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</v>
      </c>
      <c r="BU813">
        <v>15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C813">
        <v>0</v>
      </c>
      <c r="DD813">
        <v>0</v>
      </c>
      <c r="DE813">
        <v>0</v>
      </c>
      <c r="DF813">
        <v>0</v>
      </c>
      <c r="DH813">
        <v>0</v>
      </c>
      <c r="DI813">
        <v>0</v>
      </c>
    </row>
    <row r="814" spans="1:113" ht="15" customHeight="1" x14ac:dyDescent="0.25">
      <c r="A814" t="s">
        <v>4313</v>
      </c>
      <c r="B814" t="s">
        <v>4314</v>
      </c>
      <c r="C814" t="s">
        <v>4315</v>
      </c>
      <c r="D814" t="s">
        <v>1168</v>
      </c>
      <c r="E814" t="s">
        <v>1169</v>
      </c>
      <c r="F814" t="s">
        <v>4316</v>
      </c>
      <c r="G814">
        <v>2025</v>
      </c>
      <c r="H814" t="s">
        <v>1160</v>
      </c>
      <c r="I814" t="s">
        <v>133</v>
      </c>
      <c r="J814">
        <v>17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Y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S814">
        <v>0</v>
      </c>
      <c r="AU814">
        <v>0</v>
      </c>
      <c r="AV814">
        <v>0</v>
      </c>
      <c r="AW814">
        <v>0</v>
      </c>
      <c r="AX814">
        <v>0</v>
      </c>
      <c r="AY814">
        <v>3</v>
      </c>
      <c r="AZ814">
        <v>0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2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27</v>
      </c>
      <c r="CA814">
        <v>29</v>
      </c>
      <c r="CB814">
        <v>2</v>
      </c>
      <c r="CC814">
        <v>0</v>
      </c>
      <c r="CD814">
        <v>54</v>
      </c>
      <c r="CE814">
        <v>0.931034482758621</v>
      </c>
      <c r="CF814">
        <v>0</v>
      </c>
      <c r="CG814">
        <v>5</v>
      </c>
      <c r="CH814">
        <v>8</v>
      </c>
      <c r="CI814">
        <v>11</v>
      </c>
      <c r="CJ814">
        <v>3</v>
      </c>
      <c r="CK814">
        <v>0</v>
      </c>
      <c r="CL814">
        <v>0</v>
      </c>
      <c r="CM814">
        <v>0</v>
      </c>
      <c r="CN814">
        <v>1</v>
      </c>
      <c r="CO814">
        <v>0</v>
      </c>
      <c r="CP814">
        <v>1</v>
      </c>
      <c r="CQ814">
        <v>0</v>
      </c>
      <c r="CR814" t="s">
        <v>4317</v>
      </c>
      <c r="CS814" t="s">
        <v>4318</v>
      </c>
      <c r="CU814">
        <v>1072</v>
      </c>
      <c r="CV814">
        <v>92</v>
      </c>
      <c r="CW814">
        <v>0</v>
      </c>
      <c r="CX814">
        <v>34</v>
      </c>
      <c r="CY814">
        <v>35</v>
      </c>
      <c r="CZ814">
        <v>1</v>
      </c>
      <c r="DA814">
        <v>0</v>
      </c>
      <c r="DB814">
        <v>0.97142857142857097</v>
      </c>
      <c r="DC814">
        <v>1</v>
      </c>
      <c r="DD814">
        <v>1</v>
      </c>
      <c r="DE814">
        <v>0</v>
      </c>
      <c r="DF814">
        <v>0</v>
      </c>
      <c r="DG814">
        <v>29</v>
      </c>
      <c r="DH814">
        <v>0</v>
      </c>
      <c r="DI814">
        <v>0</v>
      </c>
    </row>
    <row r="815" spans="1:113" ht="15" customHeight="1" x14ac:dyDescent="0.25">
      <c r="A815" t="s">
        <v>4319</v>
      </c>
      <c r="B815" t="s">
        <v>4320</v>
      </c>
      <c r="C815" t="s">
        <v>504</v>
      </c>
      <c r="D815" t="s">
        <v>439</v>
      </c>
      <c r="E815" t="s">
        <v>439</v>
      </c>
      <c r="F815" t="s">
        <v>4321</v>
      </c>
      <c r="G815">
        <v>2025</v>
      </c>
      <c r="H815" t="s">
        <v>1160</v>
      </c>
      <c r="I815" t="s">
        <v>93</v>
      </c>
      <c r="J815">
        <v>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Y815">
        <v>0</v>
      </c>
      <c r="AA815">
        <v>2</v>
      </c>
      <c r="AB815">
        <v>4</v>
      </c>
      <c r="AC815">
        <v>0</v>
      </c>
      <c r="AD815">
        <v>0</v>
      </c>
      <c r="AE815">
        <v>0</v>
      </c>
      <c r="AF815">
        <v>2</v>
      </c>
      <c r="AG815">
        <v>1.2725044116377799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S815">
        <v>0</v>
      </c>
      <c r="AU815">
        <v>0</v>
      </c>
      <c r="AV815">
        <v>0</v>
      </c>
      <c r="AW815">
        <v>0</v>
      </c>
      <c r="AX815">
        <v>0</v>
      </c>
      <c r="AY815">
        <v>8</v>
      </c>
      <c r="AZ815">
        <v>0</v>
      </c>
      <c r="BA815">
        <v>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3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4</v>
      </c>
      <c r="BU815">
        <v>34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C815">
        <v>0</v>
      </c>
      <c r="DD815">
        <v>0</v>
      </c>
      <c r="DE815">
        <v>0</v>
      </c>
      <c r="DF815">
        <v>0</v>
      </c>
      <c r="DH815">
        <v>0.4</v>
      </c>
      <c r="DI815">
        <v>0.4</v>
      </c>
    </row>
    <row r="816" spans="1:113" ht="15" customHeight="1" x14ac:dyDescent="0.25">
      <c r="A816" t="s">
        <v>4322</v>
      </c>
      <c r="B816" t="s">
        <v>4323</v>
      </c>
      <c r="C816" t="s">
        <v>4324</v>
      </c>
      <c r="D816" t="s">
        <v>1655</v>
      </c>
      <c r="E816" t="s">
        <v>1220</v>
      </c>
      <c r="F816" t="s">
        <v>4325</v>
      </c>
      <c r="G816">
        <v>2025</v>
      </c>
      <c r="H816" t="s">
        <v>1160</v>
      </c>
      <c r="I816" t="s">
        <v>93</v>
      </c>
      <c r="J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Y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S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2</v>
      </c>
      <c r="BP816">
        <v>2</v>
      </c>
      <c r="BQ816">
        <v>0</v>
      </c>
      <c r="BR816">
        <v>0</v>
      </c>
      <c r="BS816">
        <v>0</v>
      </c>
      <c r="BT816">
        <v>3</v>
      </c>
      <c r="BU816">
        <v>15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C816">
        <v>0</v>
      </c>
      <c r="DD816">
        <v>0</v>
      </c>
      <c r="DE816">
        <v>0</v>
      </c>
      <c r="DF816">
        <v>0</v>
      </c>
      <c r="DH816">
        <v>0</v>
      </c>
      <c r="DI816">
        <v>0</v>
      </c>
    </row>
    <row r="817" spans="1:113" ht="15" customHeight="1" x14ac:dyDescent="0.25">
      <c r="A817" t="s">
        <v>4326</v>
      </c>
      <c r="B817" t="s">
        <v>4327</v>
      </c>
      <c r="C817" t="s">
        <v>4328</v>
      </c>
      <c r="D817" t="s">
        <v>1219</v>
      </c>
      <c r="E817" t="s">
        <v>1220</v>
      </c>
      <c r="F817" t="s">
        <v>4329</v>
      </c>
      <c r="G817">
        <v>2025</v>
      </c>
      <c r="H817" t="s">
        <v>1160</v>
      </c>
      <c r="I817" t="s">
        <v>133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Y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S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5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C817">
        <v>0</v>
      </c>
      <c r="DD817">
        <v>0</v>
      </c>
      <c r="DE817">
        <v>0</v>
      </c>
      <c r="DF817">
        <v>0</v>
      </c>
      <c r="DH817">
        <v>0</v>
      </c>
      <c r="DI817">
        <v>0</v>
      </c>
    </row>
    <row r="818" spans="1:113" ht="15" customHeight="1" x14ac:dyDescent="0.25">
      <c r="A818" t="s">
        <v>4330</v>
      </c>
      <c r="B818" t="s">
        <v>4331</v>
      </c>
      <c r="C818" t="s">
        <v>702</v>
      </c>
      <c r="D818" t="s">
        <v>10</v>
      </c>
      <c r="E818" t="s">
        <v>10</v>
      </c>
      <c r="F818" t="s">
        <v>4332</v>
      </c>
      <c r="G818">
        <v>2025</v>
      </c>
      <c r="H818" t="s">
        <v>1160</v>
      </c>
      <c r="I818" t="s">
        <v>106</v>
      </c>
      <c r="J818">
        <v>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Y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H818">
        <v>0</v>
      </c>
      <c r="AI818">
        <v>3</v>
      </c>
      <c r="AJ818">
        <v>10</v>
      </c>
      <c r="AK818">
        <v>46</v>
      </c>
      <c r="AL818">
        <v>0</v>
      </c>
      <c r="AM818">
        <v>0</v>
      </c>
      <c r="AN818">
        <v>0</v>
      </c>
      <c r="AO818">
        <v>130</v>
      </c>
      <c r="AP818">
        <v>2</v>
      </c>
      <c r="AQ818">
        <v>2</v>
      </c>
      <c r="AR818">
        <v>-4.9708405855871298</v>
      </c>
      <c r="AS818">
        <v>0</v>
      </c>
      <c r="AT818">
        <v>0.35384615384615398</v>
      </c>
      <c r="AU818">
        <v>1.8281535648994499E-2</v>
      </c>
      <c r="AV818">
        <v>2.6639344262295101E-2</v>
      </c>
      <c r="AW818">
        <v>4.6069844457098302E-2</v>
      </c>
      <c r="AX818">
        <v>0</v>
      </c>
      <c r="AY818">
        <v>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1</v>
      </c>
      <c r="BW818">
        <v>15</v>
      </c>
      <c r="BX818">
        <v>1</v>
      </c>
      <c r="BY818">
        <v>54</v>
      </c>
      <c r="BZ818">
        <v>0</v>
      </c>
      <c r="CA818">
        <v>0</v>
      </c>
      <c r="CB818">
        <v>0</v>
      </c>
      <c r="CC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C818">
        <v>0</v>
      </c>
      <c r="DD818">
        <v>0</v>
      </c>
      <c r="DE818">
        <v>0</v>
      </c>
      <c r="DF818">
        <v>0</v>
      </c>
      <c r="DH818">
        <v>4.5999999999999996</v>
      </c>
      <c r="DI818">
        <v>7.6</v>
      </c>
    </row>
    <row r="819" spans="1:113" ht="15" customHeight="1" x14ac:dyDescent="0.25">
      <c r="A819" t="s">
        <v>4333</v>
      </c>
      <c r="B819" t="s">
        <v>4334</v>
      </c>
      <c r="C819" t="s">
        <v>889</v>
      </c>
      <c r="D819" t="s">
        <v>431</v>
      </c>
      <c r="E819" t="s">
        <v>431</v>
      </c>
      <c r="F819" t="s">
        <v>4335</v>
      </c>
      <c r="G819">
        <v>2025</v>
      </c>
      <c r="H819" t="s">
        <v>1160</v>
      </c>
      <c r="I819" t="s">
        <v>101</v>
      </c>
      <c r="J819">
        <v>10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Y819">
        <v>0</v>
      </c>
      <c r="AA819">
        <v>13</v>
      </c>
      <c r="AB819">
        <v>49</v>
      </c>
      <c r="AC819">
        <v>0</v>
      </c>
      <c r="AD819">
        <v>0</v>
      </c>
      <c r="AE819">
        <v>0</v>
      </c>
      <c r="AF819">
        <v>2</v>
      </c>
      <c r="AG819">
        <v>-3.18227945506806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-6</v>
      </c>
      <c r="AP819">
        <v>0</v>
      </c>
      <c r="AQ819">
        <v>0</v>
      </c>
      <c r="AR819">
        <v>-0.84736684430390596</v>
      </c>
      <c r="AS819">
        <v>0</v>
      </c>
      <c r="AT819">
        <v>0</v>
      </c>
      <c r="AU819">
        <v>2.1186440677966102E-3</v>
      </c>
      <c r="AV819">
        <v>-1.7626321974148101E-3</v>
      </c>
      <c r="AW819">
        <v>1.94412356350455E-3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18</v>
      </c>
      <c r="BY819">
        <v>604</v>
      </c>
      <c r="BZ819">
        <v>0</v>
      </c>
      <c r="CA819">
        <v>0</v>
      </c>
      <c r="CB819">
        <v>0</v>
      </c>
      <c r="CC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C819">
        <v>0</v>
      </c>
      <c r="DD819">
        <v>0</v>
      </c>
      <c r="DE819">
        <v>0</v>
      </c>
      <c r="DF819">
        <v>0</v>
      </c>
      <c r="DH819">
        <v>10.9</v>
      </c>
      <c r="DI819">
        <v>10.9</v>
      </c>
    </row>
    <row r="820" spans="1:113" ht="15" customHeight="1" x14ac:dyDescent="0.25">
      <c r="A820" t="s">
        <v>4336</v>
      </c>
      <c r="B820" t="s">
        <v>4337</v>
      </c>
      <c r="C820" t="s">
        <v>4338</v>
      </c>
      <c r="D820" t="s">
        <v>1234</v>
      </c>
      <c r="E820" t="s">
        <v>1234</v>
      </c>
      <c r="F820" t="s">
        <v>4339</v>
      </c>
      <c r="G820">
        <v>2025</v>
      </c>
      <c r="H820" t="s">
        <v>1160</v>
      </c>
      <c r="I820" t="s">
        <v>141</v>
      </c>
      <c r="J820">
        <v>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Y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S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</v>
      </c>
      <c r="BA820">
        <v>6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15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C820">
        <v>0</v>
      </c>
      <c r="DD820">
        <v>0</v>
      </c>
      <c r="DE820">
        <v>0</v>
      </c>
      <c r="DF820">
        <v>0</v>
      </c>
      <c r="DH820">
        <v>0</v>
      </c>
      <c r="DI820">
        <v>0</v>
      </c>
    </row>
    <row r="821" spans="1:113" ht="15" customHeight="1" x14ac:dyDescent="0.25">
      <c r="A821" t="s">
        <v>4340</v>
      </c>
      <c r="B821" t="s">
        <v>4341</v>
      </c>
      <c r="C821" t="s">
        <v>778</v>
      </c>
      <c r="D821" t="s">
        <v>10</v>
      </c>
      <c r="E821" t="s">
        <v>10</v>
      </c>
      <c r="F821" t="s">
        <v>4342</v>
      </c>
      <c r="G821">
        <v>2025</v>
      </c>
      <c r="H821" t="s">
        <v>1160</v>
      </c>
      <c r="I821" t="s">
        <v>1200</v>
      </c>
      <c r="J821">
        <v>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Y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H821">
        <v>0</v>
      </c>
      <c r="AI821">
        <v>6</v>
      </c>
      <c r="AJ821">
        <v>15</v>
      </c>
      <c r="AK821">
        <v>192</v>
      </c>
      <c r="AL821">
        <v>1</v>
      </c>
      <c r="AM821">
        <v>0</v>
      </c>
      <c r="AN821">
        <v>0</v>
      </c>
      <c r="AO821">
        <v>302</v>
      </c>
      <c r="AP821">
        <v>67</v>
      </c>
      <c r="AQ821">
        <v>4</v>
      </c>
      <c r="AR821">
        <v>2.77551955756971</v>
      </c>
      <c r="AS821">
        <v>0</v>
      </c>
      <c r="AT821">
        <v>0.63576158940397398</v>
      </c>
      <c r="AU821">
        <v>2.58175559380379E-2</v>
      </c>
      <c r="AV821">
        <v>5.5637435519528398E-2</v>
      </c>
      <c r="AW821">
        <v>7.7672538770726704E-2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C821">
        <v>0</v>
      </c>
      <c r="DD821">
        <v>0</v>
      </c>
      <c r="DE821">
        <v>0</v>
      </c>
      <c r="DF821">
        <v>0</v>
      </c>
      <c r="DH821">
        <v>25.2</v>
      </c>
      <c r="DI821">
        <v>31.2</v>
      </c>
    </row>
    <row r="822" spans="1:113" ht="15" customHeight="1" x14ac:dyDescent="0.25">
      <c r="A822" t="s">
        <v>4343</v>
      </c>
      <c r="B822" t="s">
        <v>4344</v>
      </c>
      <c r="C822" t="s">
        <v>4345</v>
      </c>
      <c r="D822" t="s">
        <v>1189</v>
      </c>
      <c r="E822" t="s">
        <v>1190</v>
      </c>
      <c r="F822" t="s">
        <v>4346</v>
      </c>
      <c r="G822">
        <v>2025</v>
      </c>
      <c r="H822" t="s">
        <v>1160</v>
      </c>
      <c r="I822" t="s">
        <v>107</v>
      </c>
      <c r="J822">
        <v>10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Y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S822">
        <v>0</v>
      </c>
      <c r="AU822">
        <v>0</v>
      </c>
      <c r="AV822">
        <v>0</v>
      </c>
      <c r="AW822">
        <v>0</v>
      </c>
      <c r="AX822">
        <v>0</v>
      </c>
      <c r="AY822">
        <v>9</v>
      </c>
      <c r="AZ822">
        <v>0</v>
      </c>
      <c r="BA822">
        <v>8</v>
      </c>
      <c r="BB822">
        <v>2</v>
      </c>
      <c r="BC822">
        <v>9</v>
      </c>
      <c r="BD822">
        <v>1</v>
      </c>
      <c r="BE822">
        <v>2</v>
      </c>
      <c r="BF822">
        <v>1</v>
      </c>
      <c r="BG822">
        <v>6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</v>
      </c>
      <c r="BU822">
        <v>10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C822">
        <v>0</v>
      </c>
      <c r="DD822">
        <v>0</v>
      </c>
      <c r="DE822">
        <v>0</v>
      </c>
      <c r="DF822">
        <v>0</v>
      </c>
      <c r="DH822">
        <v>0</v>
      </c>
      <c r="DI822">
        <v>0</v>
      </c>
    </row>
    <row r="823" spans="1:113" ht="15" customHeight="1" x14ac:dyDescent="0.25">
      <c r="A823" t="s">
        <v>4347</v>
      </c>
      <c r="B823" t="s">
        <v>4348</v>
      </c>
      <c r="C823" t="s">
        <v>4349</v>
      </c>
      <c r="D823" t="s">
        <v>1168</v>
      </c>
      <c r="E823" t="s">
        <v>1169</v>
      </c>
      <c r="F823" t="s">
        <v>4350</v>
      </c>
      <c r="G823">
        <v>2025</v>
      </c>
      <c r="H823" t="s">
        <v>1160</v>
      </c>
      <c r="I823" t="s">
        <v>107</v>
      </c>
      <c r="J823">
        <v>17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Y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S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25</v>
      </c>
      <c r="CA823">
        <v>28</v>
      </c>
      <c r="CB823">
        <v>3</v>
      </c>
      <c r="CC823">
        <v>0</v>
      </c>
      <c r="CD823">
        <v>63</v>
      </c>
      <c r="CE823">
        <v>0.89285714285714302</v>
      </c>
      <c r="CF823">
        <v>0</v>
      </c>
      <c r="CG823">
        <v>4</v>
      </c>
      <c r="CH823">
        <v>6</v>
      </c>
      <c r="CI823">
        <v>10</v>
      </c>
      <c r="CJ823">
        <v>4</v>
      </c>
      <c r="CK823">
        <v>1</v>
      </c>
      <c r="CL823">
        <v>0</v>
      </c>
      <c r="CM823">
        <v>0</v>
      </c>
      <c r="CN823">
        <v>0</v>
      </c>
      <c r="CO823">
        <v>0</v>
      </c>
      <c r="CP823">
        <v>2</v>
      </c>
      <c r="CQ823">
        <v>1</v>
      </c>
      <c r="CR823" t="s">
        <v>4351</v>
      </c>
      <c r="CS823" t="s">
        <v>4352</v>
      </c>
      <c r="CU823">
        <v>1018</v>
      </c>
      <c r="CV823">
        <v>177</v>
      </c>
      <c r="CW823">
        <v>0</v>
      </c>
      <c r="CX823">
        <v>41</v>
      </c>
      <c r="CY823">
        <v>44</v>
      </c>
      <c r="CZ823">
        <v>2</v>
      </c>
      <c r="DA823">
        <v>1</v>
      </c>
      <c r="DB823">
        <v>0.93181818181818199</v>
      </c>
      <c r="DC823">
        <v>1</v>
      </c>
      <c r="DD823">
        <v>1</v>
      </c>
      <c r="DE823">
        <v>0</v>
      </c>
      <c r="DF823">
        <v>0</v>
      </c>
      <c r="DG823">
        <v>36</v>
      </c>
      <c r="DH823">
        <v>0</v>
      </c>
      <c r="DI823">
        <v>0</v>
      </c>
    </row>
    <row r="824" spans="1:113" ht="15" customHeight="1" x14ac:dyDescent="0.25">
      <c r="A824" t="s">
        <v>4353</v>
      </c>
      <c r="B824" t="s">
        <v>4354</v>
      </c>
      <c r="C824" t="s">
        <v>933</v>
      </c>
      <c r="D824" t="s">
        <v>10</v>
      </c>
      <c r="E824" t="s">
        <v>10</v>
      </c>
      <c r="F824" t="s">
        <v>4355</v>
      </c>
      <c r="G824">
        <v>2025</v>
      </c>
      <c r="H824" t="s">
        <v>1160</v>
      </c>
      <c r="I824" t="s">
        <v>103</v>
      </c>
      <c r="J824">
        <v>16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Y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H824">
        <v>0</v>
      </c>
      <c r="AI824">
        <v>4</v>
      </c>
      <c r="AJ824">
        <v>6</v>
      </c>
      <c r="AK824">
        <v>69</v>
      </c>
      <c r="AL824">
        <v>1</v>
      </c>
      <c r="AM824">
        <v>0</v>
      </c>
      <c r="AN824">
        <v>0</v>
      </c>
      <c r="AO824">
        <v>61</v>
      </c>
      <c r="AP824">
        <v>23</v>
      </c>
      <c r="AQ824">
        <v>4</v>
      </c>
      <c r="AR824">
        <v>5.40894610073883</v>
      </c>
      <c r="AS824">
        <v>0</v>
      </c>
      <c r="AT824">
        <v>1.13114754098361</v>
      </c>
      <c r="AU824">
        <v>1.1494252873563199E-2</v>
      </c>
      <c r="AV824">
        <v>1.85975609756098E-2</v>
      </c>
      <c r="AW824">
        <v>3.0259671993271699E-2</v>
      </c>
      <c r="AX824">
        <v>0</v>
      </c>
      <c r="AY824">
        <v>11</v>
      </c>
      <c r="AZ824">
        <v>0</v>
      </c>
      <c r="BA824">
        <v>9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1</v>
      </c>
      <c r="BS824">
        <v>0</v>
      </c>
      <c r="BT824">
        <v>5</v>
      </c>
      <c r="BU824">
        <v>45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C824">
        <v>0</v>
      </c>
      <c r="DD824">
        <v>0</v>
      </c>
      <c r="DE824">
        <v>0</v>
      </c>
      <c r="DF824">
        <v>0</v>
      </c>
      <c r="DH824">
        <v>12.9</v>
      </c>
      <c r="DI824">
        <v>16.899999999999999</v>
      </c>
    </row>
    <row r="825" spans="1:113" ht="15" customHeight="1" x14ac:dyDescent="0.25">
      <c r="A825" t="s">
        <v>4356</v>
      </c>
      <c r="B825" t="s">
        <v>4357</v>
      </c>
      <c r="C825" t="s">
        <v>4358</v>
      </c>
      <c r="D825" t="s">
        <v>1219</v>
      </c>
      <c r="E825" t="s">
        <v>1220</v>
      </c>
      <c r="F825" t="s">
        <v>4359</v>
      </c>
      <c r="G825">
        <v>2025</v>
      </c>
      <c r="H825" t="s">
        <v>1160</v>
      </c>
      <c r="I825" t="s">
        <v>139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Y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S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5</v>
      </c>
      <c r="BU825">
        <v>50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C825">
        <v>0</v>
      </c>
      <c r="DD825">
        <v>0</v>
      </c>
      <c r="DE825">
        <v>0</v>
      </c>
      <c r="DF825">
        <v>0</v>
      </c>
      <c r="DH825">
        <v>0</v>
      </c>
      <c r="DI825">
        <v>0</v>
      </c>
    </row>
    <row r="826" spans="1:113" ht="15" customHeight="1" x14ac:dyDescent="0.25">
      <c r="A826" t="s">
        <v>4360</v>
      </c>
      <c r="B826" t="s">
        <v>4361</v>
      </c>
      <c r="C826" t="s">
        <v>4362</v>
      </c>
      <c r="D826" t="s">
        <v>1189</v>
      </c>
      <c r="E826" t="s">
        <v>1190</v>
      </c>
      <c r="F826" t="s">
        <v>4363</v>
      </c>
      <c r="G826">
        <v>2025</v>
      </c>
      <c r="H826" t="s">
        <v>1160</v>
      </c>
      <c r="I826" t="s">
        <v>138</v>
      </c>
      <c r="J826">
        <v>17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Y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S826">
        <v>0</v>
      </c>
      <c r="AU826">
        <v>0</v>
      </c>
      <c r="AV826">
        <v>0</v>
      </c>
      <c r="AW826">
        <v>0</v>
      </c>
      <c r="AX826">
        <v>0</v>
      </c>
      <c r="AY826">
        <v>23</v>
      </c>
      <c r="AZ826">
        <v>1</v>
      </c>
      <c r="BA826">
        <v>23</v>
      </c>
      <c r="BB826">
        <v>3</v>
      </c>
      <c r="BC826">
        <v>13</v>
      </c>
      <c r="BD826">
        <v>1</v>
      </c>
      <c r="BE826">
        <v>2</v>
      </c>
      <c r="BF826">
        <v>12</v>
      </c>
      <c r="BG826">
        <v>4</v>
      </c>
      <c r="BH826">
        <v>0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4</v>
      </c>
      <c r="BU826">
        <v>45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C826">
        <v>0</v>
      </c>
      <c r="DD826">
        <v>0</v>
      </c>
      <c r="DE826">
        <v>0</v>
      </c>
      <c r="DF826">
        <v>0</v>
      </c>
      <c r="DH826">
        <v>0</v>
      </c>
      <c r="DI826">
        <v>0</v>
      </c>
    </row>
    <row r="827" spans="1:113" ht="15" customHeight="1" x14ac:dyDescent="0.25">
      <c r="A827" t="s">
        <v>4364</v>
      </c>
      <c r="B827" t="s">
        <v>2054</v>
      </c>
      <c r="C827" t="s">
        <v>4365</v>
      </c>
      <c r="D827" t="s">
        <v>1219</v>
      </c>
      <c r="E827" t="s">
        <v>1220</v>
      </c>
      <c r="F827" t="s">
        <v>4366</v>
      </c>
      <c r="G827">
        <v>2025</v>
      </c>
      <c r="H827" t="s">
        <v>1160</v>
      </c>
      <c r="I827" t="s">
        <v>142</v>
      </c>
      <c r="J827">
        <v>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Y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S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3</v>
      </c>
      <c r="BU827">
        <v>20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C827">
        <v>0</v>
      </c>
      <c r="DD827">
        <v>0</v>
      </c>
      <c r="DE827">
        <v>0</v>
      </c>
      <c r="DF827">
        <v>0</v>
      </c>
      <c r="DH827">
        <v>0</v>
      </c>
      <c r="DI827">
        <v>0</v>
      </c>
    </row>
    <row r="828" spans="1:113" ht="15" customHeight="1" x14ac:dyDescent="0.25">
      <c r="A828" t="s">
        <v>4367</v>
      </c>
      <c r="B828" t="s">
        <v>4368</v>
      </c>
      <c r="C828" t="s">
        <v>4369</v>
      </c>
      <c r="D828" t="s">
        <v>1234</v>
      </c>
      <c r="E828" t="s">
        <v>1234</v>
      </c>
      <c r="F828" t="s">
        <v>4370</v>
      </c>
      <c r="G828">
        <v>2025</v>
      </c>
      <c r="H828" t="s">
        <v>1160</v>
      </c>
      <c r="I828" t="s">
        <v>124</v>
      </c>
      <c r="J828">
        <v>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Y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S828">
        <v>0</v>
      </c>
      <c r="AU828">
        <v>0</v>
      </c>
      <c r="AV828">
        <v>0</v>
      </c>
      <c r="AW828">
        <v>0</v>
      </c>
      <c r="AX828">
        <v>0</v>
      </c>
      <c r="AY828">
        <v>8</v>
      </c>
      <c r="AZ828">
        <v>0</v>
      </c>
      <c r="BA828">
        <v>6</v>
      </c>
      <c r="BB828">
        <v>1</v>
      </c>
      <c r="BC828">
        <v>1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C828">
        <v>0</v>
      </c>
      <c r="DD828">
        <v>0</v>
      </c>
      <c r="DE828">
        <v>0</v>
      </c>
      <c r="DF828">
        <v>0</v>
      </c>
      <c r="DH828">
        <v>0</v>
      </c>
      <c r="DI828">
        <v>0</v>
      </c>
    </row>
    <row r="829" spans="1:113" ht="15" customHeight="1" x14ac:dyDescent="0.25">
      <c r="A829" t="s">
        <v>4371</v>
      </c>
      <c r="B829" t="s">
        <v>4372</v>
      </c>
      <c r="C829" t="s">
        <v>4373</v>
      </c>
      <c r="D829" t="s">
        <v>1350</v>
      </c>
      <c r="E829" t="s">
        <v>1307</v>
      </c>
      <c r="F829" t="s">
        <v>4374</v>
      </c>
      <c r="G829">
        <v>2025</v>
      </c>
      <c r="H829" t="s">
        <v>1160</v>
      </c>
      <c r="I829" t="s">
        <v>118</v>
      </c>
      <c r="J829">
        <v>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Y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S829">
        <v>0</v>
      </c>
      <c r="AU829">
        <v>0</v>
      </c>
      <c r="AV829">
        <v>0</v>
      </c>
      <c r="AW829">
        <v>0</v>
      </c>
      <c r="AX829">
        <v>0</v>
      </c>
      <c r="AY829">
        <v>14</v>
      </c>
      <c r="AZ829">
        <v>0</v>
      </c>
      <c r="BA829">
        <v>13</v>
      </c>
      <c r="BB829">
        <v>2</v>
      </c>
      <c r="BC829">
        <v>3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2</v>
      </c>
      <c r="BU829">
        <v>10</v>
      </c>
      <c r="BV829">
        <v>0</v>
      </c>
      <c r="BW829">
        <v>0</v>
      </c>
      <c r="BX829">
        <v>2</v>
      </c>
      <c r="BY829">
        <v>45</v>
      </c>
      <c r="BZ829">
        <v>0</v>
      </c>
      <c r="CA829">
        <v>0</v>
      </c>
      <c r="CB829">
        <v>0</v>
      </c>
      <c r="CC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C829">
        <v>0</v>
      </c>
      <c r="DD829">
        <v>0</v>
      </c>
      <c r="DE829">
        <v>0</v>
      </c>
      <c r="DF829">
        <v>0</v>
      </c>
      <c r="DH829">
        <v>0</v>
      </c>
      <c r="DI829">
        <v>0</v>
      </c>
    </row>
    <row r="830" spans="1:113" ht="15" customHeight="1" x14ac:dyDescent="0.25">
      <c r="A830" t="s">
        <v>4375</v>
      </c>
      <c r="B830" t="s">
        <v>4376</v>
      </c>
      <c r="C830" t="s">
        <v>4377</v>
      </c>
      <c r="D830" t="s">
        <v>1350</v>
      </c>
      <c r="E830" t="s">
        <v>1307</v>
      </c>
      <c r="F830" t="s">
        <v>4378</v>
      </c>
      <c r="G830">
        <v>2025</v>
      </c>
      <c r="H830" t="s">
        <v>1160</v>
      </c>
      <c r="I830" t="s">
        <v>115</v>
      </c>
      <c r="J830">
        <v>14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Y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S830">
        <v>0</v>
      </c>
      <c r="AU830">
        <v>0</v>
      </c>
      <c r="AV830">
        <v>0</v>
      </c>
      <c r="AW830">
        <v>0</v>
      </c>
      <c r="AX830">
        <v>0</v>
      </c>
      <c r="AY830">
        <v>37</v>
      </c>
      <c r="AZ830">
        <v>0</v>
      </c>
      <c r="BA830">
        <v>10</v>
      </c>
      <c r="BB830">
        <v>1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0</v>
      </c>
      <c r="BJ830">
        <v>12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9</v>
      </c>
      <c r="BU830">
        <v>109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C830">
        <v>0</v>
      </c>
      <c r="DD830">
        <v>0</v>
      </c>
      <c r="DE830">
        <v>0</v>
      </c>
      <c r="DF830">
        <v>0</v>
      </c>
      <c r="DH830">
        <v>0</v>
      </c>
      <c r="DI830">
        <v>0</v>
      </c>
    </row>
    <row r="831" spans="1:113" ht="15" customHeight="1" x14ac:dyDescent="0.25">
      <c r="A831" t="s">
        <v>4379</v>
      </c>
      <c r="B831" t="s">
        <v>4380</v>
      </c>
      <c r="C831" t="s">
        <v>828</v>
      </c>
      <c r="D831" t="s">
        <v>431</v>
      </c>
      <c r="E831" t="s">
        <v>431</v>
      </c>
      <c r="F831" t="s">
        <v>4381</v>
      </c>
      <c r="G831">
        <v>2025</v>
      </c>
      <c r="H831" t="s">
        <v>1160</v>
      </c>
      <c r="I831" t="s">
        <v>114</v>
      </c>
      <c r="J831">
        <v>14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Y831">
        <v>0</v>
      </c>
      <c r="AA831">
        <v>130</v>
      </c>
      <c r="AB831">
        <v>603</v>
      </c>
      <c r="AC831">
        <v>7</v>
      </c>
      <c r="AD831">
        <v>2</v>
      </c>
      <c r="AE831">
        <v>2</v>
      </c>
      <c r="AF831">
        <v>29</v>
      </c>
      <c r="AG831">
        <v>-18.276205582510901</v>
      </c>
      <c r="AH831">
        <v>1</v>
      </c>
      <c r="AI831">
        <v>32</v>
      </c>
      <c r="AJ831">
        <v>37</v>
      </c>
      <c r="AK831">
        <v>345</v>
      </c>
      <c r="AL831">
        <v>2</v>
      </c>
      <c r="AM831">
        <v>1</v>
      </c>
      <c r="AN831">
        <v>1</v>
      </c>
      <c r="AO831">
        <v>159</v>
      </c>
      <c r="AP831">
        <v>263</v>
      </c>
      <c r="AQ831">
        <v>11</v>
      </c>
      <c r="AR831">
        <v>13.097800446866801</v>
      </c>
      <c r="AS831">
        <v>1</v>
      </c>
      <c r="AT831">
        <v>2.1698113207547198</v>
      </c>
      <c r="AU831">
        <v>7.67634854771784E-2</v>
      </c>
      <c r="AV831">
        <v>3.44752818733738E-2</v>
      </c>
      <c r="AW831">
        <v>0.139277925527129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2</v>
      </c>
      <c r="BY831">
        <v>40</v>
      </c>
      <c r="BZ831">
        <v>0</v>
      </c>
      <c r="CA831">
        <v>0</v>
      </c>
      <c r="CB831">
        <v>0</v>
      </c>
      <c r="CC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C831">
        <v>0</v>
      </c>
      <c r="DD831">
        <v>0</v>
      </c>
      <c r="DE831">
        <v>0</v>
      </c>
      <c r="DF831">
        <v>0</v>
      </c>
      <c r="DH831">
        <v>146.80000000000001</v>
      </c>
      <c r="DI831">
        <v>178.8</v>
      </c>
    </row>
    <row r="832" spans="1:113" ht="15" customHeight="1" x14ac:dyDescent="0.25">
      <c r="A832" t="s">
        <v>4382</v>
      </c>
      <c r="B832" t="s">
        <v>4383</v>
      </c>
      <c r="C832" t="s">
        <v>1003</v>
      </c>
      <c r="D832" t="s">
        <v>439</v>
      </c>
      <c r="E832" t="s">
        <v>439</v>
      </c>
      <c r="F832" t="s">
        <v>4384</v>
      </c>
      <c r="G832">
        <v>2025</v>
      </c>
      <c r="H832" t="s">
        <v>1160</v>
      </c>
      <c r="I832" t="s">
        <v>120</v>
      </c>
      <c r="J832">
        <v>12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Y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H832">
        <v>0</v>
      </c>
      <c r="AI832">
        <v>7</v>
      </c>
      <c r="AJ832">
        <v>9</v>
      </c>
      <c r="AK832">
        <v>40</v>
      </c>
      <c r="AL832">
        <v>0</v>
      </c>
      <c r="AM832">
        <v>0</v>
      </c>
      <c r="AN832">
        <v>0</v>
      </c>
      <c r="AO832">
        <v>68</v>
      </c>
      <c r="AP832">
        <v>13</v>
      </c>
      <c r="AQ832">
        <v>3</v>
      </c>
      <c r="AR832">
        <v>-1.8645952582883201</v>
      </c>
      <c r="AS832">
        <v>0</v>
      </c>
      <c r="AT832">
        <v>0.58823529411764697</v>
      </c>
      <c r="AU832">
        <v>1.93965517241379E-2</v>
      </c>
      <c r="AV832">
        <v>1.5168414008476501E-2</v>
      </c>
      <c r="AW832">
        <v>3.9712717392140398E-2</v>
      </c>
      <c r="AX832">
        <v>0</v>
      </c>
      <c r="AY832">
        <v>10</v>
      </c>
      <c r="AZ832">
        <v>0</v>
      </c>
      <c r="BA832">
        <v>9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C832">
        <v>0</v>
      </c>
      <c r="DD832">
        <v>0</v>
      </c>
      <c r="DE832">
        <v>0</v>
      </c>
      <c r="DF832">
        <v>0</v>
      </c>
      <c r="DH832">
        <v>4</v>
      </c>
      <c r="DI832">
        <v>11</v>
      </c>
    </row>
    <row r="833" spans="1:113" ht="15" customHeight="1" x14ac:dyDescent="0.25">
      <c r="A833" t="s">
        <v>4385</v>
      </c>
      <c r="B833" t="s">
        <v>4386</v>
      </c>
      <c r="C833" t="s">
        <v>4387</v>
      </c>
      <c r="D833" t="s">
        <v>1219</v>
      </c>
      <c r="E833" t="s">
        <v>1220</v>
      </c>
      <c r="F833" t="s">
        <v>4388</v>
      </c>
      <c r="G833">
        <v>2025</v>
      </c>
      <c r="H833" t="s">
        <v>1160</v>
      </c>
      <c r="I833" t="s">
        <v>111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Y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2</v>
      </c>
      <c r="BU833">
        <v>15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C833">
        <v>0</v>
      </c>
      <c r="DD833">
        <v>0</v>
      </c>
      <c r="DE833">
        <v>0</v>
      </c>
      <c r="DF833">
        <v>0</v>
      </c>
      <c r="DH833">
        <v>0</v>
      </c>
      <c r="DI833">
        <v>0</v>
      </c>
    </row>
    <row r="834" spans="1:113" ht="15" customHeight="1" x14ac:dyDescent="0.25">
      <c r="A834" t="s">
        <v>4389</v>
      </c>
      <c r="B834" t="s">
        <v>4390</v>
      </c>
      <c r="C834" t="s">
        <v>4391</v>
      </c>
      <c r="D834" t="s">
        <v>1243</v>
      </c>
      <c r="E834" t="s">
        <v>1190</v>
      </c>
      <c r="F834" t="s">
        <v>4392</v>
      </c>
      <c r="G834">
        <v>2025</v>
      </c>
      <c r="H834" t="s">
        <v>1160</v>
      </c>
      <c r="I834" t="s">
        <v>101</v>
      </c>
      <c r="J834">
        <v>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Y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S834">
        <v>0</v>
      </c>
      <c r="AU834">
        <v>0</v>
      </c>
      <c r="AV834">
        <v>0</v>
      </c>
      <c r="AW834">
        <v>0</v>
      </c>
      <c r="AX834">
        <v>0</v>
      </c>
      <c r="AY834">
        <v>5</v>
      </c>
      <c r="AZ834">
        <v>0</v>
      </c>
      <c r="BA834">
        <v>7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</v>
      </c>
      <c r="BU834">
        <v>5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C834">
        <v>0</v>
      </c>
      <c r="DD834">
        <v>0</v>
      </c>
      <c r="DE834">
        <v>0</v>
      </c>
      <c r="DF834">
        <v>0</v>
      </c>
      <c r="DH834">
        <v>0</v>
      </c>
      <c r="DI834">
        <v>0</v>
      </c>
    </row>
    <row r="835" spans="1:113" ht="15" customHeight="1" x14ac:dyDescent="0.25">
      <c r="A835" t="s">
        <v>4393</v>
      </c>
      <c r="B835" t="s">
        <v>4394</v>
      </c>
      <c r="C835" t="s">
        <v>4395</v>
      </c>
      <c r="D835" t="s">
        <v>1243</v>
      </c>
      <c r="E835" t="s">
        <v>1190</v>
      </c>
      <c r="F835" t="s">
        <v>4396</v>
      </c>
      <c r="G835">
        <v>2025</v>
      </c>
      <c r="H835" t="s">
        <v>1160</v>
      </c>
      <c r="I835" t="s">
        <v>121</v>
      </c>
      <c r="J835">
        <v>15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Y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S835">
        <v>0</v>
      </c>
      <c r="AU835">
        <v>0</v>
      </c>
      <c r="AV835">
        <v>0</v>
      </c>
      <c r="AW835">
        <v>0</v>
      </c>
      <c r="AX835">
        <v>0</v>
      </c>
      <c r="AY835">
        <v>25</v>
      </c>
      <c r="AZ835">
        <v>2</v>
      </c>
      <c r="BA835">
        <v>32</v>
      </c>
      <c r="BB835">
        <v>6</v>
      </c>
      <c r="BC835">
        <v>18</v>
      </c>
      <c r="BD835">
        <v>0</v>
      </c>
      <c r="BE835">
        <v>1.5</v>
      </c>
      <c r="BF835">
        <v>13.5</v>
      </c>
      <c r="BG835">
        <v>5</v>
      </c>
      <c r="BH835">
        <v>0</v>
      </c>
      <c r="BI835">
        <v>0</v>
      </c>
      <c r="BJ835">
        <v>4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</v>
      </c>
      <c r="BR835">
        <v>1</v>
      </c>
      <c r="BS835">
        <v>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C835">
        <v>0</v>
      </c>
      <c r="DD835">
        <v>0</v>
      </c>
      <c r="DE835">
        <v>0</v>
      </c>
      <c r="DF835">
        <v>0</v>
      </c>
      <c r="DH835">
        <v>0</v>
      </c>
      <c r="DI835">
        <v>0</v>
      </c>
    </row>
    <row r="836" spans="1:113" ht="15" customHeight="1" x14ac:dyDescent="0.25">
      <c r="A836" t="s">
        <v>4397</v>
      </c>
      <c r="B836" t="s">
        <v>4398</v>
      </c>
      <c r="C836" t="s">
        <v>4399</v>
      </c>
      <c r="D836" t="s">
        <v>1350</v>
      </c>
      <c r="E836" t="s">
        <v>1307</v>
      </c>
      <c r="F836" t="s">
        <v>4400</v>
      </c>
      <c r="G836">
        <v>2025</v>
      </c>
      <c r="H836" t="s">
        <v>1160</v>
      </c>
      <c r="I836" t="s">
        <v>107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Y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>
        <v>0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C836">
        <v>0</v>
      </c>
      <c r="DD836">
        <v>0</v>
      </c>
      <c r="DE836">
        <v>0</v>
      </c>
      <c r="DF836">
        <v>0</v>
      </c>
      <c r="DH836">
        <v>0</v>
      </c>
      <c r="DI836">
        <v>0</v>
      </c>
    </row>
    <row r="837" spans="1:113" ht="15" customHeight="1" x14ac:dyDescent="0.25">
      <c r="A837" t="s">
        <v>4401</v>
      </c>
      <c r="B837" t="s">
        <v>1585</v>
      </c>
      <c r="C837" t="s">
        <v>4402</v>
      </c>
      <c r="D837" t="s">
        <v>1350</v>
      </c>
      <c r="E837" t="s">
        <v>1307</v>
      </c>
      <c r="F837" t="s">
        <v>4403</v>
      </c>
      <c r="G837">
        <v>2025</v>
      </c>
      <c r="H837" t="s">
        <v>1160</v>
      </c>
      <c r="I837" t="s">
        <v>101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Y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>
        <v>0</v>
      </c>
      <c r="AU837">
        <v>0</v>
      </c>
      <c r="AV837">
        <v>0</v>
      </c>
      <c r="AW837">
        <v>0</v>
      </c>
      <c r="AX837">
        <v>0</v>
      </c>
      <c r="AY837">
        <v>4</v>
      </c>
      <c r="AZ837">
        <v>0</v>
      </c>
      <c r="BA837">
        <v>4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</v>
      </c>
      <c r="BU837">
        <v>10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C837">
        <v>0</v>
      </c>
      <c r="DD837">
        <v>0</v>
      </c>
      <c r="DE837">
        <v>0</v>
      </c>
      <c r="DF837">
        <v>0</v>
      </c>
      <c r="DH837">
        <v>0</v>
      </c>
      <c r="DI837">
        <v>0</v>
      </c>
    </row>
    <row r="838" spans="1:113" ht="15" customHeight="1" x14ac:dyDescent="0.25">
      <c r="A838" t="s">
        <v>4404</v>
      </c>
      <c r="B838" t="s">
        <v>4405</v>
      </c>
      <c r="C838" t="s">
        <v>964</v>
      </c>
      <c r="D838" t="s">
        <v>439</v>
      </c>
      <c r="E838" t="s">
        <v>439</v>
      </c>
      <c r="F838" t="s">
        <v>4406</v>
      </c>
      <c r="G838">
        <v>2025</v>
      </c>
      <c r="H838" t="s">
        <v>1160</v>
      </c>
      <c r="I838" t="s">
        <v>141</v>
      </c>
      <c r="J838">
        <v>13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Y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H838">
        <v>0</v>
      </c>
      <c r="AI838">
        <v>11</v>
      </c>
      <c r="AJ838">
        <v>14</v>
      </c>
      <c r="AK838">
        <v>85</v>
      </c>
      <c r="AL838">
        <v>2</v>
      </c>
      <c r="AM838">
        <v>1</v>
      </c>
      <c r="AN838">
        <v>1</v>
      </c>
      <c r="AO838">
        <v>41</v>
      </c>
      <c r="AP838">
        <v>52</v>
      </c>
      <c r="AQ838">
        <v>6</v>
      </c>
      <c r="AR838">
        <v>3.5458982435520698</v>
      </c>
      <c r="AS838">
        <v>0</v>
      </c>
      <c r="AT838">
        <v>2.0731707317073198</v>
      </c>
      <c r="AU838">
        <v>2.54545454545455E-2</v>
      </c>
      <c r="AV838">
        <v>9.5437616387337096E-3</v>
      </c>
      <c r="AW838">
        <v>4.4862451328931803E-2</v>
      </c>
      <c r="AX838">
        <v>0</v>
      </c>
      <c r="AY838">
        <v>3</v>
      </c>
      <c r="AZ838">
        <v>0</v>
      </c>
      <c r="BA838">
        <v>4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2</v>
      </c>
      <c r="BP838">
        <v>2</v>
      </c>
      <c r="BQ838">
        <v>0</v>
      </c>
      <c r="BR838">
        <v>0</v>
      </c>
      <c r="BS838">
        <v>0</v>
      </c>
      <c r="BT838">
        <v>1</v>
      </c>
      <c r="BU838">
        <v>5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C838">
        <v>0</v>
      </c>
      <c r="DD838">
        <v>0</v>
      </c>
      <c r="DE838">
        <v>0</v>
      </c>
      <c r="DF838">
        <v>0</v>
      </c>
      <c r="DH838">
        <v>18.5</v>
      </c>
      <c r="DI838">
        <v>29.5</v>
      </c>
    </row>
    <row r="839" spans="1:113" ht="15" customHeight="1" x14ac:dyDescent="0.25">
      <c r="A839" t="s">
        <v>4407</v>
      </c>
      <c r="B839" t="s">
        <v>4408</v>
      </c>
      <c r="C839" t="s">
        <v>4409</v>
      </c>
      <c r="D839" t="s">
        <v>1684</v>
      </c>
      <c r="E839" t="s">
        <v>1307</v>
      </c>
      <c r="F839" t="s">
        <v>4410</v>
      </c>
      <c r="G839">
        <v>2025</v>
      </c>
      <c r="H839" t="s">
        <v>1160</v>
      </c>
      <c r="I839" t="s">
        <v>99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Y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S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C839">
        <v>0</v>
      </c>
      <c r="DD839">
        <v>0</v>
      </c>
      <c r="DE839">
        <v>0</v>
      </c>
      <c r="DF839">
        <v>0</v>
      </c>
      <c r="DH839">
        <v>0</v>
      </c>
      <c r="DI839">
        <v>0</v>
      </c>
    </row>
    <row r="840" spans="1:113" ht="15" customHeight="1" x14ac:dyDescent="0.25">
      <c r="A840" t="s">
        <v>4411</v>
      </c>
      <c r="B840" t="s">
        <v>4412</v>
      </c>
      <c r="C840" t="s">
        <v>4413</v>
      </c>
      <c r="D840" t="s">
        <v>431</v>
      </c>
      <c r="E840" t="s">
        <v>431</v>
      </c>
      <c r="F840" t="s">
        <v>4414</v>
      </c>
      <c r="G840">
        <v>2025</v>
      </c>
      <c r="H840" t="s">
        <v>1160</v>
      </c>
      <c r="I840" t="s">
        <v>131</v>
      </c>
      <c r="J840">
        <v>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Y840">
        <v>0</v>
      </c>
      <c r="AA840">
        <v>15</v>
      </c>
      <c r="AB840">
        <v>61</v>
      </c>
      <c r="AC840">
        <v>0</v>
      </c>
      <c r="AD840">
        <v>0</v>
      </c>
      <c r="AE840">
        <v>0</v>
      </c>
      <c r="AF840">
        <v>3</v>
      </c>
      <c r="AG840">
        <v>-0.338828790700063</v>
      </c>
      <c r="AH840">
        <v>0</v>
      </c>
      <c r="AI840">
        <v>3</v>
      </c>
      <c r="AJ840">
        <v>3</v>
      </c>
      <c r="AK840">
        <v>25</v>
      </c>
      <c r="AL840">
        <v>0</v>
      </c>
      <c r="AM840">
        <v>0</v>
      </c>
      <c r="AN840">
        <v>0</v>
      </c>
      <c r="AO840">
        <v>10</v>
      </c>
      <c r="AP840">
        <v>15</v>
      </c>
      <c r="AQ840">
        <v>1</v>
      </c>
      <c r="AR840">
        <v>1.3118299120105801</v>
      </c>
      <c r="AS840">
        <v>0</v>
      </c>
      <c r="AT840">
        <v>2.5</v>
      </c>
      <c r="AU840">
        <v>5.5147058823529398E-3</v>
      </c>
      <c r="AV840">
        <v>2.1997360316762002E-3</v>
      </c>
      <c r="AW840">
        <v>9.8118740457027506E-3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C840">
        <v>0</v>
      </c>
      <c r="DD840">
        <v>0</v>
      </c>
      <c r="DE840">
        <v>0</v>
      </c>
      <c r="DF840">
        <v>0</v>
      </c>
      <c r="DH840">
        <v>8.6</v>
      </c>
      <c r="DI840">
        <v>11.6</v>
      </c>
    </row>
    <row r="841" spans="1:113" ht="15" customHeight="1" x14ac:dyDescent="0.25">
      <c r="A841" t="s">
        <v>4415</v>
      </c>
      <c r="B841" t="s">
        <v>4416</v>
      </c>
      <c r="C841" t="s">
        <v>921</v>
      </c>
      <c r="D841" t="s">
        <v>439</v>
      </c>
      <c r="E841" t="s">
        <v>439</v>
      </c>
      <c r="F841" t="s">
        <v>4417</v>
      </c>
      <c r="G841">
        <v>2025</v>
      </c>
      <c r="H841" t="s">
        <v>1160</v>
      </c>
      <c r="I841" t="s">
        <v>103</v>
      </c>
      <c r="J841">
        <v>15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Y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H841">
        <v>0</v>
      </c>
      <c r="AI841">
        <v>41</v>
      </c>
      <c r="AJ841">
        <v>54</v>
      </c>
      <c r="AK841">
        <v>486</v>
      </c>
      <c r="AL841">
        <v>4</v>
      </c>
      <c r="AM841">
        <v>0</v>
      </c>
      <c r="AN841">
        <v>0</v>
      </c>
      <c r="AO841">
        <v>323</v>
      </c>
      <c r="AP841">
        <v>255</v>
      </c>
      <c r="AQ841">
        <v>21</v>
      </c>
      <c r="AR841">
        <v>23.309840869833099</v>
      </c>
      <c r="AS841">
        <v>0</v>
      </c>
      <c r="AT841">
        <v>1.5046439628482999</v>
      </c>
      <c r="AU841">
        <v>0.10344827586206901</v>
      </c>
      <c r="AV841">
        <v>9.8475609756097607E-2</v>
      </c>
      <c r="AW841">
        <v>0.224105340622372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2</v>
      </c>
      <c r="BU841">
        <v>15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C841">
        <v>0</v>
      </c>
      <c r="DD841">
        <v>0</v>
      </c>
      <c r="DE841">
        <v>0</v>
      </c>
      <c r="DF841">
        <v>0</v>
      </c>
      <c r="DH841">
        <v>72.599999999999994</v>
      </c>
      <c r="DI841">
        <v>113.6</v>
      </c>
    </row>
    <row r="842" spans="1:113" ht="15" customHeight="1" x14ac:dyDescent="0.25">
      <c r="A842" t="s">
        <v>4418</v>
      </c>
      <c r="B842" t="s">
        <v>4419</v>
      </c>
      <c r="C842" t="s">
        <v>4420</v>
      </c>
      <c r="D842" t="s">
        <v>1234</v>
      </c>
      <c r="E842" t="s">
        <v>1234</v>
      </c>
      <c r="F842" t="s">
        <v>4421</v>
      </c>
      <c r="G842">
        <v>2025</v>
      </c>
      <c r="H842" t="s">
        <v>1160</v>
      </c>
      <c r="I842" t="s">
        <v>139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Y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C842">
        <v>0</v>
      </c>
      <c r="DD842">
        <v>0</v>
      </c>
      <c r="DE842">
        <v>0</v>
      </c>
      <c r="DF842">
        <v>0</v>
      </c>
      <c r="DH842">
        <v>0</v>
      </c>
      <c r="DI842">
        <v>0</v>
      </c>
    </row>
    <row r="843" spans="1:113" ht="15" customHeight="1" x14ac:dyDescent="0.25">
      <c r="A843" t="s">
        <v>4422</v>
      </c>
      <c r="B843" t="s">
        <v>4423</v>
      </c>
      <c r="C843" t="s">
        <v>4424</v>
      </c>
      <c r="D843" t="s">
        <v>1158</v>
      </c>
      <c r="E843" t="s">
        <v>1158</v>
      </c>
      <c r="F843" t="s">
        <v>4425</v>
      </c>
      <c r="G843">
        <v>2025</v>
      </c>
      <c r="H843" t="s">
        <v>1160</v>
      </c>
      <c r="I843" t="s">
        <v>121</v>
      </c>
      <c r="J843">
        <v>6</v>
      </c>
      <c r="K843">
        <v>91</v>
      </c>
      <c r="L843">
        <v>159</v>
      </c>
      <c r="M843">
        <v>915</v>
      </c>
      <c r="N843">
        <v>5</v>
      </c>
      <c r="O843">
        <v>1</v>
      </c>
      <c r="P843">
        <v>8</v>
      </c>
      <c r="Q843">
        <v>-60</v>
      </c>
      <c r="R843">
        <v>0</v>
      </c>
      <c r="S843">
        <v>0</v>
      </c>
      <c r="T843">
        <v>1360</v>
      </c>
      <c r="U843">
        <v>269</v>
      </c>
      <c r="V843">
        <v>48</v>
      </c>
      <c r="W843">
        <v>-16.720271784873301</v>
      </c>
      <c r="X843">
        <v>-6.6134217342263799</v>
      </c>
      <c r="Y843">
        <v>1</v>
      </c>
      <c r="Z843">
        <v>0.67279411764705899</v>
      </c>
      <c r="AA843">
        <v>13</v>
      </c>
      <c r="AB843">
        <v>60</v>
      </c>
      <c r="AC843">
        <v>1</v>
      </c>
      <c r="AD843">
        <v>1</v>
      </c>
      <c r="AE843">
        <v>0</v>
      </c>
      <c r="AF843">
        <v>3</v>
      </c>
      <c r="AG843">
        <v>-0.84783208552096001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S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C843">
        <v>0</v>
      </c>
      <c r="DD843">
        <v>0</v>
      </c>
      <c r="DE843">
        <v>0</v>
      </c>
      <c r="DF843">
        <v>0</v>
      </c>
      <c r="DH843">
        <v>68.599999999999994</v>
      </c>
      <c r="DI843">
        <v>68.599999999999994</v>
      </c>
    </row>
    <row r="844" spans="1:113" ht="15" customHeight="1" x14ac:dyDescent="0.25">
      <c r="A844" t="s">
        <v>4426</v>
      </c>
      <c r="B844" t="s">
        <v>4427</v>
      </c>
      <c r="C844" t="s">
        <v>540</v>
      </c>
      <c r="D844" t="s">
        <v>10</v>
      </c>
      <c r="E844" t="s">
        <v>10</v>
      </c>
      <c r="F844" t="s">
        <v>4428</v>
      </c>
      <c r="G844">
        <v>2025</v>
      </c>
      <c r="H844" t="s">
        <v>1160</v>
      </c>
      <c r="I844" t="s">
        <v>107</v>
      </c>
      <c r="J844">
        <v>16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Y844">
        <v>0</v>
      </c>
      <c r="AA844">
        <v>3</v>
      </c>
      <c r="AB844">
        <v>14</v>
      </c>
      <c r="AC844">
        <v>0</v>
      </c>
      <c r="AD844">
        <v>0</v>
      </c>
      <c r="AE844">
        <v>0</v>
      </c>
      <c r="AF844">
        <v>0</v>
      </c>
      <c r="AG844">
        <v>0.122863875236362</v>
      </c>
      <c r="AH844">
        <v>0</v>
      </c>
      <c r="AI844">
        <v>125</v>
      </c>
      <c r="AJ844">
        <v>185</v>
      </c>
      <c r="AK844">
        <v>1412</v>
      </c>
      <c r="AL844">
        <v>8</v>
      </c>
      <c r="AM844">
        <v>1</v>
      </c>
      <c r="AN844">
        <v>1</v>
      </c>
      <c r="AO844">
        <v>1570</v>
      </c>
      <c r="AP844">
        <v>640</v>
      </c>
      <c r="AQ844">
        <v>73</v>
      </c>
      <c r="AR844">
        <v>41.379473743756797</v>
      </c>
      <c r="AS844">
        <v>0</v>
      </c>
      <c r="AT844">
        <v>0.89936305732484101</v>
      </c>
      <c r="AU844">
        <v>0.30427631578947401</v>
      </c>
      <c r="AV844">
        <v>0.333545782876567</v>
      </c>
      <c r="AW844">
        <v>0.68989652169780702</v>
      </c>
      <c r="AX844">
        <v>0</v>
      </c>
      <c r="AY844">
        <v>5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C844">
        <v>0</v>
      </c>
      <c r="DD844">
        <v>0</v>
      </c>
      <c r="DE844">
        <v>0</v>
      </c>
      <c r="DF844">
        <v>0</v>
      </c>
      <c r="DH844">
        <v>188.6</v>
      </c>
      <c r="DI844">
        <v>313.60000000000002</v>
      </c>
    </row>
    <row r="845" spans="1:113" ht="15" customHeight="1" x14ac:dyDescent="0.25">
      <c r="A845" t="s">
        <v>4429</v>
      </c>
      <c r="B845" t="s">
        <v>4430</v>
      </c>
      <c r="C845" t="s">
        <v>4431</v>
      </c>
      <c r="D845" t="s">
        <v>1350</v>
      </c>
      <c r="E845" t="s">
        <v>1307</v>
      </c>
      <c r="F845" t="s">
        <v>4432</v>
      </c>
      <c r="G845">
        <v>2025</v>
      </c>
      <c r="H845" t="s">
        <v>1160</v>
      </c>
      <c r="I845" t="s">
        <v>89</v>
      </c>
      <c r="J845">
        <v>16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Y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>
        <v>0</v>
      </c>
      <c r="AU845">
        <v>0</v>
      </c>
      <c r="AV845">
        <v>0</v>
      </c>
      <c r="AW845">
        <v>0</v>
      </c>
      <c r="AX845">
        <v>0</v>
      </c>
      <c r="AY845">
        <v>33</v>
      </c>
      <c r="AZ845">
        <v>2</v>
      </c>
      <c r="BA845">
        <v>18</v>
      </c>
      <c r="BB845">
        <v>3</v>
      </c>
      <c r="BC845">
        <v>8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5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2</v>
      </c>
      <c r="BU845">
        <v>23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C845">
        <v>0</v>
      </c>
      <c r="DD845">
        <v>0</v>
      </c>
      <c r="DE845">
        <v>0</v>
      </c>
      <c r="DF845">
        <v>0</v>
      </c>
      <c r="DH845">
        <v>0</v>
      </c>
      <c r="DI845">
        <v>0</v>
      </c>
    </row>
    <row r="846" spans="1:113" ht="15" customHeight="1" x14ac:dyDescent="0.25">
      <c r="A846" t="s">
        <v>4433</v>
      </c>
      <c r="B846" t="s">
        <v>4434</v>
      </c>
      <c r="C846" t="s">
        <v>4435</v>
      </c>
      <c r="D846" t="s">
        <v>1189</v>
      </c>
      <c r="E846" t="s">
        <v>1190</v>
      </c>
      <c r="F846" t="s">
        <v>4436</v>
      </c>
      <c r="G846">
        <v>2025</v>
      </c>
      <c r="H846" t="s">
        <v>1160</v>
      </c>
      <c r="I846" t="s">
        <v>107</v>
      </c>
      <c r="J846">
        <v>14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Y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>
        <v>0</v>
      </c>
      <c r="AU846">
        <v>0</v>
      </c>
      <c r="AV846">
        <v>0</v>
      </c>
      <c r="AW846">
        <v>0</v>
      </c>
      <c r="AX846">
        <v>0</v>
      </c>
      <c r="AY846">
        <v>19</v>
      </c>
      <c r="AZ846">
        <v>2</v>
      </c>
      <c r="BA846">
        <v>22</v>
      </c>
      <c r="BB846">
        <v>9</v>
      </c>
      <c r="BC846">
        <v>43</v>
      </c>
      <c r="BD846">
        <v>2</v>
      </c>
      <c r="BE846">
        <v>5</v>
      </c>
      <c r="BF846">
        <v>34</v>
      </c>
      <c r="BG846">
        <v>12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3</v>
      </c>
      <c r="BU846">
        <v>26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C846">
        <v>0</v>
      </c>
      <c r="DD846">
        <v>0</v>
      </c>
      <c r="DE846">
        <v>0</v>
      </c>
      <c r="DF846">
        <v>0</v>
      </c>
      <c r="DH846">
        <v>0</v>
      </c>
      <c r="DI846">
        <v>0</v>
      </c>
    </row>
    <row r="847" spans="1:113" ht="15" customHeight="1" x14ac:dyDescent="0.25">
      <c r="A847" t="s">
        <v>4437</v>
      </c>
      <c r="B847" t="s">
        <v>4438</v>
      </c>
      <c r="C847" t="s">
        <v>4439</v>
      </c>
      <c r="D847" t="s">
        <v>1243</v>
      </c>
      <c r="E847" t="s">
        <v>1190</v>
      </c>
      <c r="F847" t="s">
        <v>4440</v>
      </c>
      <c r="G847">
        <v>2025</v>
      </c>
      <c r="H847" t="s">
        <v>1160</v>
      </c>
      <c r="I847" t="s">
        <v>96</v>
      </c>
      <c r="J847">
        <v>12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Y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S847">
        <v>0</v>
      </c>
      <c r="AU847">
        <v>0</v>
      </c>
      <c r="AV847">
        <v>0</v>
      </c>
      <c r="AW847">
        <v>0</v>
      </c>
      <c r="AX847">
        <v>0</v>
      </c>
      <c r="AY847">
        <v>12</v>
      </c>
      <c r="AZ847">
        <v>1</v>
      </c>
      <c r="BA847">
        <v>18</v>
      </c>
      <c r="BB847">
        <v>3</v>
      </c>
      <c r="BC847">
        <v>9</v>
      </c>
      <c r="BD847">
        <v>0</v>
      </c>
      <c r="BE847">
        <v>0.5</v>
      </c>
      <c r="BF847">
        <v>3</v>
      </c>
      <c r="BG847">
        <v>1</v>
      </c>
      <c r="BH847">
        <v>0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2</v>
      </c>
      <c r="BU847">
        <v>10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C847">
        <v>0</v>
      </c>
      <c r="DD847">
        <v>0</v>
      </c>
      <c r="DE847">
        <v>0</v>
      </c>
      <c r="DF847">
        <v>0</v>
      </c>
      <c r="DH847">
        <v>0</v>
      </c>
      <c r="DI847">
        <v>0</v>
      </c>
    </row>
    <row r="848" spans="1:113" ht="15" customHeight="1" x14ac:dyDescent="0.25">
      <c r="A848" t="s">
        <v>4441</v>
      </c>
      <c r="B848" t="s">
        <v>4442</v>
      </c>
      <c r="C848" t="s">
        <v>4443</v>
      </c>
      <c r="D848" t="s">
        <v>1350</v>
      </c>
      <c r="E848" t="s">
        <v>1307</v>
      </c>
      <c r="F848" t="s">
        <v>4444</v>
      </c>
      <c r="G848">
        <v>2025</v>
      </c>
      <c r="H848" t="s">
        <v>1160</v>
      </c>
      <c r="I848" t="s">
        <v>96</v>
      </c>
      <c r="J848">
        <v>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Y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S848">
        <v>0</v>
      </c>
      <c r="AU848">
        <v>0</v>
      </c>
      <c r="AV848">
        <v>0</v>
      </c>
      <c r="AW848">
        <v>0</v>
      </c>
      <c r="AX848">
        <v>0</v>
      </c>
      <c r="AY848">
        <v>2</v>
      </c>
      <c r="AZ848">
        <v>0</v>
      </c>
      <c r="BA848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</v>
      </c>
      <c r="BU848">
        <v>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C848">
        <v>0</v>
      </c>
      <c r="DD848">
        <v>0</v>
      </c>
      <c r="DE848">
        <v>0</v>
      </c>
      <c r="DF848">
        <v>0</v>
      </c>
      <c r="DH848">
        <v>0</v>
      </c>
      <c r="DI848">
        <v>0</v>
      </c>
    </row>
    <row r="849" spans="1:113" ht="15" customHeight="1" x14ac:dyDescent="0.25">
      <c r="A849" t="s">
        <v>4445</v>
      </c>
      <c r="B849" t="s">
        <v>4446</v>
      </c>
      <c r="C849" t="s">
        <v>4447</v>
      </c>
      <c r="D849" t="s">
        <v>1297</v>
      </c>
      <c r="E849" t="s">
        <v>1220</v>
      </c>
      <c r="F849" t="s">
        <v>4448</v>
      </c>
      <c r="G849">
        <v>2025</v>
      </c>
      <c r="H849" t="s">
        <v>1160</v>
      </c>
      <c r="I849" t="s">
        <v>133</v>
      </c>
      <c r="J849">
        <v>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Y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5</v>
      </c>
      <c r="BU849">
        <v>35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C849">
        <v>0</v>
      </c>
      <c r="DD849">
        <v>0</v>
      </c>
      <c r="DE849">
        <v>0</v>
      </c>
      <c r="DF849">
        <v>0</v>
      </c>
      <c r="DH849">
        <v>0</v>
      </c>
      <c r="DI849">
        <v>0</v>
      </c>
    </row>
    <row r="850" spans="1:113" ht="15" customHeight="1" x14ac:dyDescent="0.25">
      <c r="A850" t="s">
        <v>4449</v>
      </c>
      <c r="B850" t="s">
        <v>4450</v>
      </c>
      <c r="C850" t="s">
        <v>886</v>
      </c>
      <c r="D850" t="s">
        <v>431</v>
      </c>
      <c r="E850" t="s">
        <v>431</v>
      </c>
      <c r="F850" t="s">
        <v>4451</v>
      </c>
      <c r="G850">
        <v>2025</v>
      </c>
      <c r="H850" t="s">
        <v>1160</v>
      </c>
      <c r="I850" t="s">
        <v>101</v>
      </c>
      <c r="J850">
        <v>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Y850">
        <v>0</v>
      </c>
      <c r="AA850">
        <v>16</v>
      </c>
      <c r="AB850">
        <v>52</v>
      </c>
      <c r="AC850">
        <v>0</v>
      </c>
      <c r="AD850">
        <v>0</v>
      </c>
      <c r="AE850">
        <v>0</v>
      </c>
      <c r="AF850">
        <v>2</v>
      </c>
      <c r="AG850">
        <v>-2.26528249323019</v>
      </c>
      <c r="AH850">
        <v>0</v>
      </c>
      <c r="AI850">
        <v>1</v>
      </c>
      <c r="AJ850">
        <v>4</v>
      </c>
      <c r="AK850">
        <v>4</v>
      </c>
      <c r="AL850">
        <v>0</v>
      </c>
      <c r="AM850">
        <v>0</v>
      </c>
      <c r="AN850">
        <v>0</v>
      </c>
      <c r="AO850">
        <v>-13</v>
      </c>
      <c r="AP850">
        <v>9</v>
      </c>
      <c r="AQ850">
        <v>0</v>
      </c>
      <c r="AR850">
        <v>-4.0568381437333301</v>
      </c>
      <c r="AS850">
        <v>0</v>
      </c>
      <c r="AT850">
        <v>-0.30769230769230799</v>
      </c>
      <c r="AU850">
        <v>8.4745762711864406E-3</v>
      </c>
      <c r="AV850">
        <v>-3.8190364277320798E-3</v>
      </c>
      <c r="AW850">
        <v>1.00385389073672E-2</v>
      </c>
      <c r="AX850">
        <v>0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</v>
      </c>
      <c r="BY850">
        <v>22</v>
      </c>
      <c r="BZ850">
        <v>0</v>
      </c>
      <c r="CA850">
        <v>0</v>
      </c>
      <c r="CB850">
        <v>0</v>
      </c>
      <c r="CC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C850">
        <v>0</v>
      </c>
      <c r="DD850">
        <v>0</v>
      </c>
      <c r="DE850">
        <v>0</v>
      </c>
      <c r="DF850">
        <v>0</v>
      </c>
      <c r="DH850">
        <v>5.6</v>
      </c>
      <c r="DI850">
        <v>6.6</v>
      </c>
    </row>
    <row r="851" spans="1:113" ht="15" customHeight="1" x14ac:dyDescent="0.25">
      <c r="A851" t="s">
        <v>4452</v>
      </c>
      <c r="B851" t="s">
        <v>4453</v>
      </c>
      <c r="C851" t="s">
        <v>4454</v>
      </c>
      <c r="D851" t="s">
        <v>1243</v>
      </c>
      <c r="E851" t="s">
        <v>1190</v>
      </c>
      <c r="F851" t="s">
        <v>4455</v>
      </c>
      <c r="G851">
        <v>2025</v>
      </c>
      <c r="H851" t="s">
        <v>1160</v>
      </c>
      <c r="I851" t="s">
        <v>114</v>
      </c>
      <c r="J851">
        <v>11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Y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S851">
        <v>0</v>
      </c>
      <c r="AU851">
        <v>0</v>
      </c>
      <c r="AV851">
        <v>0</v>
      </c>
      <c r="AW851">
        <v>0</v>
      </c>
      <c r="AX851">
        <v>0</v>
      </c>
      <c r="AY851">
        <v>8</v>
      </c>
      <c r="AZ851">
        <v>1</v>
      </c>
      <c r="BA851">
        <v>15</v>
      </c>
      <c r="BB851">
        <v>2</v>
      </c>
      <c r="BC851">
        <v>4</v>
      </c>
      <c r="BD851">
        <v>0</v>
      </c>
      <c r="BE851">
        <v>0</v>
      </c>
      <c r="BF851">
        <v>0</v>
      </c>
      <c r="BG851">
        <v>2</v>
      </c>
      <c r="BH851">
        <v>0</v>
      </c>
      <c r="BI851">
        <v>0</v>
      </c>
      <c r="BJ851">
        <v>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C851">
        <v>0</v>
      </c>
      <c r="DD851">
        <v>0</v>
      </c>
      <c r="DE851">
        <v>0</v>
      </c>
      <c r="DF851">
        <v>0</v>
      </c>
      <c r="DH851">
        <v>0</v>
      </c>
      <c r="DI851">
        <v>0</v>
      </c>
    </row>
    <row r="852" spans="1:113" ht="15" customHeight="1" x14ac:dyDescent="0.25">
      <c r="A852" t="s">
        <v>4456</v>
      </c>
      <c r="B852" t="s">
        <v>4457</v>
      </c>
      <c r="C852" t="s">
        <v>915</v>
      </c>
      <c r="D852" t="s">
        <v>10</v>
      </c>
      <c r="E852" t="s">
        <v>10</v>
      </c>
      <c r="F852" t="s">
        <v>4458</v>
      </c>
      <c r="G852">
        <v>2025</v>
      </c>
      <c r="H852" t="s">
        <v>1160</v>
      </c>
      <c r="I852" t="s">
        <v>120</v>
      </c>
      <c r="J852">
        <v>17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Y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H852">
        <v>0</v>
      </c>
      <c r="AI852">
        <v>77</v>
      </c>
      <c r="AJ852">
        <v>113</v>
      </c>
      <c r="AK852">
        <v>1008</v>
      </c>
      <c r="AL852">
        <v>4</v>
      </c>
      <c r="AM852">
        <v>0</v>
      </c>
      <c r="AN852">
        <v>0</v>
      </c>
      <c r="AO852">
        <v>1355</v>
      </c>
      <c r="AP852">
        <v>293</v>
      </c>
      <c r="AQ852">
        <v>44</v>
      </c>
      <c r="AR852">
        <v>54.369542121631198</v>
      </c>
      <c r="AS852">
        <v>0</v>
      </c>
      <c r="AT852">
        <v>0.74391143911439095</v>
      </c>
      <c r="AU852">
        <v>0.243534482758621</v>
      </c>
      <c r="AV852">
        <v>0.30225295561008297</v>
      </c>
      <c r="AW852">
        <v>0.57687879306498901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2</v>
      </c>
      <c r="BU852">
        <v>15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C852">
        <v>0</v>
      </c>
      <c r="DD852">
        <v>0</v>
      </c>
      <c r="DE852">
        <v>0</v>
      </c>
      <c r="DF852">
        <v>0</v>
      </c>
      <c r="DH852">
        <v>124.8</v>
      </c>
      <c r="DI852">
        <v>201.8</v>
      </c>
    </row>
    <row r="853" spans="1:113" ht="15" customHeight="1" x14ac:dyDescent="0.25">
      <c r="A853" t="s">
        <v>4459</v>
      </c>
      <c r="B853" t="s">
        <v>4460</v>
      </c>
      <c r="C853" t="s">
        <v>4461</v>
      </c>
      <c r="D853" t="s">
        <v>1189</v>
      </c>
      <c r="E853" t="s">
        <v>1190</v>
      </c>
      <c r="F853" t="s">
        <v>4462</v>
      </c>
      <c r="G853">
        <v>2025</v>
      </c>
      <c r="H853" t="s">
        <v>1160</v>
      </c>
      <c r="I853" t="s">
        <v>99</v>
      </c>
      <c r="J853">
        <v>16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Y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>
        <v>0</v>
      </c>
      <c r="AU853">
        <v>0</v>
      </c>
      <c r="AV853">
        <v>0</v>
      </c>
      <c r="AW853">
        <v>0</v>
      </c>
      <c r="AX853">
        <v>0</v>
      </c>
      <c r="AY853">
        <v>23</v>
      </c>
      <c r="AZ853">
        <v>1</v>
      </c>
      <c r="BA853">
        <v>22</v>
      </c>
      <c r="BB853">
        <v>6</v>
      </c>
      <c r="BC853">
        <v>31</v>
      </c>
      <c r="BD853">
        <v>1</v>
      </c>
      <c r="BE853">
        <v>7</v>
      </c>
      <c r="BF853">
        <v>41.5</v>
      </c>
      <c r="BG853">
        <v>23</v>
      </c>
      <c r="BH853">
        <v>0</v>
      </c>
      <c r="BI853">
        <v>0</v>
      </c>
      <c r="BJ853">
        <v>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</v>
      </c>
      <c r="BU853">
        <v>5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C853">
        <v>0</v>
      </c>
      <c r="DD853">
        <v>0</v>
      </c>
      <c r="DE853">
        <v>0</v>
      </c>
      <c r="DF853">
        <v>0</v>
      </c>
      <c r="DH853">
        <v>0</v>
      </c>
      <c r="DI853">
        <v>0</v>
      </c>
    </row>
    <row r="854" spans="1:113" ht="15" customHeight="1" x14ac:dyDescent="0.25">
      <c r="A854" t="s">
        <v>4463</v>
      </c>
      <c r="B854" t="s">
        <v>2212</v>
      </c>
      <c r="C854" t="s">
        <v>4464</v>
      </c>
      <c r="D854" t="s">
        <v>1189</v>
      </c>
      <c r="E854" t="s">
        <v>1190</v>
      </c>
      <c r="F854" t="s">
        <v>4465</v>
      </c>
      <c r="G854">
        <v>2025</v>
      </c>
      <c r="H854" t="s">
        <v>1160</v>
      </c>
      <c r="I854" t="s">
        <v>114</v>
      </c>
      <c r="J854">
        <v>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Y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>
        <v>0</v>
      </c>
      <c r="AU854">
        <v>0</v>
      </c>
      <c r="AV854">
        <v>0</v>
      </c>
      <c r="AW854">
        <v>0</v>
      </c>
      <c r="AX854">
        <v>0</v>
      </c>
      <c r="AY854">
        <v>12</v>
      </c>
      <c r="AZ854">
        <v>3</v>
      </c>
      <c r="BA854">
        <v>14</v>
      </c>
      <c r="BB854">
        <v>8</v>
      </c>
      <c r="BC854">
        <v>31</v>
      </c>
      <c r="BD854">
        <v>0</v>
      </c>
      <c r="BE854">
        <v>3.5</v>
      </c>
      <c r="BF854">
        <v>24</v>
      </c>
      <c r="BG854">
        <v>8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C854">
        <v>0</v>
      </c>
      <c r="DD854">
        <v>0</v>
      </c>
      <c r="DE854">
        <v>0</v>
      </c>
      <c r="DF854">
        <v>0</v>
      </c>
      <c r="DH854">
        <v>0</v>
      </c>
      <c r="DI854">
        <v>0</v>
      </c>
    </row>
    <row r="855" spans="1:113" ht="15" customHeight="1" x14ac:dyDescent="0.25">
      <c r="A855" t="s">
        <v>4466</v>
      </c>
      <c r="B855" t="s">
        <v>4467</v>
      </c>
      <c r="C855" t="s">
        <v>983</v>
      </c>
      <c r="D855" t="s">
        <v>431</v>
      </c>
      <c r="E855" t="s">
        <v>431</v>
      </c>
      <c r="F855" t="s">
        <v>4468</v>
      </c>
      <c r="G855">
        <v>2025</v>
      </c>
      <c r="H855" t="s">
        <v>1160</v>
      </c>
      <c r="I855" t="s">
        <v>103</v>
      </c>
      <c r="J855">
        <v>17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Y855">
        <v>0</v>
      </c>
      <c r="AA855">
        <v>114</v>
      </c>
      <c r="AB855">
        <v>537</v>
      </c>
      <c r="AC855">
        <v>5</v>
      </c>
      <c r="AD855">
        <v>1</v>
      </c>
      <c r="AE855">
        <v>0</v>
      </c>
      <c r="AF855">
        <v>35</v>
      </c>
      <c r="AG855">
        <v>-0.65657295694109097</v>
      </c>
      <c r="AH855">
        <v>0</v>
      </c>
      <c r="AI855">
        <v>73</v>
      </c>
      <c r="AJ855">
        <v>85</v>
      </c>
      <c r="AK855">
        <v>486</v>
      </c>
      <c r="AL855">
        <v>3</v>
      </c>
      <c r="AM855">
        <v>1</v>
      </c>
      <c r="AN855">
        <v>1</v>
      </c>
      <c r="AO855">
        <v>-17</v>
      </c>
      <c r="AP855">
        <v>528</v>
      </c>
      <c r="AQ855">
        <v>23</v>
      </c>
      <c r="AR855">
        <v>3.93261930891819</v>
      </c>
      <c r="AS855">
        <v>0</v>
      </c>
      <c r="AT855">
        <v>-28.588235294117698</v>
      </c>
      <c r="AU855">
        <v>0.162835249042146</v>
      </c>
      <c r="AV855">
        <v>-5.1829268292682903E-3</v>
      </c>
      <c r="AW855">
        <v>0.24062482478273101</v>
      </c>
      <c r="AX855">
        <v>0</v>
      </c>
      <c r="AY855">
        <v>3</v>
      </c>
      <c r="AZ855">
        <v>0</v>
      </c>
      <c r="BA855">
        <v>1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1</v>
      </c>
      <c r="BU855">
        <v>5</v>
      </c>
      <c r="BV855">
        <v>0</v>
      </c>
      <c r="BW855">
        <v>0</v>
      </c>
      <c r="BX855">
        <v>26</v>
      </c>
      <c r="BY855">
        <v>633</v>
      </c>
      <c r="BZ855">
        <v>0</v>
      </c>
      <c r="CA855">
        <v>0</v>
      </c>
      <c r="CB855">
        <v>0</v>
      </c>
      <c r="CC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C855">
        <v>0</v>
      </c>
      <c r="DD855">
        <v>0</v>
      </c>
      <c r="DE855">
        <v>0</v>
      </c>
      <c r="DF855">
        <v>0</v>
      </c>
      <c r="DH855">
        <v>148.30000000000001</v>
      </c>
      <c r="DI855">
        <v>221.3</v>
      </c>
    </row>
    <row r="856" spans="1:113" ht="15" customHeight="1" x14ac:dyDescent="0.25">
      <c r="A856" t="s">
        <v>4469</v>
      </c>
      <c r="B856" t="s">
        <v>4470</v>
      </c>
      <c r="C856" t="s">
        <v>4471</v>
      </c>
      <c r="D856" t="s">
        <v>1243</v>
      </c>
      <c r="E856" t="s">
        <v>1190</v>
      </c>
      <c r="F856" t="s">
        <v>4472</v>
      </c>
      <c r="G856">
        <v>2025</v>
      </c>
      <c r="H856" t="s">
        <v>1160</v>
      </c>
      <c r="I856" t="s">
        <v>123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Y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S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C856">
        <v>0</v>
      </c>
      <c r="DD856">
        <v>0</v>
      </c>
      <c r="DE856">
        <v>0</v>
      </c>
      <c r="DF856">
        <v>0</v>
      </c>
      <c r="DH856">
        <v>0</v>
      </c>
      <c r="DI856">
        <v>0</v>
      </c>
    </row>
    <row r="857" spans="1:113" ht="15" customHeight="1" x14ac:dyDescent="0.25">
      <c r="A857" t="s">
        <v>4473</v>
      </c>
      <c r="B857" t="s">
        <v>4474</v>
      </c>
      <c r="C857" t="s">
        <v>4475</v>
      </c>
      <c r="D857" t="s">
        <v>1234</v>
      </c>
      <c r="E857" t="s">
        <v>1234</v>
      </c>
      <c r="F857" t="s">
        <v>4476</v>
      </c>
      <c r="G857">
        <v>2025</v>
      </c>
      <c r="H857" t="s">
        <v>1160</v>
      </c>
      <c r="I857" t="s">
        <v>120</v>
      </c>
      <c r="J857">
        <v>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Y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>
        <v>0</v>
      </c>
      <c r="AU857">
        <v>0</v>
      </c>
      <c r="AV857">
        <v>0</v>
      </c>
      <c r="AW857">
        <v>0</v>
      </c>
      <c r="AX857">
        <v>0</v>
      </c>
      <c r="AY857">
        <v>5</v>
      </c>
      <c r="AZ857">
        <v>0</v>
      </c>
      <c r="BA857">
        <v>3</v>
      </c>
      <c r="BB857">
        <v>1</v>
      </c>
      <c r="BC857">
        <v>1</v>
      </c>
      <c r="BD857">
        <v>0</v>
      </c>
      <c r="BE857">
        <v>1</v>
      </c>
      <c r="BF857">
        <v>1</v>
      </c>
      <c r="BG857">
        <v>2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</v>
      </c>
      <c r="BU857">
        <v>3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C857">
        <v>0</v>
      </c>
      <c r="DD857">
        <v>0</v>
      </c>
      <c r="DE857">
        <v>0</v>
      </c>
      <c r="DF857">
        <v>0</v>
      </c>
      <c r="DH857">
        <v>0</v>
      </c>
      <c r="DI857">
        <v>0</v>
      </c>
    </row>
    <row r="858" spans="1:113" ht="15" customHeight="1" x14ac:dyDescent="0.25">
      <c r="A858" t="s">
        <v>4477</v>
      </c>
      <c r="B858" t="s">
        <v>4070</v>
      </c>
      <c r="C858" t="s">
        <v>4478</v>
      </c>
      <c r="D858" t="s">
        <v>431</v>
      </c>
      <c r="E858" t="s">
        <v>431</v>
      </c>
      <c r="F858" t="s">
        <v>4479</v>
      </c>
      <c r="G858">
        <v>2025</v>
      </c>
      <c r="H858" t="s">
        <v>1160</v>
      </c>
      <c r="I858" t="s">
        <v>90</v>
      </c>
      <c r="J858">
        <v>13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Y858">
        <v>0</v>
      </c>
      <c r="AA858">
        <v>92</v>
      </c>
      <c r="AB858">
        <v>333</v>
      </c>
      <c r="AC858">
        <v>1</v>
      </c>
      <c r="AD858">
        <v>0</v>
      </c>
      <c r="AE858">
        <v>0</v>
      </c>
      <c r="AF858">
        <v>20</v>
      </c>
      <c r="AG858">
        <v>-6.84787445128313</v>
      </c>
      <c r="AH858">
        <v>0</v>
      </c>
      <c r="AI858">
        <v>33</v>
      </c>
      <c r="AJ858">
        <v>45</v>
      </c>
      <c r="AK858">
        <v>267</v>
      </c>
      <c r="AL858">
        <v>0</v>
      </c>
      <c r="AM858">
        <v>0</v>
      </c>
      <c r="AN858">
        <v>0</v>
      </c>
      <c r="AO858">
        <v>75</v>
      </c>
      <c r="AP858">
        <v>257</v>
      </c>
      <c r="AQ858">
        <v>12</v>
      </c>
      <c r="AR858">
        <v>1.85493948381044</v>
      </c>
      <c r="AS858">
        <v>0</v>
      </c>
      <c r="AT858">
        <v>3.56</v>
      </c>
      <c r="AU858">
        <v>7.2933549432739095E-2</v>
      </c>
      <c r="AV858">
        <v>1.6094420600858399E-2</v>
      </c>
      <c r="AW858">
        <v>0.120666418569709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27</v>
      </c>
      <c r="BZ858">
        <v>0</v>
      </c>
      <c r="CA858">
        <v>0</v>
      </c>
      <c r="CB858">
        <v>0</v>
      </c>
      <c r="CC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C858">
        <v>0</v>
      </c>
      <c r="DD858">
        <v>0</v>
      </c>
      <c r="DE858">
        <v>0</v>
      </c>
      <c r="DF858">
        <v>0</v>
      </c>
      <c r="DH858">
        <v>66</v>
      </c>
      <c r="DI858">
        <v>99</v>
      </c>
    </row>
    <row r="859" spans="1:113" ht="15" customHeight="1" x14ac:dyDescent="0.25">
      <c r="A859" t="s">
        <v>4480</v>
      </c>
      <c r="B859" t="s">
        <v>4481</v>
      </c>
      <c r="C859" t="s">
        <v>4482</v>
      </c>
      <c r="D859" t="s">
        <v>1234</v>
      </c>
      <c r="E859" t="s">
        <v>1234</v>
      </c>
      <c r="F859" t="s">
        <v>4483</v>
      </c>
      <c r="G859">
        <v>2025</v>
      </c>
      <c r="H859" t="s">
        <v>1160</v>
      </c>
      <c r="I859" t="s">
        <v>138</v>
      </c>
      <c r="J859">
        <v>17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Y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S859">
        <v>0</v>
      </c>
      <c r="AU859">
        <v>0</v>
      </c>
      <c r="AV859">
        <v>0</v>
      </c>
      <c r="AW859">
        <v>0</v>
      </c>
      <c r="AX859">
        <v>0</v>
      </c>
      <c r="AY859">
        <v>49</v>
      </c>
      <c r="AZ859">
        <v>1</v>
      </c>
      <c r="BA859">
        <v>31</v>
      </c>
      <c r="BB859">
        <v>4</v>
      </c>
      <c r="BC859">
        <v>7</v>
      </c>
      <c r="BD859">
        <v>0</v>
      </c>
      <c r="BE859">
        <v>2</v>
      </c>
      <c r="BF859">
        <v>1</v>
      </c>
      <c r="BG859">
        <v>3</v>
      </c>
      <c r="BH859">
        <v>0</v>
      </c>
      <c r="BI859">
        <v>0</v>
      </c>
      <c r="BJ859">
        <v>5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3</v>
      </c>
      <c r="BR859">
        <v>3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C859">
        <v>0</v>
      </c>
      <c r="DD859">
        <v>0</v>
      </c>
      <c r="DE859">
        <v>0</v>
      </c>
      <c r="DF859">
        <v>0</v>
      </c>
      <c r="DH859">
        <v>0</v>
      </c>
      <c r="DI859">
        <v>0</v>
      </c>
    </row>
    <row r="860" spans="1:113" ht="15" customHeight="1" x14ac:dyDescent="0.25">
      <c r="A860" t="s">
        <v>4484</v>
      </c>
      <c r="B860" t="s">
        <v>4485</v>
      </c>
      <c r="C860" t="s">
        <v>4486</v>
      </c>
      <c r="D860" t="s">
        <v>1189</v>
      </c>
      <c r="E860" t="s">
        <v>1190</v>
      </c>
      <c r="F860" t="s">
        <v>4487</v>
      </c>
      <c r="G860">
        <v>2025</v>
      </c>
      <c r="H860" t="s">
        <v>1160</v>
      </c>
      <c r="I860" t="s">
        <v>118</v>
      </c>
      <c r="J860">
        <v>14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Y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S860">
        <v>0</v>
      </c>
      <c r="AU860">
        <v>0</v>
      </c>
      <c r="AV860">
        <v>0</v>
      </c>
      <c r="AW860">
        <v>0</v>
      </c>
      <c r="AX860">
        <v>0</v>
      </c>
      <c r="AY860">
        <v>17</v>
      </c>
      <c r="AZ860">
        <v>2</v>
      </c>
      <c r="BA860">
        <v>22</v>
      </c>
      <c r="BB860">
        <v>12</v>
      </c>
      <c r="BC860">
        <v>74</v>
      </c>
      <c r="BD860">
        <v>2</v>
      </c>
      <c r="BE860">
        <v>12.5</v>
      </c>
      <c r="BF860">
        <v>80.5</v>
      </c>
      <c r="BG860">
        <v>26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6</v>
      </c>
      <c r="BU860">
        <v>40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C860">
        <v>0</v>
      </c>
      <c r="DD860">
        <v>0</v>
      </c>
      <c r="DE860">
        <v>0</v>
      </c>
      <c r="DF860">
        <v>0</v>
      </c>
      <c r="DH860">
        <v>0</v>
      </c>
      <c r="DI860">
        <v>0</v>
      </c>
    </row>
    <row r="861" spans="1:113" ht="15" customHeight="1" x14ac:dyDescent="0.25">
      <c r="A861" t="s">
        <v>4488</v>
      </c>
      <c r="B861" t="s">
        <v>4489</v>
      </c>
      <c r="C861" t="s">
        <v>4490</v>
      </c>
      <c r="D861" t="s">
        <v>1234</v>
      </c>
      <c r="E861" t="s">
        <v>1234</v>
      </c>
      <c r="F861" t="s">
        <v>4491</v>
      </c>
      <c r="G861">
        <v>2025</v>
      </c>
      <c r="H861" t="s">
        <v>1160</v>
      </c>
      <c r="I861" t="s">
        <v>90</v>
      </c>
      <c r="J861">
        <v>17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Y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S861">
        <v>0</v>
      </c>
      <c r="AU861">
        <v>0</v>
      </c>
      <c r="AV861">
        <v>0</v>
      </c>
      <c r="AW861">
        <v>0</v>
      </c>
      <c r="AX861">
        <v>0</v>
      </c>
      <c r="AY861">
        <v>26</v>
      </c>
      <c r="AZ861">
        <v>0</v>
      </c>
      <c r="BA861">
        <v>14</v>
      </c>
      <c r="BB861">
        <v>6</v>
      </c>
      <c r="BC861">
        <v>26</v>
      </c>
      <c r="BD861">
        <v>0</v>
      </c>
      <c r="BE861">
        <v>1.5</v>
      </c>
      <c r="BF861">
        <v>15</v>
      </c>
      <c r="BG861">
        <v>10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2</v>
      </c>
      <c r="BR861">
        <v>2</v>
      </c>
      <c r="BS861">
        <v>1</v>
      </c>
      <c r="BT861">
        <v>1</v>
      </c>
      <c r="BU861">
        <v>15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C861">
        <v>0</v>
      </c>
      <c r="DD861">
        <v>0</v>
      </c>
      <c r="DE861">
        <v>0</v>
      </c>
      <c r="DF861">
        <v>0</v>
      </c>
      <c r="DH861">
        <v>0</v>
      </c>
      <c r="DI861">
        <v>0</v>
      </c>
    </row>
    <row r="862" spans="1:113" ht="15" customHeight="1" x14ac:dyDescent="0.25">
      <c r="A862" t="s">
        <v>4492</v>
      </c>
      <c r="B862" t="s">
        <v>1518</v>
      </c>
      <c r="C862" t="s">
        <v>4493</v>
      </c>
      <c r="D862" t="s">
        <v>1234</v>
      </c>
      <c r="E862" t="s">
        <v>1234</v>
      </c>
      <c r="F862" t="s">
        <v>4494</v>
      </c>
      <c r="G862">
        <v>2025</v>
      </c>
      <c r="H862" t="s">
        <v>1160</v>
      </c>
      <c r="I862" t="s">
        <v>120</v>
      </c>
      <c r="J862">
        <v>17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Y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U862">
        <v>0</v>
      </c>
      <c r="AV862">
        <v>0</v>
      </c>
      <c r="AW862">
        <v>0</v>
      </c>
      <c r="AX862">
        <v>0</v>
      </c>
      <c r="AY862">
        <v>27</v>
      </c>
      <c r="AZ862">
        <v>2</v>
      </c>
      <c r="BA862">
        <v>24</v>
      </c>
      <c r="BB862">
        <v>7</v>
      </c>
      <c r="BC862">
        <v>38</v>
      </c>
      <c r="BD862">
        <v>1</v>
      </c>
      <c r="BE862">
        <v>5</v>
      </c>
      <c r="BF862">
        <v>32</v>
      </c>
      <c r="BG862">
        <v>14</v>
      </c>
      <c r="BH862">
        <v>0</v>
      </c>
      <c r="BI862">
        <v>0</v>
      </c>
      <c r="BJ862">
        <v>4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2</v>
      </c>
      <c r="BR862">
        <v>2</v>
      </c>
      <c r="BS862">
        <v>0</v>
      </c>
      <c r="BT862">
        <v>2</v>
      </c>
      <c r="BU862">
        <v>20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C862">
        <v>0</v>
      </c>
      <c r="DD862">
        <v>0</v>
      </c>
      <c r="DE862">
        <v>0</v>
      </c>
      <c r="DF862">
        <v>0</v>
      </c>
      <c r="DH862">
        <v>0</v>
      </c>
      <c r="DI862">
        <v>0</v>
      </c>
    </row>
    <row r="863" spans="1:113" ht="15" customHeight="1" x14ac:dyDescent="0.25">
      <c r="A863" t="s">
        <v>4495</v>
      </c>
      <c r="B863" t="s">
        <v>4496</v>
      </c>
      <c r="C863" t="s">
        <v>4497</v>
      </c>
      <c r="D863" t="s">
        <v>1350</v>
      </c>
      <c r="E863" t="s">
        <v>1307</v>
      </c>
      <c r="F863" t="s">
        <v>4498</v>
      </c>
      <c r="G863">
        <v>2025</v>
      </c>
      <c r="H863" t="s">
        <v>1160</v>
      </c>
      <c r="I863" t="s">
        <v>139</v>
      </c>
      <c r="J863">
        <v>12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Y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S863">
        <v>0</v>
      </c>
      <c r="AU863">
        <v>0</v>
      </c>
      <c r="AV863">
        <v>0</v>
      </c>
      <c r="AW863">
        <v>0</v>
      </c>
      <c r="AX863">
        <v>0</v>
      </c>
      <c r="AY863">
        <v>55</v>
      </c>
      <c r="AZ863">
        <v>1</v>
      </c>
      <c r="BA863">
        <v>17</v>
      </c>
      <c r="BB863">
        <v>1</v>
      </c>
      <c r="BC863">
        <v>1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8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3</v>
      </c>
      <c r="BU863">
        <v>64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C863">
        <v>0</v>
      </c>
      <c r="DD863">
        <v>0</v>
      </c>
      <c r="DE863">
        <v>0</v>
      </c>
      <c r="DF863">
        <v>0</v>
      </c>
      <c r="DH863">
        <v>0</v>
      </c>
      <c r="DI863">
        <v>0</v>
      </c>
    </row>
    <row r="864" spans="1:113" ht="15" customHeight="1" x14ac:dyDescent="0.25">
      <c r="A864" t="s">
        <v>4499</v>
      </c>
      <c r="B864" t="s">
        <v>4500</v>
      </c>
      <c r="C864" t="s">
        <v>4501</v>
      </c>
      <c r="D864" t="s">
        <v>1234</v>
      </c>
      <c r="E864" t="s">
        <v>1234</v>
      </c>
      <c r="F864" t="s">
        <v>4502</v>
      </c>
      <c r="G864">
        <v>2025</v>
      </c>
      <c r="H864" t="s">
        <v>1160</v>
      </c>
      <c r="I864" t="s">
        <v>131</v>
      </c>
      <c r="J864">
        <v>17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Y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S864">
        <v>0</v>
      </c>
      <c r="AU864">
        <v>0</v>
      </c>
      <c r="AV864">
        <v>0</v>
      </c>
      <c r="AW864">
        <v>0</v>
      </c>
      <c r="AX864">
        <v>0</v>
      </c>
      <c r="AY864">
        <v>20</v>
      </c>
      <c r="AZ864">
        <v>0</v>
      </c>
      <c r="BA864">
        <v>18</v>
      </c>
      <c r="BB864">
        <v>9</v>
      </c>
      <c r="BC864">
        <v>43</v>
      </c>
      <c r="BD864">
        <v>0</v>
      </c>
      <c r="BE864">
        <v>7.5</v>
      </c>
      <c r="BF864">
        <v>41</v>
      </c>
      <c r="BG864">
        <v>18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5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C864">
        <v>0</v>
      </c>
      <c r="DD864">
        <v>0</v>
      </c>
      <c r="DE864">
        <v>0</v>
      </c>
      <c r="DF864">
        <v>0</v>
      </c>
      <c r="DH864">
        <v>0</v>
      </c>
      <c r="DI864">
        <v>0</v>
      </c>
    </row>
    <row r="865" spans="1:113" ht="15" customHeight="1" x14ac:dyDescent="0.25">
      <c r="A865" t="s">
        <v>4503</v>
      </c>
      <c r="B865" t="s">
        <v>4504</v>
      </c>
      <c r="C865" t="s">
        <v>4505</v>
      </c>
      <c r="D865" t="s">
        <v>1684</v>
      </c>
      <c r="E865" t="s">
        <v>1307</v>
      </c>
      <c r="F865" t="s">
        <v>4506</v>
      </c>
      <c r="G865">
        <v>2025</v>
      </c>
      <c r="H865" t="s">
        <v>1160</v>
      </c>
      <c r="I865" t="s">
        <v>101</v>
      </c>
      <c r="J865">
        <v>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Y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>
        <v>0</v>
      </c>
      <c r="AU865">
        <v>0</v>
      </c>
      <c r="AV865">
        <v>0</v>
      </c>
      <c r="AW865">
        <v>0</v>
      </c>
      <c r="AX865">
        <v>0</v>
      </c>
      <c r="AY865">
        <v>25</v>
      </c>
      <c r="AZ865">
        <v>1</v>
      </c>
      <c r="BA865">
        <v>15</v>
      </c>
      <c r="BB865">
        <v>1</v>
      </c>
      <c r="BC865">
        <v>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1</v>
      </c>
      <c r="BR865">
        <v>1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C865">
        <v>0</v>
      </c>
      <c r="DD865">
        <v>0</v>
      </c>
      <c r="DE865">
        <v>0</v>
      </c>
      <c r="DF865">
        <v>0</v>
      </c>
      <c r="DH865">
        <v>0</v>
      </c>
      <c r="DI865">
        <v>0</v>
      </c>
    </row>
    <row r="866" spans="1:113" ht="15" customHeight="1" x14ac:dyDescent="0.25">
      <c r="A866" t="s">
        <v>4507</v>
      </c>
      <c r="B866" t="s">
        <v>4508</v>
      </c>
      <c r="C866" t="s">
        <v>4509</v>
      </c>
      <c r="D866" t="s">
        <v>1243</v>
      </c>
      <c r="E866" t="s">
        <v>1190</v>
      </c>
      <c r="F866" t="s">
        <v>4510</v>
      </c>
      <c r="G866">
        <v>2025</v>
      </c>
      <c r="H866" t="s">
        <v>1160</v>
      </c>
      <c r="I866" t="s">
        <v>112</v>
      </c>
      <c r="J866">
        <v>17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Y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S866">
        <v>0</v>
      </c>
      <c r="AU866">
        <v>0</v>
      </c>
      <c r="AV866">
        <v>0</v>
      </c>
      <c r="AW866">
        <v>0</v>
      </c>
      <c r="AX866">
        <v>0</v>
      </c>
      <c r="AY866">
        <v>15</v>
      </c>
      <c r="AZ866">
        <v>1</v>
      </c>
      <c r="BA866">
        <v>28</v>
      </c>
      <c r="BB866">
        <v>6</v>
      </c>
      <c r="BC866">
        <v>42</v>
      </c>
      <c r="BD866">
        <v>0</v>
      </c>
      <c r="BE866">
        <v>3.5</v>
      </c>
      <c r="BF866">
        <v>36</v>
      </c>
      <c r="BG866">
        <v>23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3</v>
      </c>
      <c r="BU866">
        <v>25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C866">
        <v>0</v>
      </c>
      <c r="DD866">
        <v>0</v>
      </c>
      <c r="DE866">
        <v>0</v>
      </c>
      <c r="DF866">
        <v>0</v>
      </c>
      <c r="DH866">
        <v>0</v>
      </c>
      <c r="DI866">
        <v>0</v>
      </c>
    </row>
    <row r="867" spans="1:113" ht="15" customHeight="1" x14ac:dyDescent="0.25">
      <c r="A867" t="s">
        <v>4511</v>
      </c>
      <c r="B867" t="s">
        <v>4512</v>
      </c>
      <c r="C867" t="s">
        <v>4513</v>
      </c>
      <c r="D867" t="s">
        <v>1214</v>
      </c>
      <c r="E867" t="s">
        <v>1169</v>
      </c>
      <c r="F867" t="s">
        <v>4514</v>
      </c>
      <c r="G867">
        <v>2025</v>
      </c>
      <c r="H867" t="s">
        <v>1160</v>
      </c>
      <c r="I867" t="s">
        <v>115</v>
      </c>
      <c r="J867">
        <v>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Y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S867">
        <v>0</v>
      </c>
      <c r="AU867">
        <v>0</v>
      </c>
      <c r="AV867">
        <v>0</v>
      </c>
      <c r="AW867">
        <v>0</v>
      </c>
      <c r="AX867">
        <v>0</v>
      </c>
      <c r="AY867">
        <v>3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2</v>
      </c>
      <c r="BU867">
        <v>20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C867">
        <v>0</v>
      </c>
      <c r="DD867">
        <v>0</v>
      </c>
      <c r="DE867">
        <v>0</v>
      </c>
      <c r="DF867">
        <v>0</v>
      </c>
      <c r="DH867">
        <v>0</v>
      </c>
      <c r="DI867">
        <v>0</v>
      </c>
    </row>
    <row r="868" spans="1:113" ht="15" customHeight="1" x14ac:dyDescent="0.25">
      <c r="A868" t="s">
        <v>4515</v>
      </c>
      <c r="B868" t="s">
        <v>4516</v>
      </c>
      <c r="C868" t="s">
        <v>4517</v>
      </c>
      <c r="D868" t="s">
        <v>1350</v>
      </c>
      <c r="E868" t="s">
        <v>1307</v>
      </c>
      <c r="F868" t="s">
        <v>4518</v>
      </c>
      <c r="G868">
        <v>2025</v>
      </c>
      <c r="H868" t="s">
        <v>1160</v>
      </c>
      <c r="I868" t="s">
        <v>96</v>
      </c>
      <c r="J868">
        <v>15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Y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S868">
        <v>0</v>
      </c>
      <c r="AU868">
        <v>0</v>
      </c>
      <c r="AV868">
        <v>0</v>
      </c>
      <c r="AW868">
        <v>0</v>
      </c>
      <c r="AX868">
        <v>0</v>
      </c>
      <c r="AY868">
        <v>25</v>
      </c>
      <c r="AZ868">
        <v>1</v>
      </c>
      <c r="BA868">
        <v>11</v>
      </c>
      <c r="BB868">
        <v>1</v>
      </c>
      <c r="BC868">
        <v>3</v>
      </c>
      <c r="BD868">
        <v>0</v>
      </c>
      <c r="BE868">
        <v>0</v>
      </c>
      <c r="BF868">
        <v>0</v>
      </c>
      <c r="BG868">
        <v>0</v>
      </c>
      <c r="BH868">
        <v>5</v>
      </c>
      <c r="BI868">
        <v>46</v>
      </c>
      <c r="BJ868">
        <v>8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7</v>
      </c>
      <c r="BU868">
        <v>49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C868">
        <v>0</v>
      </c>
      <c r="DD868">
        <v>0</v>
      </c>
      <c r="DE868">
        <v>0</v>
      </c>
      <c r="DF868">
        <v>0</v>
      </c>
      <c r="DH868">
        <v>0</v>
      </c>
      <c r="DI868">
        <v>0</v>
      </c>
    </row>
    <row r="869" spans="1:113" ht="15" customHeight="1" x14ac:dyDescent="0.25">
      <c r="A869" t="s">
        <v>4519</v>
      </c>
      <c r="B869" t="s">
        <v>4520</v>
      </c>
      <c r="C869" t="s">
        <v>4521</v>
      </c>
      <c r="D869" t="s">
        <v>1158</v>
      </c>
      <c r="E869" t="s">
        <v>1158</v>
      </c>
      <c r="F869" t="s">
        <v>4522</v>
      </c>
      <c r="G869">
        <v>2025</v>
      </c>
      <c r="H869" t="s">
        <v>1160</v>
      </c>
      <c r="I869" t="s">
        <v>101</v>
      </c>
      <c r="J869">
        <v>9</v>
      </c>
      <c r="K869">
        <v>128</v>
      </c>
      <c r="L869">
        <v>204</v>
      </c>
      <c r="M869">
        <v>1259</v>
      </c>
      <c r="N869">
        <v>7</v>
      </c>
      <c r="O869">
        <v>1</v>
      </c>
      <c r="P869">
        <v>27</v>
      </c>
      <c r="Q869">
        <v>-192</v>
      </c>
      <c r="R869">
        <v>2</v>
      </c>
      <c r="S869">
        <v>1</v>
      </c>
      <c r="T869">
        <v>1379</v>
      </c>
      <c r="U869">
        <v>586</v>
      </c>
      <c r="V869">
        <v>58</v>
      </c>
      <c r="W869">
        <v>-22.451623025007599</v>
      </c>
      <c r="X869">
        <v>-1.86883856340782</v>
      </c>
      <c r="Y869">
        <v>3</v>
      </c>
      <c r="Z869">
        <v>0.91298042059463402</v>
      </c>
      <c r="AA869">
        <v>71</v>
      </c>
      <c r="AB869">
        <v>383</v>
      </c>
      <c r="AC869">
        <v>4</v>
      </c>
      <c r="AD869">
        <v>2</v>
      </c>
      <c r="AE869">
        <v>2</v>
      </c>
      <c r="AF869">
        <v>29</v>
      </c>
      <c r="AG869">
        <v>8.7628133335885998</v>
      </c>
      <c r="AH869">
        <v>2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6</v>
      </c>
      <c r="AP869">
        <v>0</v>
      </c>
      <c r="AQ869">
        <v>0</v>
      </c>
      <c r="AR869">
        <v>-0.81877134303795196</v>
      </c>
      <c r="AS869">
        <v>0</v>
      </c>
      <c r="AT869">
        <v>0</v>
      </c>
      <c r="AU869">
        <v>2.1186440677966102E-3</v>
      </c>
      <c r="AV869">
        <v>1.7626321974148101E-3</v>
      </c>
      <c r="AW869">
        <v>4.4118086398852799E-3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1</v>
      </c>
      <c r="BU869">
        <v>10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C869">
        <v>0</v>
      </c>
      <c r="DD869">
        <v>0</v>
      </c>
      <c r="DE869">
        <v>0</v>
      </c>
      <c r="DF869">
        <v>0</v>
      </c>
      <c r="DH869">
        <v>142.66</v>
      </c>
      <c r="DI869">
        <v>142.66</v>
      </c>
    </row>
    <row r="870" spans="1:113" ht="15" customHeight="1" x14ac:dyDescent="0.25">
      <c r="A870" t="s">
        <v>4523</v>
      </c>
      <c r="B870" t="s">
        <v>4524</v>
      </c>
      <c r="C870" t="s">
        <v>4525</v>
      </c>
      <c r="D870" t="s">
        <v>1243</v>
      </c>
      <c r="E870" t="s">
        <v>1190</v>
      </c>
      <c r="F870" t="s">
        <v>4526</v>
      </c>
      <c r="G870">
        <v>2025</v>
      </c>
      <c r="H870" t="s">
        <v>1160</v>
      </c>
      <c r="I870" t="s">
        <v>93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Y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0</v>
      </c>
      <c r="AU870">
        <v>0</v>
      </c>
      <c r="AV870">
        <v>0</v>
      </c>
      <c r="AW870">
        <v>0</v>
      </c>
      <c r="AX870">
        <v>0</v>
      </c>
      <c r="AY870">
        <v>3</v>
      </c>
      <c r="AZ870">
        <v>0</v>
      </c>
      <c r="BA870">
        <v>1</v>
      </c>
      <c r="BB870">
        <v>1</v>
      </c>
      <c r="BC870">
        <v>2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C870">
        <v>0</v>
      </c>
      <c r="DD870">
        <v>0</v>
      </c>
      <c r="DE870">
        <v>0</v>
      </c>
      <c r="DF870">
        <v>0</v>
      </c>
      <c r="DH870">
        <v>0</v>
      </c>
      <c r="DI870">
        <v>0</v>
      </c>
    </row>
    <row r="871" spans="1:113" ht="15" customHeight="1" x14ac:dyDescent="0.25">
      <c r="A871" t="s">
        <v>4527</v>
      </c>
      <c r="B871" t="s">
        <v>4528</v>
      </c>
      <c r="C871" t="s">
        <v>4529</v>
      </c>
      <c r="D871" t="s">
        <v>431</v>
      </c>
      <c r="E871" t="s">
        <v>431</v>
      </c>
      <c r="F871" t="s">
        <v>4530</v>
      </c>
      <c r="G871">
        <v>2025</v>
      </c>
      <c r="H871" t="s">
        <v>1160</v>
      </c>
      <c r="I871" t="s">
        <v>101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Y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4</v>
      </c>
      <c r="BW871">
        <v>41</v>
      </c>
      <c r="BX871">
        <v>5</v>
      </c>
      <c r="BY871">
        <v>133</v>
      </c>
      <c r="BZ871">
        <v>0</v>
      </c>
      <c r="CA871">
        <v>0</v>
      </c>
      <c r="CB871">
        <v>0</v>
      </c>
      <c r="CC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C871">
        <v>0</v>
      </c>
      <c r="DD871">
        <v>0</v>
      </c>
      <c r="DE871">
        <v>0</v>
      </c>
      <c r="DF871">
        <v>0</v>
      </c>
      <c r="DH871">
        <v>0</v>
      </c>
      <c r="DI871">
        <v>0</v>
      </c>
    </row>
    <row r="872" spans="1:113" ht="15" customHeight="1" x14ac:dyDescent="0.25">
      <c r="A872" t="s">
        <v>4531</v>
      </c>
      <c r="B872" t="s">
        <v>4532</v>
      </c>
      <c r="C872" t="s">
        <v>4533</v>
      </c>
      <c r="D872" t="s">
        <v>1234</v>
      </c>
      <c r="E872" t="s">
        <v>1234</v>
      </c>
      <c r="F872" t="s">
        <v>4534</v>
      </c>
      <c r="G872">
        <v>2025</v>
      </c>
      <c r="H872" t="s">
        <v>1160</v>
      </c>
      <c r="I872" t="s">
        <v>115</v>
      </c>
      <c r="J872">
        <v>17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Y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U872">
        <v>0</v>
      </c>
      <c r="AV872">
        <v>0</v>
      </c>
      <c r="AW872">
        <v>0</v>
      </c>
      <c r="AX872">
        <v>0</v>
      </c>
      <c r="AY872">
        <v>21</v>
      </c>
      <c r="AZ872">
        <v>2</v>
      </c>
      <c r="BA872">
        <v>27</v>
      </c>
      <c r="BB872">
        <v>8</v>
      </c>
      <c r="BC872">
        <v>43</v>
      </c>
      <c r="BD872">
        <v>0</v>
      </c>
      <c r="BE872">
        <v>8</v>
      </c>
      <c r="BF872">
        <v>59</v>
      </c>
      <c r="BG872">
        <v>16</v>
      </c>
      <c r="BH872">
        <v>0</v>
      </c>
      <c r="BI872">
        <v>0</v>
      </c>
      <c r="BJ872">
        <v>4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2</v>
      </c>
      <c r="BU872">
        <v>10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C872">
        <v>0</v>
      </c>
      <c r="DD872">
        <v>0</v>
      </c>
      <c r="DE872">
        <v>0</v>
      </c>
      <c r="DF872">
        <v>0</v>
      </c>
      <c r="DH872">
        <v>0</v>
      </c>
      <c r="DI872">
        <v>0</v>
      </c>
    </row>
    <row r="873" spans="1:113" ht="15" customHeight="1" x14ac:dyDescent="0.25">
      <c r="A873" t="s">
        <v>4535</v>
      </c>
      <c r="B873" t="s">
        <v>4536</v>
      </c>
      <c r="C873" t="s">
        <v>4537</v>
      </c>
      <c r="D873" t="s">
        <v>1297</v>
      </c>
      <c r="E873" t="s">
        <v>1220</v>
      </c>
      <c r="F873" t="s">
        <v>4538</v>
      </c>
      <c r="G873">
        <v>2025</v>
      </c>
      <c r="H873" t="s">
        <v>1160</v>
      </c>
      <c r="I873" t="s">
        <v>109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Y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C873">
        <v>0</v>
      </c>
      <c r="DD873">
        <v>0</v>
      </c>
      <c r="DE873">
        <v>0</v>
      </c>
      <c r="DF873">
        <v>0</v>
      </c>
      <c r="DH873">
        <v>0</v>
      </c>
      <c r="DI873">
        <v>0</v>
      </c>
    </row>
    <row r="874" spans="1:113" ht="15" customHeight="1" x14ac:dyDescent="0.25">
      <c r="A874" t="s">
        <v>4539</v>
      </c>
      <c r="B874" t="s">
        <v>4540</v>
      </c>
      <c r="C874" t="s">
        <v>4541</v>
      </c>
      <c r="D874" t="s">
        <v>1350</v>
      </c>
      <c r="E874" t="s">
        <v>1307</v>
      </c>
      <c r="F874" t="s">
        <v>4542</v>
      </c>
      <c r="G874">
        <v>2025</v>
      </c>
      <c r="H874" t="s">
        <v>1160</v>
      </c>
      <c r="I874" t="s">
        <v>90</v>
      </c>
      <c r="J874">
        <v>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Y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U874">
        <v>0</v>
      </c>
      <c r="AV874">
        <v>0</v>
      </c>
      <c r="AW874">
        <v>0</v>
      </c>
      <c r="AX874">
        <v>0</v>
      </c>
      <c r="AY874">
        <v>8</v>
      </c>
      <c r="AZ874">
        <v>0</v>
      </c>
      <c r="BA874">
        <v>13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C874">
        <v>0</v>
      </c>
      <c r="DD874">
        <v>0</v>
      </c>
      <c r="DE874">
        <v>0</v>
      </c>
      <c r="DF874">
        <v>0</v>
      </c>
      <c r="DH874">
        <v>0</v>
      </c>
      <c r="DI874">
        <v>0</v>
      </c>
    </row>
    <row r="875" spans="1:113" ht="15" customHeight="1" x14ac:dyDescent="0.25">
      <c r="A875" t="s">
        <v>4543</v>
      </c>
      <c r="B875" t="s">
        <v>4544</v>
      </c>
      <c r="C875" t="s">
        <v>4545</v>
      </c>
      <c r="D875" t="s">
        <v>1655</v>
      </c>
      <c r="E875" t="s">
        <v>1220</v>
      </c>
      <c r="F875" t="s">
        <v>4546</v>
      </c>
      <c r="G875">
        <v>2025</v>
      </c>
      <c r="H875" t="s">
        <v>1160</v>
      </c>
      <c r="I875" t="s">
        <v>104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Y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S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</v>
      </c>
      <c r="BP875">
        <v>2</v>
      </c>
      <c r="BQ875">
        <v>0</v>
      </c>
      <c r="BR875">
        <v>0</v>
      </c>
      <c r="BS875">
        <v>0</v>
      </c>
      <c r="BT875">
        <v>3</v>
      </c>
      <c r="BU875">
        <v>25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C875">
        <v>0</v>
      </c>
      <c r="DD875">
        <v>0</v>
      </c>
      <c r="DE875">
        <v>0</v>
      </c>
      <c r="DF875">
        <v>0</v>
      </c>
      <c r="DH875">
        <v>0</v>
      </c>
      <c r="DI875">
        <v>0</v>
      </c>
    </row>
    <row r="876" spans="1:113" ht="15" customHeight="1" x14ac:dyDescent="0.25">
      <c r="A876" t="s">
        <v>4547</v>
      </c>
      <c r="B876" t="s">
        <v>4548</v>
      </c>
      <c r="C876" t="s">
        <v>594</v>
      </c>
      <c r="D876" t="s">
        <v>10</v>
      </c>
      <c r="E876" t="s">
        <v>10</v>
      </c>
      <c r="F876" t="s">
        <v>4549</v>
      </c>
      <c r="G876">
        <v>2025</v>
      </c>
      <c r="H876" t="s">
        <v>1160</v>
      </c>
      <c r="I876" t="s">
        <v>115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Y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H876">
        <v>0</v>
      </c>
      <c r="AI876">
        <v>4</v>
      </c>
      <c r="AJ876">
        <v>4</v>
      </c>
      <c r="AK876">
        <v>50</v>
      </c>
      <c r="AL876">
        <v>1</v>
      </c>
      <c r="AM876">
        <v>0</v>
      </c>
      <c r="AN876">
        <v>0</v>
      </c>
      <c r="AO876">
        <v>24</v>
      </c>
      <c r="AP876">
        <v>26</v>
      </c>
      <c r="AQ876">
        <v>3</v>
      </c>
      <c r="AR876">
        <v>7.2598997410386801</v>
      </c>
      <c r="AS876">
        <v>0</v>
      </c>
      <c r="AT876">
        <v>2.0833333333333299</v>
      </c>
      <c r="AU876">
        <v>6.8493150684931503E-3</v>
      </c>
      <c r="AV876">
        <v>5.3475935828877002E-3</v>
      </c>
      <c r="AW876">
        <v>1.4017288110761099E-2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5</v>
      </c>
      <c r="BW876">
        <v>29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C876">
        <v>0</v>
      </c>
      <c r="DD876">
        <v>0</v>
      </c>
      <c r="DE876">
        <v>0</v>
      </c>
      <c r="DF876">
        <v>0</v>
      </c>
      <c r="DH876">
        <v>11</v>
      </c>
      <c r="DI876">
        <v>15</v>
      </c>
    </row>
    <row r="877" spans="1:113" ht="15" customHeight="1" x14ac:dyDescent="0.25">
      <c r="A877" t="s">
        <v>4550</v>
      </c>
      <c r="B877" t="s">
        <v>4551</v>
      </c>
      <c r="C877" t="s">
        <v>4552</v>
      </c>
      <c r="D877" t="s">
        <v>1684</v>
      </c>
      <c r="E877" t="s">
        <v>1307</v>
      </c>
      <c r="F877" t="s">
        <v>4553</v>
      </c>
      <c r="G877">
        <v>2025</v>
      </c>
      <c r="H877" t="s">
        <v>1160</v>
      </c>
      <c r="I877" t="s">
        <v>114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Y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10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C877">
        <v>0</v>
      </c>
      <c r="DD877">
        <v>0</v>
      </c>
      <c r="DE877">
        <v>0</v>
      </c>
      <c r="DF877">
        <v>0</v>
      </c>
      <c r="DH877">
        <v>0</v>
      </c>
      <c r="DI877">
        <v>0</v>
      </c>
    </row>
    <row r="878" spans="1:113" ht="15" customHeight="1" x14ac:dyDescent="0.25">
      <c r="A878" t="s">
        <v>4554</v>
      </c>
      <c r="B878" t="s">
        <v>4555</v>
      </c>
      <c r="C878" t="s">
        <v>4556</v>
      </c>
      <c r="D878" t="s">
        <v>1684</v>
      </c>
      <c r="E878" t="s">
        <v>1307</v>
      </c>
      <c r="F878" t="s">
        <v>4557</v>
      </c>
      <c r="G878">
        <v>2025</v>
      </c>
      <c r="H878" t="s">
        <v>1160</v>
      </c>
      <c r="I878" t="s">
        <v>96</v>
      </c>
      <c r="J878">
        <v>16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Y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U878">
        <v>0</v>
      </c>
      <c r="AV878">
        <v>0</v>
      </c>
      <c r="AW878">
        <v>0</v>
      </c>
      <c r="AX878">
        <v>0</v>
      </c>
      <c r="AY878">
        <v>60</v>
      </c>
      <c r="AZ878">
        <v>5</v>
      </c>
      <c r="BA878">
        <v>38</v>
      </c>
      <c r="BB878">
        <v>14</v>
      </c>
      <c r="BC878">
        <v>54</v>
      </c>
      <c r="BD878">
        <v>0</v>
      </c>
      <c r="BE878">
        <v>3</v>
      </c>
      <c r="BF878">
        <v>21</v>
      </c>
      <c r="BG878">
        <v>7</v>
      </c>
      <c r="BH878">
        <v>1</v>
      </c>
      <c r="BI878">
        <v>36</v>
      </c>
      <c r="BJ878">
        <v>2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</v>
      </c>
      <c r="BU878">
        <v>5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C878">
        <v>0</v>
      </c>
      <c r="DD878">
        <v>0</v>
      </c>
      <c r="DE878">
        <v>0</v>
      </c>
      <c r="DF878">
        <v>0</v>
      </c>
      <c r="DH878">
        <v>0</v>
      </c>
      <c r="DI878">
        <v>0</v>
      </c>
    </row>
    <row r="879" spans="1:113" ht="15" customHeight="1" x14ac:dyDescent="0.25">
      <c r="A879" t="s">
        <v>4558</v>
      </c>
      <c r="B879" t="s">
        <v>4559</v>
      </c>
      <c r="C879" t="s">
        <v>625</v>
      </c>
      <c r="D879" t="s">
        <v>10</v>
      </c>
      <c r="E879" t="s">
        <v>10</v>
      </c>
      <c r="F879" t="s">
        <v>4560</v>
      </c>
      <c r="G879">
        <v>2025</v>
      </c>
      <c r="H879" t="s">
        <v>1160</v>
      </c>
      <c r="I879" t="s">
        <v>111</v>
      </c>
      <c r="J879">
        <v>17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Y879">
        <v>0</v>
      </c>
      <c r="AA879">
        <v>3</v>
      </c>
      <c r="AB879">
        <v>9</v>
      </c>
      <c r="AC879">
        <v>0</v>
      </c>
      <c r="AD879">
        <v>0</v>
      </c>
      <c r="AE879">
        <v>0</v>
      </c>
      <c r="AF879">
        <v>1</v>
      </c>
      <c r="AG879">
        <v>0.55699024477507897</v>
      </c>
      <c r="AH879">
        <v>0</v>
      </c>
      <c r="AI879">
        <v>117</v>
      </c>
      <c r="AJ879">
        <v>172</v>
      </c>
      <c r="AK879">
        <v>1401</v>
      </c>
      <c r="AL879">
        <v>11</v>
      </c>
      <c r="AM879">
        <v>1</v>
      </c>
      <c r="AN879">
        <v>0</v>
      </c>
      <c r="AO879">
        <v>1390</v>
      </c>
      <c r="AP879">
        <v>570</v>
      </c>
      <c r="AQ879">
        <v>72</v>
      </c>
      <c r="AR879">
        <v>55.614716241154802</v>
      </c>
      <c r="AS879">
        <v>0</v>
      </c>
      <c r="AT879">
        <v>1.0079136690647501</v>
      </c>
      <c r="AU879">
        <v>0.31272727272727302</v>
      </c>
      <c r="AV879">
        <v>0.372454448017149</v>
      </c>
      <c r="AW879">
        <v>0.72980902270291403</v>
      </c>
      <c r="AX879">
        <v>0</v>
      </c>
      <c r="AY879">
        <v>4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C879">
        <v>0</v>
      </c>
      <c r="DD879">
        <v>0</v>
      </c>
      <c r="DE879">
        <v>0</v>
      </c>
      <c r="DF879">
        <v>0</v>
      </c>
      <c r="DH879">
        <v>207</v>
      </c>
      <c r="DI879">
        <v>324</v>
      </c>
    </row>
    <row r="880" spans="1:113" ht="15" customHeight="1" x14ac:dyDescent="0.25">
      <c r="A880" t="s">
        <v>4561</v>
      </c>
      <c r="B880" t="s">
        <v>4562</v>
      </c>
      <c r="C880" t="s">
        <v>4563</v>
      </c>
      <c r="D880" t="s">
        <v>1234</v>
      </c>
      <c r="E880" t="s">
        <v>1234</v>
      </c>
      <c r="F880" t="s">
        <v>4564</v>
      </c>
      <c r="G880">
        <v>2025</v>
      </c>
      <c r="H880" t="s">
        <v>1160</v>
      </c>
      <c r="I880" t="s">
        <v>111</v>
      </c>
      <c r="J880">
        <v>17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Y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S880">
        <v>0</v>
      </c>
      <c r="AU880">
        <v>0</v>
      </c>
      <c r="AV880">
        <v>0</v>
      </c>
      <c r="AW880">
        <v>0</v>
      </c>
      <c r="AX880">
        <v>0</v>
      </c>
      <c r="AY880">
        <v>40</v>
      </c>
      <c r="AZ880">
        <v>0</v>
      </c>
      <c r="BA880">
        <v>38</v>
      </c>
      <c r="BB880">
        <v>6</v>
      </c>
      <c r="BC880">
        <v>26</v>
      </c>
      <c r="BD880">
        <v>0</v>
      </c>
      <c r="BE880">
        <v>4</v>
      </c>
      <c r="BF880">
        <v>17</v>
      </c>
      <c r="BG880">
        <v>5</v>
      </c>
      <c r="BH880">
        <v>1</v>
      </c>
      <c r="BI880">
        <v>23</v>
      </c>
      <c r="BJ880">
        <v>3</v>
      </c>
      <c r="BK880">
        <v>0</v>
      </c>
      <c r="BL880">
        <v>0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C880">
        <v>0</v>
      </c>
      <c r="DD880">
        <v>0</v>
      </c>
      <c r="DE880">
        <v>0</v>
      </c>
      <c r="DF880">
        <v>0</v>
      </c>
      <c r="DH880">
        <v>0</v>
      </c>
      <c r="DI880">
        <v>0</v>
      </c>
    </row>
    <row r="881" spans="1:113" ht="15" customHeight="1" x14ac:dyDescent="0.25">
      <c r="A881" t="s">
        <v>4565</v>
      </c>
      <c r="B881" t="s">
        <v>4566</v>
      </c>
      <c r="C881" t="s">
        <v>4567</v>
      </c>
      <c r="D881" t="s">
        <v>1189</v>
      </c>
      <c r="E881" t="s">
        <v>1190</v>
      </c>
      <c r="F881" t="s">
        <v>4568</v>
      </c>
      <c r="G881">
        <v>2025</v>
      </c>
      <c r="H881" t="s">
        <v>1160</v>
      </c>
      <c r="I881" t="s">
        <v>104</v>
      </c>
      <c r="J881">
        <v>10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Y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S881">
        <v>0</v>
      </c>
      <c r="AU881">
        <v>0</v>
      </c>
      <c r="AV881">
        <v>0</v>
      </c>
      <c r="AW881">
        <v>0</v>
      </c>
      <c r="AX881">
        <v>0</v>
      </c>
      <c r="AY881">
        <v>10</v>
      </c>
      <c r="AZ881">
        <v>0</v>
      </c>
      <c r="BA881">
        <v>12</v>
      </c>
      <c r="BB881">
        <v>1</v>
      </c>
      <c r="BC881">
        <v>2</v>
      </c>
      <c r="BD881">
        <v>0</v>
      </c>
      <c r="BE881">
        <v>0</v>
      </c>
      <c r="BF881">
        <v>0</v>
      </c>
      <c r="BG881">
        <v>2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C881">
        <v>0</v>
      </c>
      <c r="DD881">
        <v>0</v>
      </c>
      <c r="DE881">
        <v>0</v>
      </c>
      <c r="DF881">
        <v>0</v>
      </c>
      <c r="DH881">
        <v>0</v>
      </c>
      <c r="DI881">
        <v>0</v>
      </c>
    </row>
    <row r="882" spans="1:113" ht="15" customHeight="1" x14ac:dyDescent="0.25">
      <c r="A882" t="s">
        <v>4569</v>
      </c>
      <c r="B882" t="s">
        <v>4570</v>
      </c>
      <c r="C882" t="s">
        <v>4571</v>
      </c>
      <c r="D882" t="s">
        <v>1219</v>
      </c>
      <c r="E882" t="s">
        <v>1220</v>
      </c>
      <c r="F882" t="s">
        <v>4572</v>
      </c>
      <c r="G882">
        <v>2025</v>
      </c>
      <c r="H882" t="s">
        <v>1160</v>
      </c>
      <c r="I882" t="s">
        <v>96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Y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S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</v>
      </c>
      <c r="BU882">
        <v>5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C882">
        <v>0</v>
      </c>
      <c r="DD882">
        <v>0</v>
      </c>
      <c r="DE882">
        <v>0</v>
      </c>
      <c r="DF882">
        <v>0</v>
      </c>
      <c r="DH882">
        <v>0</v>
      </c>
      <c r="DI882">
        <v>0</v>
      </c>
    </row>
    <row r="883" spans="1:113" ht="15" customHeight="1" x14ac:dyDescent="0.25">
      <c r="A883" t="s">
        <v>4573</v>
      </c>
      <c r="B883" t="s">
        <v>4574</v>
      </c>
      <c r="C883" t="s">
        <v>4575</v>
      </c>
      <c r="D883" t="s">
        <v>439</v>
      </c>
      <c r="E883" t="s">
        <v>439</v>
      </c>
      <c r="F883" t="s">
        <v>4576</v>
      </c>
      <c r="G883">
        <v>2025</v>
      </c>
      <c r="H883" t="s">
        <v>1160</v>
      </c>
      <c r="I883" t="s">
        <v>93</v>
      </c>
      <c r="J883">
        <v>17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Y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H883">
        <v>0</v>
      </c>
      <c r="AI883">
        <v>88</v>
      </c>
      <c r="AJ883">
        <v>118</v>
      </c>
      <c r="AK883">
        <v>928</v>
      </c>
      <c r="AL883">
        <v>5</v>
      </c>
      <c r="AM883">
        <v>0</v>
      </c>
      <c r="AN883">
        <v>0</v>
      </c>
      <c r="AO883">
        <v>869</v>
      </c>
      <c r="AP883">
        <v>400</v>
      </c>
      <c r="AQ883">
        <v>51</v>
      </c>
      <c r="AR883">
        <v>24.583952355669702</v>
      </c>
      <c r="AS883">
        <v>0</v>
      </c>
      <c r="AT883">
        <v>1.0678941311852701</v>
      </c>
      <c r="AU883">
        <v>0.22736030828516399</v>
      </c>
      <c r="AV883">
        <v>0.20839328537170301</v>
      </c>
      <c r="AW883">
        <v>0.48691576218793797</v>
      </c>
      <c r="AX883">
        <v>0</v>
      </c>
      <c r="AY883">
        <v>2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7</v>
      </c>
      <c r="BU883">
        <v>39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C883">
        <v>0</v>
      </c>
      <c r="DD883">
        <v>0</v>
      </c>
      <c r="DE883">
        <v>0</v>
      </c>
      <c r="DF883">
        <v>0</v>
      </c>
      <c r="DH883">
        <v>122.8</v>
      </c>
      <c r="DI883">
        <v>210.8</v>
      </c>
    </row>
    <row r="884" spans="1:113" ht="15" customHeight="1" x14ac:dyDescent="0.25">
      <c r="A884" t="s">
        <v>4577</v>
      </c>
      <c r="B884" t="s">
        <v>4578</v>
      </c>
      <c r="C884" t="s">
        <v>4579</v>
      </c>
      <c r="D884" t="s">
        <v>1158</v>
      </c>
      <c r="E884" t="s">
        <v>1158</v>
      </c>
      <c r="F884" t="s">
        <v>4580</v>
      </c>
      <c r="G884">
        <v>2025</v>
      </c>
      <c r="H884" t="s">
        <v>1160</v>
      </c>
      <c r="I884" t="s">
        <v>106</v>
      </c>
      <c r="J884">
        <v>17</v>
      </c>
      <c r="K884">
        <v>341</v>
      </c>
      <c r="L884">
        <v>560</v>
      </c>
      <c r="M884">
        <v>4007</v>
      </c>
      <c r="N884">
        <v>29</v>
      </c>
      <c r="O884">
        <v>12</v>
      </c>
      <c r="P884">
        <v>41</v>
      </c>
      <c r="Q884">
        <v>-247</v>
      </c>
      <c r="R884">
        <v>3</v>
      </c>
      <c r="S884">
        <v>2</v>
      </c>
      <c r="T884">
        <v>4876</v>
      </c>
      <c r="U884">
        <v>1631</v>
      </c>
      <c r="V884">
        <v>195</v>
      </c>
      <c r="W884">
        <v>38.409721436388097</v>
      </c>
      <c r="X884">
        <v>-1.8817637855296601</v>
      </c>
      <c r="Y884">
        <v>0</v>
      </c>
      <c r="Z884">
        <v>0.82178014766201801</v>
      </c>
      <c r="AA884">
        <v>82</v>
      </c>
      <c r="AB884">
        <v>359</v>
      </c>
      <c r="AC884">
        <v>9</v>
      </c>
      <c r="AD884">
        <v>2</v>
      </c>
      <c r="AE884">
        <v>1</v>
      </c>
      <c r="AF884">
        <v>42</v>
      </c>
      <c r="AG884">
        <v>25.7917585121549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S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2</v>
      </c>
      <c r="BP884">
        <v>2</v>
      </c>
      <c r="BQ884">
        <v>0</v>
      </c>
      <c r="BR884">
        <v>0</v>
      </c>
      <c r="BS884">
        <v>0</v>
      </c>
      <c r="BT884">
        <v>7</v>
      </c>
      <c r="BU884">
        <v>55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C884">
        <v>0</v>
      </c>
      <c r="DD884">
        <v>0</v>
      </c>
      <c r="DE884">
        <v>0</v>
      </c>
      <c r="DF884">
        <v>0</v>
      </c>
      <c r="DH884">
        <v>338.18</v>
      </c>
      <c r="DI884">
        <v>338.18</v>
      </c>
    </row>
    <row r="885" spans="1:113" ht="15" customHeight="1" x14ac:dyDescent="0.25">
      <c r="A885" t="s">
        <v>4581</v>
      </c>
      <c r="B885" t="s">
        <v>4582</v>
      </c>
      <c r="C885" t="s">
        <v>4583</v>
      </c>
      <c r="D885" t="s">
        <v>1158</v>
      </c>
      <c r="E885" t="s">
        <v>1158</v>
      </c>
      <c r="F885" t="s">
        <v>4584</v>
      </c>
      <c r="G885">
        <v>2025</v>
      </c>
      <c r="H885" t="s">
        <v>1160</v>
      </c>
      <c r="I885" t="s">
        <v>141</v>
      </c>
      <c r="J885">
        <v>11</v>
      </c>
      <c r="K885">
        <v>201</v>
      </c>
      <c r="L885">
        <v>289</v>
      </c>
      <c r="M885">
        <v>2151</v>
      </c>
      <c r="N885">
        <v>13</v>
      </c>
      <c r="O885">
        <v>6</v>
      </c>
      <c r="P885">
        <v>16</v>
      </c>
      <c r="Q885">
        <v>-108</v>
      </c>
      <c r="R885">
        <v>3</v>
      </c>
      <c r="S885">
        <v>2</v>
      </c>
      <c r="T885">
        <v>2124</v>
      </c>
      <c r="U885">
        <v>957</v>
      </c>
      <c r="V885">
        <v>107</v>
      </c>
      <c r="W885">
        <v>44.6851207404805</v>
      </c>
      <c r="X885">
        <v>3.67856692495964</v>
      </c>
      <c r="Y885">
        <v>1</v>
      </c>
      <c r="Z885">
        <v>1.0127118644067801</v>
      </c>
      <c r="AA885">
        <v>36</v>
      </c>
      <c r="AB885">
        <v>60</v>
      </c>
      <c r="AC885">
        <v>0</v>
      </c>
      <c r="AD885">
        <v>1</v>
      </c>
      <c r="AE885">
        <v>0</v>
      </c>
      <c r="AF885">
        <v>13</v>
      </c>
      <c r="AG885">
        <v>-5.2677763537171698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S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1</v>
      </c>
      <c r="BU885">
        <v>10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C885">
        <v>0</v>
      </c>
      <c r="DD885">
        <v>0</v>
      </c>
      <c r="DE885">
        <v>0</v>
      </c>
      <c r="DF885">
        <v>0</v>
      </c>
      <c r="DH885">
        <v>130.04</v>
      </c>
      <c r="DI885">
        <v>130.04</v>
      </c>
    </row>
    <row r="886" spans="1:113" ht="15" customHeight="1" x14ac:dyDescent="0.25">
      <c r="A886" t="s">
        <v>4585</v>
      </c>
      <c r="B886" t="s">
        <v>4586</v>
      </c>
      <c r="C886" t="s">
        <v>4587</v>
      </c>
      <c r="D886" t="s">
        <v>431</v>
      </c>
      <c r="E886" t="s">
        <v>431</v>
      </c>
      <c r="F886" t="s">
        <v>4588</v>
      </c>
      <c r="G886">
        <v>2025</v>
      </c>
      <c r="H886" t="s">
        <v>1160</v>
      </c>
      <c r="I886" t="s">
        <v>106</v>
      </c>
      <c r="J886">
        <v>17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Y886">
        <v>0</v>
      </c>
      <c r="AA886">
        <v>260</v>
      </c>
      <c r="AB886">
        <v>1107</v>
      </c>
      <c r="AC886">
        <v>7</v>
      </c>
      <c r="AD886">
        <v>0</v>
      </c>
      <c r="AE886">
        <v>0</v>
      </c>
      <c r="AF886">
        <v>51</v>
      </c>
      <c r="AG886">
        <v>-18.982843999765201</v>
      </c>
      <c r="AH886">
        <v>0</v>
      </c>
      <c r="AI886">
        <v>36</v>
      </c>
      <c r="AJ886">
        <v>52</v>
      </c>
      <c r="AK886">
        <v>292</v>
      </c>
      <c r="AL886">
        <v>6</v>
      </c>
      <c r="AM886">
        <v>0</v>
      </c>
      <c r="AN886">
        <v>0</v>
      </c>
      <c r="AO886">
        <v>-76</v>
      </c>
      <c r="AP886">
        <v>339</v>
      </c>
      <c r="AQ886">
        <v>14</v>
      </c>
      <c r="AR886">
        <v>9.1485229429090396</v>
      </c>
      <c r="AS886">
        <v>0</v>
      </c>
      <c r="AT886">
        <v>-3.8421052631578898</v>
      </c>
      <c r="AU886">
        <v>9.5063985374771495E-2</v>
      </c>
      <c r="AV886">
        <v>-1.55737704918033E-2</v>
      </c>
      <c r="AW886">
        <v>0.13169433871789499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C886">
        <v>0</v>
      </c>
      <c r="DD886">
        <v>0</v>
      </c>
      <c r="DE886">
        <v>0</v>
      </c>
      <c r="DF886">
        <v>0</v>
      </c>
      <c r="DH886">
        <v>217.9</v>
      </c>
      <c r="DI886">
        <v>253.9</v>
      </c>
    </row>
    <row r="887" spans="1:113" ht="15" customHeight="1" x14ac:dyDescent="0.25">
      <c r="A887" t="s">
        <v>4589</v>
      </c>
      <c r="B887" t="s">
        <v>4590</v>
      </c>
      <c r="C887" t="s">
        <v>4591</v>
      </c>
      <c r="D887" t="s">
        <v>1350</v>
      </c>
      <c r="E887" t="s">
        <v>1307</v>
      </c>
      <c r="F887" t="s">
        <v>4592</v>
      </c>
      <c r="G887">
        <v>2025</v>
      </c>
      <c r="H887" t="s">
        <v>1160</v>
      </c>
      <c r="I887" t="s">
        <v>109</v>
      </c>
      <c r="J887">
        <v>17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Y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S887">
        <v>0</v>
      </c>
      <c r="AU887">
        <v>0</v>
      </c>
      <c r="AV887">
        <v>0</v>
      </c>
      <c r="AW887">
        <v>0</v>
      </c>
      <c r="AX887">
        <v>0</v>
      </c>
      <c r="AY887">
        <v>54</v>
      </c>
      <c r="AZ887">
        <v>0</v>
      </c>
      <c r="BA887">
        <v>33</v>
      </c>
      <c r="BB887">
        <v>2</v>
      </c>
      <c r="BC887">
        <v>5</v>
      </c>
      <c r="BD887">
        <v>2</v>
      </c>
      <c r="BE887">
        <v>0</v>
      </c>
      <c r="BF887">
        <v>0</v>
      </c>
      <c r="BG887">
        <v>1</v>
      </c>
      <c r="BH887">
        <v>1</v>
      </c>
      <c r="BI887">
        <v>34</v>
      </c>
      <c r="BJ887">
        <v>18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2</v>
      </c>
      <c r="BU887">
        <v>12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C887">
        <v>0</v>
      </c>
      <c r="DD887">
        <v>0</v>
      </c>
      <c r="DE887">
        <v>0</v>
      </c>
      <c r="DF887">
        <v>0</v>
      </c>
      <c r="DH887">
        <v>0</v>
      </c>
      <c r="DI887">
        <v>0</v>
      </c>
    </row>
    <row r="888" spans="1:113" ht="15" customHeight="1" x14ac:dyDescent="0.25">
      <c r="A888" t="s">
        <v>4593</v>
      </c>
      <c r="B888" t="s">
        <v>4594</v>
      </c>
      <c r="C888" t="s">
        <v>4595</v>
      </c>
      <c r="D888" t="s">
        <v>1219</v>
      </c>
      <c r="E888" t="s">
        <v>1220</v>
      </c>
      <c r="F888" t="s">
        <v>4596</v>
      </c>
      <c r="G888">
        <v>2025</v>
      </c>
      <c r="H888" t="s">
        <v>1160</v>
      </c>
      <c r="I888" t="s">
        <v>106</v>
      </c>
      <c r="J888">
        <v>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Y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S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7</v>
      </c>
      <c r="BU888">
        <v>40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C888">
        <v>0</v>
      </c>
      <c r="DD888">
        <v>0</v>
      </c>
      <c r="DE888">
        <v>0</v>
      </c>
      <c r="DF888">
        <v>0</v>
      </c>
      <c r="DH888">
        <v>0</v>
      </c>
      <c r="DI888">
        <v>0</v>
      </c>
    </row>
    <row r="889" spans="1:113" ht="15" customHeight="1" x14ac:dyDescent="0.25">
      <c r="A889" t="s">
        <v>4597</v>
      </c>
      <c r="B889" t="s">
        <v>4598</v>
      </c>
      <c r="C889" t="s">
        <v>4599</v>
      </c>
      <c r="D889" t="s">
        <v>1219</v>
      </c>
      <c r="E889" t="s">
        <v>1220</v>
      </c>
      <c r="F889" t="s">
        <v>4600</v>
      </c>
      <c r="G889">
        <v>2025</v>
      </c>
      <c r="H889" t="s">
        <v>1160</v>
      </c>
      <c r="I889" t="s">
        <v>99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Y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S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4</v>
      </c>
      <c r="BU889">
        <v>43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C889">
        <v>0</v>
      </c>
      <c r="DD889">
        <v>0</v>
      </c>
      <c r="DE889">
        <v>0</v>
      </c>
      <c r="DF889">
        <v>0</v>
      </c>
      <c r="DH889">
        <v>0</v>
      </c>
      <c r="DI889">
        <v>0</v>
      </c>
    </row>
    <row r="890" spans="1:113" ht="15" customHeight="1" x14ac:dyDescent="0.25">
      <c r="A890" t="s">
        <v>4601</v>
      </c>
      <c r="B890" t="s">
        <v>4602</v>
      </c>
      <c r="C890" t="s">
        <v>4603</v>
      </c>
      <c r="D890" t="s">
        <v>10</v>
      </c>
      <c r="E890" t="s">
        <v>10</v>
      </c>
      <c r="F890" t="s">
        <v>4604</v>
      </c>
      <c r="G890">
        <v>2025</v>
      </c>
      <c r="H890" t="s">
        <v>1160</v>
      </c>
      <c r="I890" t="s">
        <v>99</v>
      </c>
      <c r="J890">
        <v>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Y890">
        <v>0</v>
      </c>
      <c r="AA890">
        <v>6</v>
      </c>
      <c r="AB890">
        <v>24</v>
      </c>
      <c r="AC890">
        <v>1</v>
      </c>
      <c r="AD890">
        <v>0</v>
      </c>
      <c r="AE890">
        <v>0</v>
      </c>
      <c r="AF890">
        <v>3</v>
      </c>
      <c r="AG890">
        <v>-1.5159874747041601E-2</v>
      </c>
      <c r="AH890">
        <v>0</v>
      </c>
      <c r="AI890">
        <v>9</v>
      </c>
      <c r="AJ890">
        <v>17</v>
      </c>
      <c r="AK890">
        <v>112</v>
      </c>
      <c r="AL890">
        <v>0</v>
      </c>
      <c r="AM890">
        <v>0</v>
      </c>
      <c r="AN890">
        <v>0</v>
      </c>
      <c r="AO890">
        <v>142</v>
      </c>
      <c r="AP890">
        <v>58</v>
      </c>
      <c r="AQ890">
        <v>4</v>
      </c>
      <c r="AR890">
        <v>-3.8895232510403699</v>
      </c>
      <c r="AS890">
        <v>0</v>
      </c>
      <c r="AT890">
        <v>0.78873239436619702</v>
      </c>
      <c r="AU890">
        <v>3.5490605427974997E-2</v>
      </c>
      <c r="AV890">
        <v>3.9291643608190402E-2</v>
      </c>
      <c r="AW890">
        <v>8.0740058667695694E-2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C890">
        <v>0</v>
      </c>
      <c r="DD890">
        <v>0</v>
      </c>
      <c r="DE890">
        <v>0</v>
      </c>
      <c r="DF890">
        <v>0</v>
      </c>
      <c r="DH890">
        <v>19.600000000000001</v>
      </c>
      <c r="DI890">
        <v>28.6</v>
      </c>
    </row>
    <row r="891" spans="1:113" ht="15" customHeight="1" x14ac:dyDescent="0.25">
      <c r="A891" t="s">
        <v>4605</v>
      </c>
      <c r="B891" t="s">
        <v>4606</v>
      </c>
      <c r="C891" t="s">
        <v>4607</v>
      </c>
      <c r="D891" t="s">
        <v>1243</v>
      </c>
      <c r="E891" t="s">
        <v>1190</v>
      </c>
      <c r="F891" t="s">
        <v>4608</v>
      </c>
      <c r="G891">
        <v>2025</v>
      </c>
      <c r="H891" t="s">
        <v>1160</v>
      </c>
      <c r="I891" t="s">
        <v>114</v>
      </c>
      <c r="J891">
        <v>15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Y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S891">
        <v>0</v>
      </c>
      <c r="AU891">
        <v>0</v>
      </c>
      <c r="AV891">
        <v>0</v>
      </c>
      <c r="AW891">
        <v>0</v>
      </c>
      <c r="AX891">
        <v>0</v>
      </c>
      <c r="AY891">
        <v>15</v>
      </c>
      <c r="AZ891">
        <v>0</v>
      </c>
      <c r="BA891">
        <v>14</v>
      </c>
      <c r="BB891">
        <v>4</v>
      </c>
      <c r="BC891">
        <v>19</v>
      </c>
      <c r="BD891">
        <v>0</v>
      </c>
      <c r="BE891">
        <v>2</v>
      </c>
      <c r="BF891">
        <v>16</v>
      </c>
      <c r="BG891">
        <v>11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C891">
        <v>0</v>
      </c>
      <c r="DD891">
        <v>0</v>
      </c>
      <c r="DE891">
        <v>0</v>
      </c>
      <c r="DF891">
        <v>0</v>
      </c>
      <c r="DH891">
        <v>0</v>
      </c>
      <c r="DI891">
        <v>0</v>
      </c>
    </row>
    <row r="892" spans="1:113" ht="15" customHeight="1" x14ac:dyDescent="0.25">
      <c r="A892" t="s">
        <v>4609</v>
      </c>
      <c r="B892" t="s">
        <v>4610</v>
      </c>
      <c r="C892" t="s">
        <v>4611</v>
      </c>
      <c r="D892" t="s">
        <v>1189</v>
      </c>
      <c r="E892" t="s">
        <v>1190</v>
      </c>
      <c r="F892" t="s">
        <v>4612</v>
      </c>
      <c r="G892">
        <v>2025</v>
      </c>
      <c r="H892" t="s">
        <v>1160</v>
      </c>
      <c r="I892" t="s">
        <v>139</v>
      </c>
      <c r="J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Y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S892">
        <v>0</v>
      </c>
      <c r="AU892">
        <v>0</v>
      </c>
      <c r="AV892">
        <v>0</v>
      </c>
      <c r="AW892">
        <v>0</v>
      </c>
      <c r="AX892">
        <v>0</v>
      </c>
      <c r="AY892">
        <v>12</v>
      </c>
      <c r="AZ892">
        <v>1</v>
      </c>
      <c r="BA892">
        <v>7</v>
      </c>
      <c r="BB892">
        <v>5</v>
      </c>
      <c r="BC892">
        <v>16</v>
      </c>
      <c r="BD892">
        <v>0</v>
      </c>
      <c r="BE892">
        <v>1</v>
      </c>
      <c r="BF892">
        <v>9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10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C892">
        <v>0</v>
      </c>
      <c r="DD892">
        <v>0</v>
      </c>
      <c r="DE892">
        <v>0</v>
      </c>
      <c r="DF892">
        <v>0</v>
      </c>
      <c r="DH892">
        <v>0</v>
      </c>
      <c r="DI892">
        <v>0</v>
      </c>
    </row>
    <row r="893" spans="1:113" ht="15" customHeight="1" x14ac:dyDescent="0.25">
      <c r="A893" t="s">
        <v>4613</v>
      </c>
      <c r="B893" t="s">
        <v>4614</v>
      </c>
      <c r="C893" t="s">
        <v>4615</v>
      </c>
      <c r="D893" t="s">
        <v>431</v>
      </c>
      <c r="E893" t="s">
        <v>431</v>
      </c>
      <c r="F893" t="s">
        <v>4616</v>
      </c>
      <c r="G893">
        <v>2025</v>
      </c>
      <c r="H893" t="s">
        <v>1160</v>
      </c>
      <c r="I893" t="s">
        <v>103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Y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S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10</v>
      </c>
      <c r="BV893">
        <v>0</v>
      </c>
      <c r="BW893">
        <v>0</v>
      </c>
      <c r="BX893">
        <v>2</v>
      </c>
      <c r="BY893">
        <v>51</v>
      </c>
      <c r="BZ893">
        <v>0</v>
      </c>
      <c r="CA893">
        <v>0</v>
      </c>
      <c r="CB893">
        <v>0</v>
      </c>
      <c r="CC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C893">
        <v>0</v>
      </c>
      <c r="DD893">
        <v>0</v>
      </c>
      <c r="DE893">
        <v>0</v>
      </c>
      <c r="DF893">
        <v>0</v>
      </c>
      <c r="DH893">
        <v>0</v>
      </c>
      <c r="DI893">
        <v>0</v>
      </c>
    </row>
    <row r="894" spans="1:113" ht="15" customHeight="1" x14ac:dyDescent="0.25">
      <c r="A894" t="s">
        <v>4617</v>
      </c>
      <c r="B894" t="s">
        <v>4618</v>
      </c>
      <c r="C894" t="s">
        <v>4619</v>
      </c>
      <c r="D894" t="s">
        <v>1655</v>
      </c>
      <c r="E894" t="s">
        <v>1220</v>
      </c>
      <c r="F894" t="s">
        <v>4620</v>
      </c>
      <c r="G894">
        <v>2025</v>
      </c>
      <c r="H894" t="s">
        <v>1160</v>
      </c>
      <c r="I894" t="s">
        <v>106</v>
      </c>
      <c r="J894">
        <v>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Y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S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5</v>
      </c>
      <c r="BU894">
        <v>40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C894">
        <v>0</v>
      </c>
      <c r="DD894">
        <v>0</v>
      </c>
      <c r="DE894">
        <v>0</v>
      </c>
      <c r="DF894">
        <v>0</v>
      </c>
      <c r="DH894">
        <v>0</v>
      </c>
      <c r="DI894">
        <v>0</v>
      </c>
    </row>
    <row r="895" spans="1:113" ht="15" customHeight="1" x14ac:dyDescent="0.25">
      <c r="A895" t="s">
        <v>4621</v>
      </c>
      <c r="B895" t="s">
        <v>4622</v>
      </c>
      <c r="C895" t="s">
        <v>4623</v>
      </c>
      <c r="D895" t="s">
        <v>1350</v>
      </c>
      <c r="E895" t="s">
        <v>1307</v>
      </c>
      <c r="F895" t="s">
        <v>4624</v>
      </c>
      <c r="G895">
        <v>2025</v>
      </c>
      <c r="H895" t="s">
        <v>1160</v>
      </c>
      <c r="I895" t="s">
        <v>104</v>
      </c>
      <c r="J895">
        <v>17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Y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S895">
        <v>0</v>
      </c>
      <c r="AU895">
        <v>0</v>
      </c>
      <c r="AV895">
        <v>0</v>
      </c>
      <c r="AW895">
        <v>0</v>
      </c>
      <c r="AX895">
        <v>0</v>
      </c>
      <c r="AY895">
        <v>50</v>
      </c>
      <c r="AZ895">
        <v>4</v>
      </c>
      <c r="BA895">
        <v>26</v>
      </c>
      <c r="BB895">
        <v>3</v>
      </c>
      <c r="BC895">
        <v>6</v>
      </c>
      <c r="BD895">
        <v>2</v>
      </c>
      <c r="BE895">
        <v>0</v>
      </c>
      <c r="BF895">
        <v>0</v>
      </c>
      <c r="BG895">
        <v>1</v>
      </c>
      <c r="BH895">
        <v>5</v>
      </c>
      <c r="BI895">
        <v>118</v>
      </c>
      <c r="BJ895">
        <v>11</v>
      </c>
      <c r="BK895">
        <v>1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3</v>
      </c>
      <c r="BR895">
        <v>3</v>
      </c>
      <c r="BS895">
        <v>0</v>
      </c>
      <c r="BT895">
        <v>5</v>
      </c>
      <c r="BU895">
        <v>78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C895">
        <v>0</v>
      </c>
      <c r="DD895">
        <v>0</v>
      </c>
      <c r="DE895">
        <v>0</v>
      </c>
      <c r="DF895">
        <v>0</v>
      </c>
      <c r="DH895">
        <v>0</v>
      </c>
      <c r="DI895">
        <v>0</v>
      </c>
    </row>
    <row r="896" spans="1:113" ht="15" customHeight="1" x14ac:dyDescent="0.25">
      <c r="A896" t="s">
        <v>4625</v>
      </c>
      <c r="B896" t="s">
        <v>4626</v>
      </c>
      <c r="C896" t="s">
        <v>4627</v>
      </c>
      <c r="D896" t="s">
        <v>1350</v>
      </c>
      <c r="E896" t="s">
        <v>1307</v>
      </c>
      <c r="F896" t="s">
        <v>4628</v>
      </c>
      <c r="G896">
        <v>2025</v>
      </c>
      <c r="H896" t="s">
        <v>1160</v>
      </c>
      <c r="I896" t="s">
        <v>101</v>
      </c>
      <c r="J896">
        <v>16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Y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S896">
        <v>0</v>
      </c>
      <c r="AU896">
        <v>0</v>
      </c>
      <c r="AV896">
        <v>0</v>
      </c>
      <c r="AW896">
        <v>0</v>
      </c>
      <c r="AX896">
        <v>0</v>
      </c>
      <c r="AY896">
        <v>46</v>
      </c>
      <c r="AZ896">
        <v>1</v>
      </c>
      <c r="BA896">
        <v>26</v>
      </c>
      <c r="BB896">
        <v>4</v>
      </c>
      <c r="BC896">
        <v>7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9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3</v>
      </c>
      <c r="BU896">
        <v>42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C896">
        <v>0</v>
      </c>
      <c r="DD896">
        <v>0</v>
      </c>
      <c r="DE896">
        <v>0</v>
      </c>
      <c r="DF896">
        <v>0</v>
      </c>
      <c r="DH896">
        <v>0</v>
      </c>
      <c r="DI896">
        <v>0</v>
      </c>
    </row>
    <row r="897" spans="1:113" ht="15" customHeight="1" x14ac:dyDescent="0.25">
      <c r="A897" t="s">
        <v>4629</v>
      </c>
      <c r="B897" t="s">
        <v>4630</v>
      </c>
      <c r="C897" t="s">
        <v>4631</v>
      </c>
      <c r="D897" t="s">
        <v>10</v>
      </c>
      <c r="E897" t="s">
        <v>10</v>
      </c>
      <c r="F897" t="s">
        <v>4632</v>
      </c>
      <c r="G897">
        <v>2025</v>
      </c>
      <c r="H897" t="s">
        <v>1160</v>
      </c>
      <c r="I897" t="s">
        <v>99</v>
      </c>
      <c r="J897">
        <v>12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Y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H897">
        <v>0</v>
      </c>
      <c r="AI897">
        <v>22</v>
      </c>
      <c r="AJ897">
        <v>37</v>
      </c>
      <c r="AK897">
        <v>303</v>
      </c>
      <c r="AL897">
        <v>0</v>
      </c>
      <c r="AM897">
        <v>0</v>
      </c>
      <c r="AN897">
        <v>0</v>
      </c>
      <c r="AO897">
        <v>424</v>
      </c>
      <c r="AP897">
        <v>54</v>
      </c>
      <c r="AQ897">
        <v>14</v>
      </c>
      <c r="AR897">
        <v>6.7436124394862302</v>
      </c>
      <c r="AS897">
        <v>0</v>
      </c>
      <c r="AT897">
        <v>0.714622641509434</v>
      </c>
      <c r="AU897">
        <v>7.7244258872651406E-2</v>
      </c>
      <c r="AV897">
        <v>0.11732152739347</v>
      </c>
      <c r="AW897">
        <v>0.197991457484406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3</v>
      </c>
      <c r="BU897">
        <v>17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C897">
        <v>0</v>
      </c>
      <c r="DD897">
        <v>0</v>
      </c>
      <c r="DE897">
        <v>0</v>
      </c>
      <c r="DF897">
        <v>0</v>
      </c>
      <c r="DH897">
        <v>30.3</v>
      </c>
      <c r="DI897">
        <v>52.3</v>
      </c>
    </row>
    <row r="898" spans="1:113" ht="15" customHeight="1" x14ac:dyDescent="0.25">
      <c r="A898" t="s">
        <v>4633</v>
      </c>
      <c r="B898" t="s">
        <v>4634</v>
      </c>
      <c r="C898" t="s">
        <v>4635</v>
      </c>
      <c r="D898" t="s">
        <v>1189</v>
      </c>
      <c r="E898" t="s">
        <v>1190</v>
      </c>
      <c r="F898" t="s">
        <v>4636</v>
      </c>
      <c r="G898">
        <v>2025</v>
      </c>
      <c r="H898" t="s">
        <v>1160</v>
      </c>
      <c r="I898" t="s">
        <v>89</v>
      </c>
      <c r="J898">
        <v>15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Y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S898">
        <v>0</v>
      </c>
      <c r="AU898">
        <v>0</v>
      </c>
      <c r="AV898">
        <v>0</v>
      </c>
      <c r="AW898">
        <v>0</v>
      </c>
      <c r="AX898">
        <v>0</v>
      </c>
      <c r="AY898">
        <v>13</v>
      </c>
      <c r="AZ898">
        <v>1</v>
      </c>
      <c r="BA898">
        <v>16</v>
      </c>
      <c r="BB898">
        <v>6</v>
      </c>
      <c r="BC898">
        <v>24</v>
      </c>
      <c r="BD898">
        <v>1</v>
      </c>
      <c r="BE898">
        <v>4.5</v>
      </c>
      <c r="BF898">
        <v>20.5</v>
      </c>
      <c r="BG898">
        <v>13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2</v>
      </c>
      <c r="BU898">
        <v>31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C898">
        <v>0</v>
      </c>
      <c r="DD898">
        <v>0</v>
      </c>
      <c r="DE898">
        <v>0</v>
      </c>
      <c r="DF898">
        <v>0</v>
      </c>
      <c r="DH898">
        <v>0</v>
      </c>
      <c r="DI898">
        <v>0</v>
      </c>
    </row>
    <row r="899" spans="1:113" ht="15" customHeight="1" x14ac:dyDescent="0.25">
      <c r="A899" t="s">
        <v>4637</v>
      </c>
      <c r="B899" t="s">
        <v>4638</v>
      </c>
      <c r="C899" t="s">
        <v>4639</v>
      </c>
      <c r="D899" t="s">
        <v>1234</v>
      </c>
      <c r="E899" t="s">
        <v>1234</v>
      </c>
      <c r="F899" t="s">
        <v>4640</v>
      </c>
      <c r="G899">
        <v>2025</v>
      </c>
      <c r="H899" t="s">
        <v>1160</v>
      </c>
      <c r="I899" t="s">
        <v>93</v>
      </c>
      <c r="J899">
        <v>13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Y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S899">
        <v>0</v>
      </c>
      <c r="AU899">
        <v>0</v>
      </c>
      <c r="AV899">
        <v>0</v>
      </c>
      <c r="AW899">
        <v>0</v>
      </c>
      <c r="AX899">
        <v>0</v>
      </c>
      <c r="AY899">
        <v>36</v>
      </c>
      <c r="AZ899">
        <v>2</v>
      </c>
      <c r="BA899">
        <v>35</v>
      </c>
      <c r="BB899">
        <v>5</v>
      </c>
      <c r="BC899">
        <v>8</v>
      </c>
      <c r="BD899">
        <v>0</v>
      </c>
      <c r="BE899">
        <v>1</v>
      </c>
      <c r="BF899">
        <v>4</v>
      </c>
      <c r="BG899">
        <v>2</v>
      </c>
      <c r="BH899">
        <v>0</v>
      </c>
      <c r="BI899">
        <v>0</v>
      </c>
      <c r="BJ899">
        <v>7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1</v>
      </c>
      <c r="BS899">
        <v>0</v>
      </c>
      <c r="BT899">
        <v>1</v>
      </c>
      <c r="BU899">
        <v>4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C899">
        <v>0</v>
      </c>
      <c r="DD899">
        <v>0</v>
      </c>
      <c r="DE899">
        <v>0</v>
      </c>
      <c r="DF899">
        <v>0</v>
      </c>
      <c r="DH899">
        <v>0</v>
      </c>
      <c r="DI899">
        <v>0</v>
      </c>
    </row>
    <row r="900" spans="1:113" ht="15" customHeight="1" x14ac:dyDescent="0.25">
      <c r="A900" t="s">
        <v>4641</v>
      </c>
      <c r="B900" t="s">
        <v>4642</v>
      </c>
      <c r="C900" t="s">
        <v>4643</v>
      </c>
      <c r="D900" t="s">
        <v>1350</v>
      </c>
      <c r="E900" t="s">
        <v>1307</v>
      </c>
      <c r="F900" t="s">
        <v>4644</v>
      </c>
      <c r="G900">
        <v>2025</v>
      </c>
      <c r="H900" t="s">
        <v>1160</v>
      </c>
      <c r="I900" t="s">
        <v>131</v>
      </c>
      <c r="J900">
        <v>12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Y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S900">
        <v>0</v>
      </c>
      <c r="AU900">
        <v>0</v>
      </c>
      <c r="AV900">
        <v>0</v>
      </c>
      <c r="AW900">
        <v>0</v>
      </c>
      <c r="AX900">
        <v>0</v>
      </c>
      <c r="AY900">
        <v>27</v>
      </c>
      <c r="AZ900">
        <v>1</v>
      </c>
      <c r="BA900">
        <v>24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1</v>
      </c>
      <c r="BI900">
        <v>0</v>
      </c>
      <c r="BJ900">
        <v>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2</v>
      </c>
      <c r="BU900">
        <v>18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C900">
        <v>0</v>
      </c>
      <c r="DD900">
        <v>0</v>
      </c>
      <c r="DE900">
        <v>0</v>
      </c>
      <c r="DF900">
        <v>0</v>
      </c>
      <c r="DH900">
        <v>0</v>
      </c>
      <c r="DI900">
        <v>0</v>
      </c>
    </row>
    <row r="901" spans="1:113" ht="15" customHeight="1" x14ac:dyDescent="0.25">
      <c r="A901" t="s">
        <v>4645</v>
      </c>
      <c r="B901" t="s">
        <v>4646</v>
      </c>
      <c r="C901" t="s">
        <v>4647</v>
      </c>
      <c r="D901" t="s">
        <v>1684</v>
      </c>
      <c r="E901" t="s">
        <v>1307</v>
      </c>
      <c r="F901" t="s">
        <v>4648</v>
      </c>
      <c r="G901">
        <v>2025</v>
      </c>
      <c r="H901" t="s">
        <v>1160</v>
      </c>
      <c r="I901" t="s">
        <v>133</v>
      </c>
      <c r="J901">
        <v>14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Y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S901">
        <v>0</v>
      </c>
      <c r="AU901">
        <v>0</v>
      </c>
      <c r="AV901">
        <v>0</v>
      </c>
      <c r="AW901">
        <v>0</v>
      </c>
      <c r="AX901">
        <v>0</v>
      </c>
      <c r="AY901">
        <v>30</v>
      </c>
      <c r="AZ901">
        <v>1</v>
      </c>
      <c r="BA901">
        <v>22</v>
      </c>
      <c r="BB901">
        <v>1</v>
      </c>
      <c r="BC901">
        <v>13</v>
      </c>
      <c r="BD901">
        <v>0</v>
      </c>
      <c r="BE901">
        <v>1</v>
      </c>
      <c r="BF901">
        <v>13</v>
      </c>
      <c r="BG901">
        <v>1</v>
      </c>
      <c r="BH901">
        <v>1</v>
      </c>
      <c r="BI901">
        <v>0</v>
      </c>
      <c r="BJ901">
        <v>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</v>
      </c>
      <c r="BU901">
        <v>10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C901">
        <v>0</v>
      </c>
      <c r="DD901">
        <v>0</v>
      </c>
      <c r="DE901">
        <v>0</v>
      </c>
      <c r="DF901">
        <v>0</v>
      </c>
      <c r="DH901">
        <v>0</v>
      </c>
      <c r="DI901">
        <v>0</v>
      </c>
    </row>
    <row r="902" spans="1:113" ht="15" customHeight="1" x14ac:dyDescent="0.25">
      <c r="A902" t="s">
        <v>4649</v>
      </c>
      <c r="B902" t="s">
        <v>4650</v>
      </c>
      <c r="C902" t="s">
        <v>4651</v>
      </c>
      <c r="D902" t="s">
        <v>1234</v>
      </c>
      <c r="E902" t="s">
        <v>1234</v>
      </c>
      <c r="F902" t="s">
        <v>4652</v>
      </c>
      <c r="G902">
        <v>2025</v>
      </c>
      <c r="H902" t="s">
        <v>1160</v>
      </c>
      <c r="I902" t="s">
        <v>140</v>
      </c>
      <c r="J902">
        <v>15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Y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S902">
        <v>0</v>
      </c>
      <c r="AU902">
        <v>0</v>
      </c>
      <c r="AV902">
        <v>0</v>
      </c>
      <c r="AW902">
        <v>0</v>
      </c>
      <c r="AX902">
        <v>0</v>
      </c>
      <c r="AY902">
        <v>58</v>
      </c>
      <c r="AZ902">
        <v>2</v>
      </c>
      <c r="BA902">
        <v>66</v>
      </c>
      <c r="BB902">
        <v>4</v>
      </c>
      <c r="BC902">
        <v>7</v>
      </c>
      <c r="BD902">
        <v>0</v>
      </c>
      <c r="BE902">
        <v>0.5</v>
      </c>
      <c r="BF902">
        <v>0</v>
      </c>
      <c r="BG902">
        <v>1</v>
      </c>
      <c r="BH902">
        <v>5</v>
      </c>
      <c r="BI902">
        <v>150</v>
      </c>
      <c r="BJ902">
        <v>7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3</v>
      </c>
      <c r="BU902">
        <v>13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C902">
        <v>0</v>
      </c>
      <c r="DD902">
        <v>0</v>
      </c>
      <c r="DE902">
        <v>0</v>
      </c>
      <c r="DF902">
        <v>0</v>
      </c>
      <c r="DH902">
        <v>0</v>
      </c>
      <c r="DI902">
        <v>0</v>
      </c>
    </row>
    <row r="903" spans="1:113" ht="15" customHeight="1" x14ac:dyDescent="0.25">
      <c r="A903" t="s">
        <v>4653</v>
      </c>
      <c r="B903" t="s">
        <v>4654</v>
      </c>
      <c r="C903" t="s">
        <v>4655</v>
      </c>
      <c r="D903" t="s">
        <v>1234</v>
      </c>
      <c r="E903" t="s">
        <v>1234</v>
      </c>
      <c r="F903" t="s">
        <v>4656</v>
      </c>
      <c r="G903">
        <v>2025</v>
      </c>
      <c r="H903" t="s">
        <v>1160</v>
      </c>
      <c r="I903" t="s">
        <v>90</v>
      </c>
      <c r="J903">
        <v>15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Y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S903">
        <v>0</v>
      </c>
      <c r="AU903">
        <v>0</v>
      </c>
      <c r="AV903">
        <v>0</v>
      </c>
      <c r="AW903">
        <v>0</v>
      </c>
      <c r="AX903">
        <v>0</v>
      </c>
      <c r="AY903">
        <v>13</v>
      </c>
      <c r="AZ903">
        <v>1</v>
      </c>
      <c r="BA903">
        <v>20</v>
      </c>
      <c r="BB903">
        <v>4</v>
      </c>
      <c r="BC903">
        <v>23</v>
      </c>
      <c r="BD903">
        <v>0</v>
      </c>
      <c r="BE903">
        <v>2</v>
      </c>
      <c r="BF903">
        <v>13</v>
      </c>
      <c r="BG903">
        <v>5</v>
      </c>
      <c r="BH903">
        <v>1</v>
      </c>
      <c r="BI903">
        <v>4</v>
      </c>
      <c r="BJ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</v>
      </c>
      <c r="BR903">
        <v>1</v>
      </c>
      <c r="BS903">
        <v>0</v>
      </c>
      <c r="BT903">
        <v>4</v>
      </c>
      <c r="BU903">
        <v>20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C903">
        <v>0</v>
      </c>
      <c r="DD903">
        <v>0</v>
      </c>
      <c r="DE903">
        <v>0</v>
      </c>
      <c r="DF903">
        <v>0</v>
      </c>
      <c r="DH903">
        <v>0</v>
      </c>
      <c r="DI903">
        <v>0</v>
      </c>
    </row>
    <row r="904" spans="1:113" ht="15" customHeight="1" x14ac:dyDescent="0.25">
      <c r="A904" t="s">
        <v>4657</v>
      </c>
      <c r="B904" t="s">
        <v>4658</v>
      </c>
      <c r="C904" t="s">
        <v>4659</v>
      </c>
      <c r="D904" t="s">
        <v>1350</v>
      </c>
      <c r="E904" t="s">
        <v>1307</v>
      </c>
      <c r="F904" t="s">
        <v>4660</v>
      </c>
      <c r="G904">
        <v>2025</v>
      </c>
      <c r="H904" t="s">
        <v>1160</v>
      </c>
      <c r="I904" t="s">
        <v>106</v>
      </c>
      <c r="J904">
        <v>15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Y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S904">
        <v>0</v>
      </c>
      <c r="AU904">
        <v>0</v>
      </c>
      <c r="AV904">
        <v>0</v>
      </c>
      <c r="AW904">
        <v>0</v>
      </c>
      <c r="AX904">
        <v>0</v>
      </c>
      <c r="AY904">
        <v>38</v>
      </c>
      <c r="AZ904">
        <v>3</v>
      </c>
      <c r="BA904">
        <v>11</v>
      </c>
      <c r="BB904">
        <v>2</v>
      </c>
      <c r="BC904">
        <v>4</v>
      </c>
      <c r="BD904">
        <v>0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9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5</v>
      </c>
      <c r="BU904">
        <v>57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C904">
        <v>0</v>
      </c>
      <c r="DD904">
        <v>0</v>
      </c>
      <c r="DE904">
        <v>0</v>
      </c>
      <c r="DF904">
        <v>0</v>
      </c>
      <c r="DH904">
        <v>0</v>
      </c>
      <c r="DI904">
        <v>0</v>
      </c>
    </row>
    <row r="905" spans="1:113" ht="15" customHeight="1" x14ac:dyDescent="0.25">
      <c r="A905" t="s">
        <v>4661</v>
      </c>
      <c r="B905" t="s">
        <v>3255</v>
      </c>
      <c r="C905" t="s">
        <v>591</v>
      </c>
      <c r="D905" t="s">
        <v>431</v>
      </c>
      <c r="E905" t="s">
        <v>431</v>
      </c>
      <c r="F905" t="s">
        <v>4662</v>
      </c>
      <c r="G905">
        <v>2025</v>
      </c>
      <c r="H905" t="s">
        <v>1160</v>
      </c>
      <c r="I905" t="s">
        <v>112</v>
      </c>
      <c r="J905">
        <v>16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Y905">
        <v>0</v>
      </c>
      <c r="AA905">
        <v>252</v>
      </c>
      <c r="AB905">
        <v>1201</v>
      </c>
      <c r="AC905">
        <v>11</v>
      </c>
      <c r="AD905">
        <v>1</v>
      </c>
      <c r="AE905">
        <v>1</v>
      </c>
      <c r="AF905">
        <v>68</v>
      </c>
      <c r="AG905">
        <v>12.2050037380845</v>
      </c>
      <c r="AH905">
        <v>0</v>
      </c>
      <c r="AI905">
        <v>35</v>
      </c>
      <c r="AJ905">
        <v>51</v>
      </c>
      <c r="AK905">
        <v>137</v>
      </c>
      <c r="AL905">
        <v>2</v>
      </c>
      <c r="AM905">
        <v>1</v>
      </c>
      <c r="AN905">
        <v>1</v>
      </c>
      <c r="AO905">
        <v>-67</v>
      </c>
      <c r="AP905">
        <v>206</v>
      </c>
      <c r="AQ905">
        <v>7</v>
      </c>
      <c r="AR905">
        <v>-22.737269155138598</v>
      </c>
      <c r="AS905">
        <v>0</v>
      </c>
      <c r="AT905">
        <v>-2.0447761194029899</v>
      </c>
      <c r="AU905">
        <v>8.4019769357495902E-2</v>
      </c>
      <c r="AV905">
        <v>-1.3217597159203001E-2</v>
      </c>
      <c r="AW905">
        <v>0.116777336024802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1</v>
      </c>
      <c r="BU905">
        <v>5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C905">
        <v>0</v>
      </c>
      <c r="DD905">
        <v>0</v>
      </c>
      <c r="DE905">
        <v>0</v>
      </c>
      <c r="DF905">
        <v>0</v>
      </c>
      <c r="DH905">
        <v>207.8</v>
      </c>
      <c r="DI905">
        <v>242.8</v>
      </c>
    </row>
    <row r="906" spans="1:113" ht="15" customHeight="1" x14ac:dyDescent="0.25">
      <c r="A906" t="s">
        <v>4663</v>
      </c>
      <c r="B906" t="s">
        <v>4664</v>
      </c>
      <c r="C906" t="s">
        <v>4665</v>
      </c>
      <c r="D906" t="s">
        <v>1684</v>
      </c>
      <c r="E906" t="s">
        <v>1307</v>
      </c>
      <c r="F906" t="s">
        <v>4666</v>
      </c>
      <c r="G906">
        <v>2025</v>
      </c>
      <c r="H906" t="s">
        <v>1160</v>
      </c>
      <c r="I906" t="s">
        <v>139</v>
      </c>
      <c r="J906">
        <v>13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Y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S906">
        <v>0</v>
      </c>
      <c r="AU906">
        <v>0</v>
      </c>
      <c r="AV906">
        <v>0</v>
      </c>
      <c r="AW906">
        <v>0</v>
      </c>
      <c r="AX906">
        <v>0</v>
      </c>
      <c r="AY906">
        <v>38</v>
      </c>
      <c r="AZ906">
        <v>0</v>
      </c>
      <c r="BA906">
        <v>25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3</v>
      </c>
      <c r="BJ906">
        <v>5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3</v>
      </c>
      <c r="BU906">
        <v>15</v>
      </c>
      <c r="BV906">
        <v>2</v>
      </c>
      <c r="BW906">
        <v>7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C906">
        <v>0</v>
      </c>
      <c r="DD906">
        <v>0</v>
      </c>
      <c r="DE906">
        <v>0</v>
      </c>
      <c r="DF906">
        <v>0</v>
      </c>
      <c r="DH906">
        <v>0</v>
      </c>
      <c r="DI906">
        <v>0</v>
      </c>
    </row>
    <row r="907" spans="1:113" ht="15" customHeight="1" x14ac:dyDescent="0.25">
      <c r="A907" t="s">
        <v>4667</v>
      </c>
      <c r="B907" t="s">
        <v>4668</v>
      </c>
      <c r="C907" t="s">
        <v>4669</v>
      </c>
      <c r="D907" t="s">
        <v>1234</v>
      </c>
      <c r="E907" t="s">
        <v>1234</v>
      </c>
      <c r="F907" t="s">
        <v>4670</v>
      </c>
      <c r="G907">
        <v>2025</v>
      </c>
      <c r="H907" t="s">
        <v>1160</v>
      </c>
      <c r="I907" t="s">
        <v>111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Y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S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2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15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C907">
        <v>0</v>
      </c>
      <c r="DD907">
        <v>0</v>
      </c>
      <c r="DE907">
        <v>0</v>
      </c>
      <c r="DF907">
        <v>0</v>
      </c>
      <c r="DH907">
        <v>0</v>
      </c>
      <c r="DI907">
        <v>0</v>
      </c>
    </row>
    <row r="908" spans="1:113" ht="15" customHeight="1" x14ac:dyDescent="0.25">
      <c r="A908" t="s">
        <v>4671</v>
      </c>
      <c r="B908" t="s">
        <v>4672</v>
      </c>
      <c r="C908" t="s">
        <v>4673</v>
      </c>
      <c r="D908" t="s">
        <v>1297</v>
      </c>
      <c r="E908" t="s">
        <v>1220</v>
      </c>
      <c r="F908" t="s">
        <v>4674</v>
      </c>
      <c r="G908">
        <v>2025</v>
      </c>
      <c r="H908" t="s">
        <v>1160</v>
      </c>
      <c r="I908" t="s">
        <v>115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Y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S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C908">
        <v>0</v>
      </c>
      <c r="DD908">
        <v>0</v>
      </c>
      <c r="DE908">
        <v>0</v>
      </c>
      <c r="DF908">
        <v>0</v>
      </c>
      <c r="DH908">
        <v>0</v>
      </c>
      <c r="DI908">
        <v>0</v>
      </c>
    </row>
    <row r="909" spans="1:113" ht="15" customHeight="1" x14ac:dyDescent="0.25">
      <c r="A909" t="s">
        <v>4675</v>
      </c>
      <c r="B909" t="s">
        <v>4676</v>
      </c>
      <c r="C909" t="s">
        <v>4677</v>
      </c>
      <c r="D909" t="s">
        <v>1297</v>
      </c>
      <c r="E909" t="s">
        <v>1220</v>
      </c>
      <c r="F909" t="s">
        <v>4678</v>
      </c>
      <c r="G909">
        <v>2025</v>
      </c>
      <c r="H909" t="s">
        <v>1160</v>
      </c>
      <c r="I909" t="s">
        <v>120</v>
      </c>
      <c r="J909">
        <v>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Y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S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5</v>
      </c>
      <c r="BU909">
        <v>30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C909">
        <v>0</v>
      </c>
      <c r="DD909">
        <v>0</v>
      </c>
      <c r="DE909">
        <v>0</v>
      </c>
      <c r="DF909">
        <v>0</v>
      </c>
      <c r="DH909">
        <v>0</v>
      </c>
      <c r="DI909">
        <v>0</v>
      </c>
    </row>
    <row r="910" spans="1:113" ht="15" customHeight="1" x14ac:dyDescent="0.25">
      <c r="A910" t="s">
        <v>4679</v>
      </c>
      <c r="B910" t="s">
        <v>4680</v>
      </c>
      <c r="C910" t="s">
        <v>4681</v>
      </c>
      <c r="D910" t="s">
        <v>1234</v>
      </c>
      <c r="E910" t="s">
        <v>1234</v>
      </c>
      <c r="F910" t="s">
        <v>4682</v>
      </c>
      <c r="G910">
        <v>2025</v>
      </c>
      <c r="H910" t="s">
        <v>1160</v>
      </c>
      <c r="I910" t="s">
        <v>140</v>
      </c>
      <c r="J910">
        <v>10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Y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S910">
        <v>0</v>
      </c>
      <c r="AU910">
        <v>0</v>
      </c>
      <c r="AV910">
        <v>0</v>
      </c>
      <c r="AW910">
        <v>0</v>
      </c>
      <c r="AX910">
        <v>0</v>
      </c>
      <c r="AY910">
        <v>4</v>
      </c>
      <c r="AZ910">
        <v>0</v>
      </c>
      <c r="BA910">
        <v>7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5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C910">
        <v>0</v>
      </c>
      <c r="DD910">
        <v>0</v>
      </c>
      <c r="DE910">
        <v>0</v>
      </c>
      <c r="DF910">
        <v>0</v>
      </c>
      <c r="DH910">
        <v>0</v>
      </c>
      <c r="DI910">
        <v>0</v>
      </c>
    </row>
    <row r="911" spans="1:113" ht="15" customHeight="1" x14ac:dyDescent="0.25">
      <c r="A911" t="s">
        <v>4683</v>
      </c>
      <c r="B911" t="s">
        <v>4684</v>
      </c>
      <c r="C911" t="s">
        <v>696</v>
      </c>
      <c r="D911" t="s">
        <v>439</v>
      </c>
      <c r="E911" t="s">
        <v>439</v>
      </c>
      <c r="F911" t="s">
        <v>4685</v>
      </c>
      <c r="G911">
        <v>2025</v>
      </c>
      <c r="H911" t="s">
        <v>1160</v>
      </c>
      <c r="I911" t="s">
        <v>106</v>
      </c>
      <c r="J911">
        <v>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Y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H911">
        <v>0</v>
      </c>
      <c r="AI911">
        <v>12</v>
      </c>
      <c r="AJ911">
        <v>17</v>
      </c>
      <c r="AK911">
        <v>85</v>
      </c>
      <c r="AL911">
        <v>2</v>
      </c>
      <c r="AM911">
        <v>1</v>
      </c>
      <c r="AN911">
        <v>0</v>
      </c>
      <c r="AO911">
        <v>66</v>
      </c>
      <c r="AP911">
        <v>31</v>
      </c>
      <c r="AQ911">
        <v>6</v>
      </c>
      <c r="AR911">
        <v>7.7687383883167103</v>
      </c>
      <c r="AS911">
        <v>0</v>
      </c>
      <c r="AT911">
        <v>1.2878787878787901</v>
      </c>
      <c r="AU911">
        <v>3.1078610603290702E-2</v>
      </c>
      <c r="AV911">
        <v>1.35245901639344E-2</v>
      </c>
      <c r="AW911">
        <v>5.6085129019690101E-2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2</v>
      </c>
      <c r="BU911">
        <v>15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C911">
        <v>0</v>
      </c>
      <c r="DD911">
        <v>0</v>
      </c>
      <c r="DE911">
        <v>0</v>
      </c>
      <c r="DF911">
        <v>0</v>
      </c>
      <c r="DH911">
        <v>20.5</v>
      </c>
      <c r="DI911">
        <v>32.5</v>
      </c>
    </row>
    <row r="912" spans="1:113" ht="15" customHeight="1" x14ac:dyDescent="0.25">
      <c r="A912" t="s">
        <v>4686</v>
      </c>
      <c r="B912" t="s">
        <v>4687</v>
      </c>
      <c r="C912" t="s">
        <v>518</v>
      </c>
      <c r="D912" t="s">
        <v>439</v>
      </c>
      <c r="E912" t="s">
        <v>439</v>
      </c>
      <c r="F912" t="s">
        <v>4688</v>
      </c>
      <c r="G912">
        <v>2025</v>
      </c>
      <c r="H912" t="s">
        <v>1160</v>
      </c>
      <c r="I912" t="s">
        <v>96</v>
      </c>
      <c r="J912">
        <v>15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Y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H912">
        <v>0</v>
      </c>
      <c r="AI912">
        <v>27</v>
      </c>
      <c r="AJ912">
        <v>37</v>
      </c>
      <c r="AK912">
        <v>249</v>
      </c>
      <c r="AL912">
        <v>2</v>
      </c>
      <c r="AM912">
        <v>0</v>
      </c>
      <c r="AN912">
        <v>0</v>
      </c>
      <c r="AO912">
        <v>163</v>
      </c>
      <c r="AP912">
        <v>164</v>
      </c>
      <c r="AQ912">
        <v>10</v>
      </c>
      <c r="AR912">
        <v>8.2490959563036892</v>
      </c>
      <c r="AS912">
        <v>0</v>
      </c>
      <c r="AT912">
        <v>1.52760736196319</v>
      </c>
      <c r="AU912">
        <v>7.7083333333333295E-2</v>
      </c>
      <c r="AV912">
        <v>4.7246376811594201E-2</v>
      </c>
      <c r="AW912">
        <v>0.14869746376811599</v>
      </c>
      <c r="AX912">
        <v>0</v>
      </c>
      <c r="AY912">
        <v>2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3</v>
      </c>
      <c r="BU912">
        <v>20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C912">
        <v>0</v>
      </c>
      <c r="DD912">
        <v>0</v>
      </c>
      <c r="DE912">
        <v>0</v>
      </c>
      <c r="DF912">
        <v>0</v>
      </c>
      <c r="DH912">
        <v>36.9</v>
      </c>
      <c r="DI912">
        <v>63.9</v>
      </c>
    </row>
    <row r="913" spans="1:113" ht="15" customHeight="1" x14ac:dyDescent="0.25">
      <c r="A913" t="s">
        <v>4689</v>
      </c>
      <c r="B913" t="s">
        <v>4690</v>
      </c>
      <c r="C913" t="s">
        <v>4691</v>
      </c>
      <c r="D913" t="s">
        <v>1234</v>
      </c>
      <c r="E913" t="s">
        <v>1234</v>
      </c>
      <c r="F913" t="s">
        <v>4692</v>
      </c>
      <c r="G913">
        <v>2025</v>
      </c>
      <c r="H913" t="s">
        <v>1160</v>
      </c>
      <c r="I913" t="s">
        <v>96</v>
      </c>
      <c r="J913">
        <v>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Y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0</v>
      </c>
      <c r="AU913">
        <v>0</v>
      </c>
      <c r="AV913">
        <v>0</v>
      </c>
      <c r="AW913">
        <v>0</v>
      </c>
      <c r="AX913">
        <v>0</v>
      </c>
      <c r="AY913">
        <v>6</v>
      </c>
      <c r="AZ913">
        <v>0</v>
      </c>
      <c r="BA913">
        <v>3</v>
      </c>
      <c r="BB913">
        <v>2</v>
      </c>
      <c r="BC913">
        <v>10</v>
      </c>
      <c r="BD913">
        <v>0</v>
      </c>
      <c r="BE913">
        <v>1</v>
      </c>
      <c r="BF913">
        <v>7</v>
      </c>
      <c r="BG913">
        <v>2</v>
      </c>
      <c r="BH913">
        <v>0</v>
      </c>
      <c r="BI913">
        <v>0</v>
      </c>
      <c r="BJ913">
        <v>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C913">
        <v>0</v>
      </c>
      <c r="DD913">
        <v>0</v>
      </c>
      <c r="DE913">
        <v>0</v>
      </c>
      <c r="DF913">
        <v>0</v>
      </c>
      <c r="DH913">
        <v>0</v>
      </c>
      <c r="DI913">
        <v>0</v>
      </c>
    </row>
    <row r="914" spans="1:113" ht="15" customHeight="1" x14ac:dyDescent="0.25">
      <c r="A914" t="s">
        <v>4693</v>
      </c>
      <c r="B914" t="s">
        <v>4694</v>
      </c>
      <c r="C914" t="s">
        <v>4695</v>
      </c>
      <c r="D914" t="s">
        <v>1158</v>
      </c>
      <c r="E914" t="s">
        <v>1158</v>
      </c>
      <c r="F914" t="s">
        <v>4696</v>
      </c>
      <c r="G914">
        <v>2025</v>
      </c>
      <c r="H914" t="s">
        <v>1160</v>
      </c>
      <c r="I914" t="s">
        <v>131</v>
      </c>
      <c r="J914">
        <v>4</v>
      </c>
      <c r="K914">
        <v>27</v>
      </c>
      <c r="L914">
        <v>57</v>
      </c>
      <c r="M914">
        <v>226</v>
      </c>
      <c r="N914">
        <v>0</v>
      </c>
      <c r="O914">
        <v>1</v>
      </c>
      <c r="P914">
        <v>6</v>
      </c>
      <c r="Q914">
        <v>-44</v>
      </c>
      <c r="R914">
        <v>1</v>
      </c>
      <c r="S914">
        <v>1</v>
      </c>
      <c r="T914">
        <v>535</v>
      </c>
      <c r="U914">
        <v>105</v>
      </c>
      <c r="V914">
        <v>10</v>
      </c>
      <c r="W914">
        <v>-39.466692559592303</v>
      </c>
      <c r="X914">
        <v>-9.7815323472022992</v>
      </c>
      <c r="Y914">
        <v>0</v>
      </c>
      <c r="Z914">
        <v>0.42242990654205598</v>
      </c>
      <c r="AA914">
        <v>17</v>
      </c>
      <c r="AB914">
        <v>85</v>
      </c>
      <c r="AC914">
        <v>0</v>
      </c>
      <c r="AD914">
        <v>0</v>
      </c>
      <c r="AE914">
        <v>0</v>
      </c>
      <c r="AF914">
        <v>5</v>
      </c>
      <c r="AG914">
        <v>1.25343599158805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S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C914">
        <v>0</v>
      </c>
      <c r="DD914">
        <v>0</v>
      </c>
      <c r="DE914">
        <v>0</v>
      </c>
      <c r="DF914">
        <v>0</v>
      </c>
      <c r="DH914">
        <v>13.54</v>
      </c>
      <c r="DI914">
        <v>13.54</v>
      </c>
    </row>
    <row r="915" spans="1:113" ht="15" customHeight="1" x14ac:dyDescent="0.25">
      <c r="A915" t="s">
        <v>4697</v>
      </c>
      <c r="B915" t="s">
        <v>4698</v>
      </c>
      <c r="C915" t="s">
        <v>4699</v>
      </c>
      <c r="D915" t="s">
        <v>1158</v>
      </c>
      <c r="E915" t="s">
        <v>1158</v>
      </c>
      <c r="F915" t="s">
        <v>4700</v>
      </c>
      <c r="G915">
        <v>2025</v>
      </c>
      <c r="H915" t="s">
        <v>1160</v>
      </c>
      <c r="I915" t="s">
        <v>133</v>
      </c>
      <c r="J915">
        <v>4</v>
      </c>
      <c r="K915">
        <v>6</v>
      </c>
      <c r="L915">
        <v>11</v>
      </c>
      <c r="M915">
        <v>32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61</v>
      </c>
      <c r="U915">
        <v>23</v>
      </c>
      <c r="V915">
        <v>3</v>
      </c>
      <c r="W915">
        <v>-6.6213444254244704</v>
      </c>
      <c r="X915">
        <v>-7.3663729429245004</v>
      </c>
      <c r="Y915">
        <v>0</v>
      </c>
      <c r="Z915">
        <v>0.52459016393442603</v>
      </c>
      <c r="AA915">
        <v>3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-0.23850150406360601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S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C915">
        <v>0</v>
      </c>
      <c r="DD915">
        <v>0</v>
      </c>
      <c r="DE915">
        <v>0</v>
      </c>
      <c r="DF915">
        <v>0</v>
      </c>
      <c r="DH915">
        <v>1.38</v>
      </c>
      <c r="DI915">
        <v>1.38</v>
      </c>
    </row>
    <row r="916" spans="1:113" ht="15" customHeight="1" x14ac:dyDescent="0.25">
      <c r="A916" t="s">
        <v>4701</v>
      </c>
      <c r="B916" t="s">
        <v>4702</v>
      </c>
      <c r="C916" t="s">
        <v>558</v>
      </c>
      <c r="D916" t="s">
        <v>439</v>
      </c>
      <c r="E916" t="s">
        <v>439</v>
      </c>
      <c r="G916">
        <v>2025</v>
      </c>
      <c r="H916" t="s">
        <v>1160</v>
      </c>
      <c r="I916" t="s">
        <v>109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Y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H916">
        <v>0</v>
      </c>
      <c r="AI916">
        <v>2</v>
      </c>
      <c r="AJ916">
        <v>5</v>
      </c>
      <c r="AK916">
        <v>11</v>
      </c>
      <c r="AL916">
        <v>0</v>
      </c>
      <c r="AM916">
        <v>0</v>
      </c>
      <c r="AN916">
        <v>0</v>
      </c>
      <c r="AO916">
        <v>55</v>
      </c>
      <c r="AP916">
        <v>5</v>
      </c>
      <c r="AQ916">
        <v>1</v>
      </c>
      <c r="AR916">
        <v>-8.8195036947727203</v>
      </c>
      <c r="AS916">
        <v>0</v>
      </c>
      <c r="AT916">
        <v>0.2</v>
      </c>
      <c r="AU916">
        <v>9.5785440613026795E-3</v>
      </c>
      <c r="AV916">
        <v>1.45310435931308E-2</v>
      </c>
      <c r="AW916">
        <v>2.45395466071456E-2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C916">
        <v>0</v>
      </c>
      <c r="DD916">
        <v>0</v>
      </c>
      <c r="DE916">
        <v>0</v>
      </c>
      <c r="DF916">
        <v>0</v>
      </c>
      <c r="DH916">
        <v>1.1000000000000001</v>
      </c>
      <c r="DI916">
        <v>3.1</v>
      </c>
    </row>
    <row r="917" spans="1:113" ht="15" customHeight="1" x14ac:dyDescent="0.25">
      <c r="A917" t="s">
        <v>4703</v>
      </c>
      <c r="B917" t="s">
        <v>4704</v>
      </c>
      <c r="C917" t="s">
        <v>527</v>
      </c>
      <c r="D917" t="s">
        <v>439</v>
      </c>
      <c r="E917" t="s">
        <v>439</v>
      </c>
      <c r="F917" t="s">
        <v>4705</v>
      </c>
      <c r="G917">
        <v>2025</v>
      </c>
      <c r="H917" t="s">
        <v>1160</v>
      </c>
      <c r="I917" t="s">
        <v>104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Y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S917">
        <v>0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2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C917">
        <v>0</v>
      </c>
      <c r="DD917">
        <v>0</v>
      </c>
      <c r="DE917">
        <v>0</v>
      </c>
      <c r="DF917">
        <v>0</v>
      </c>
      <c r="DH917">
        <v>0</v>
      </c>
      <c r="DI917">
        <v>0</v>
      </c>
    </row>
    <row r="918" spans="1:113" ht="15" customHeight="1" x14ac:dyDescent="0.25">
      <c r="A918" t="s">
        <v>4706</v>
      </c>
      <c r="B918" t="s">
        <v>4707</v>
      </c>
      <c r="C918" t="s">
        <v>4708</v>
      </c>
      <c r="D918" t="s">
        <v>1350</v>
      </c>
      <c r="E918" t="s">
        <v>1307</v>
      </c>
      <c r="F918" t="s">
        <v>4709</v>
      </c>
      <c r="G918">
        <v>2025</v>
      </c>
      <c r="H918" t="s">
        <v>1160</v>
      </c>
      <c r="I918" t="s">
        <v>93</v>
      </c>
      <c r="J918">
        <v>15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Y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S918">
        <v>0</v>
      </c>
      <c r="AU918">
        <v>0</v>
      </c>
      <c r="AV918">
        <v>0</v>
      </c>
      <c r="AW918">
        <v>0</v>
      </c>
      <c r="AX918">
        <v>0</v>
      </c>
      <c r="AY918">
        <v>55</v>
      </c>
      <c r="AZ918">
        <v>0</v>
      </c>
      <c r="BA918">
        <v>12</v>
      </c>
      <c r="BB918">
        <v>6</v>
      </c>
      <c r="BC918">
        <v>28</v>
      </c>
      <c r="BD918">
        <v>1</v>
      </c>
      <c r="BE918">
        <v>2</v>
      </c>
      <c r="BF918">
        <v>23</v>
      </c>
      <c r="BG918">
        <v>3</v>
      </c>
      <c r="BH918">
        <v>3</v>
      </c>
      <c r="BI918">
        <v>59</v>
      </c>
      <c r="BJ918">
        <v>13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1</v>
      </c>
      <c r="BR918">
        <v>1</v>
      </c>
      <c r="BS918">
        <v>0</v>
      </c>
      <c r="BT918">
        <v>4</v>
      </c>
      <c r="BU918">
        <v>58</v>
      </c>
      <c r="BV918">
        <v>0</v>
      </c>
      <c r="BW918">
        <v>0</v>
      </c>
      <c r="BX918">
        <v>1</v>
      </c>
      <c r="BY918">
        <v>21</v>
      </c>
      <c r="BZ918">
        <v>0</v>
      </c>
      <c r="CA918">
        <v>0</v>
      </c>
      <c r="CB918">
        <v>0</v>
      </c>
      <c r="CC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C918">
        <v>0</v>
      </c>
      <c r="DD918">
        <v>0</v>
      </c>
      <c r="DE918">
        <v>0</v>
      </c>
      <c r="DF918">
        <v>0</v>
      </c>
      <c r="DH918">
        <v>0</v>
      </c>
      <c r="DI918">
        <v>0</v>
      </c>
    </row>
    <row r="919" spans="1:113" ht="15" customHeight="1" x14ac:dyDescent="0.25">
      <c r="A919" t="s">
        <v>4710</v>
      </c>
      <c r="B919" t="s">
        <v>4711</v>
      </c>
      <c r="C919" t="s">
        <v>4712</v>
      </c>
      <c r="D919" t="s">
        <v>1243</v>
      </c>
      <c r="E919" t="s">
        <v>1190</v>
      </c>
      <c r="F919" t="s">
        <v>4713</v>
      </c>
      <c r="G919">
        <v>2025</v>
      </c>
      <c r="H919" t="s">
        <v>1160</v>
      </c>
      <c r="I919" t="s">
        <v>121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Y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S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C919">
        <v>0</v>
      </c>
      <c r="DD919">
        <v>0</v>
      </c>
      <c r="DE919">
        <v>0</v>
      </c>
      <c r="DF919">
        <v>0</v>
      </c>
      <c r="DH919">
        <v>0</v>
      </c>
      <c r="DI919">
        <v>0</v>
      </c>
    </row>
    <row r="920" spans="1:113" ht="15" customHeight="1" x14ac:dyDescent="0.25">
      <c r="A920" t="s">
        <v>4714</v>
      </c>
      <c r="B920" t="s">
        <v>4715</v>
      </c>
      <c r="C920" t="s">
        <v>4716</v>
      </c>
      <c r="D920" t="s">
        <v>1189</v>
      </c>
      <c r="E920" t="s">
        <v>1190</v>
      </c>
      <c r="F920" t="s">
        <v>4717</v>
      </c>
      <c r="G920">
        <v>2025</v>
      </c>
      <c r="H920" t="s">
        <v>1160</v>
      </c>
      <c r="I920" t="s">
        <v>93</v>
      </c>
      <c r="J920">
        <v>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Y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S920">
        <v>0</v>
      </c>
      <c r="AU920">
        <v>0</v>
      </c>
      <c r="AV920">
        <v>0</v>
      </c>
      <c r="AW920">
        <v>0</v>
      </c>
      <c r="AX920">
        <v>0</v>
      </c>
      <c r="AY920">
        <v>2</v>
      </c>
      <c r="AZ920">
        <v>0</v>
      </c>
      <c r="BA920">
        <v>7</v>
      </c>
      <c r="BB920">
        <v>1</v>
      </c>
      <c r="BC920">
        <v>9</v>
      </c>
      <c r="BD920">
        <v>0</v>
      </c>
      <c r="BE920">
        <v>1</v>
      </c>
      <c r="BF920">
        <v>9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C920">
        <v>0</v>
      </c>
      <c r="DD920">
        <v>0</v>
      </c>
      <c r="DE920">
        <v>0</v>
      </c>
      <c r="DF920">
        <v>0</v>
      </c>
      <c r="DH920">
        <v>0</v>
      </c>
      <c r="DI920">
        <v>0</v>
      </c>
    </row>
    <row r="921" spans="1:113" ht="15" customHeight="1" x14ac:dyDescent="0.25">
      <c r="A921" t="s">
        <v>4718</v>
      </c>
      <c r="B921" t="s">
        <v>2574</v>
      </c>
      <c r="C921" t="s">
        <v>4719</v>
      </c>
      <c r="D921" t="s">
        <v>1243</v>
      </c>
      <c r="E921" t="s">
        <v>1190</v>
      </c>
      <c r="F921" t="s">
        <v>4720</v>
      </c>
      <c r="G921">
        <v>2025</v>
      </c>
      <c r="H921" t="s">
        <v>1160</v>
      </c>
      <c r="I921" t="s">
        <v>120</v>
      </c>
      <c r="J921">
        <v>17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Y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S921">
        <v>0</v>
      </c>
      <c r="AU921">
        <v>0</v>
      </c>
      <c r="AV921">
        <v>0</v>
      </c>
      <c r="AW921">
        <v>0</v>
      </c>
      <c r="AX921">
        <v>1</v>
      </c>
      <c r="AY921">
        <v>32</v>
      </c>
      <c r="AZ921">
        <v>2</v>
      </c>
      <c r="BA921">
        <v>38</v>
      </c>
      <c r="BB921">
        <v>9</v>
      </c>
      <c r="BC921">
        <v>26</v>
      </c>
      <c r="BD921">
        <v>0</v>
      </c>
      <c r="BE921">
        <v>4.5</v>
      </c>
      <c r="BF921">
        <v>13.5</v>
      </c>
      <c r="BG921">
        <v>6</v>
      </c>
      <c r="BH921">
        <v>0</v>
      </c>
      <c r="BI921">
        <v>0</v>
      </c>
      <c r="BJ921">
        <v>6</v>
      </c>
      <c r="BK921">
        <v>0</v>
      </c>
      <c r="BL921">
        <v>0</v>
      </c>
      <c r="BM921">
        <v>0</v>
      </c>
      <c r="BN921">
        <v>61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C921">
        <v>0</v>
      </c>
      <c r="DD921">
        <v>0</v>
      </c>
      <c r="DE921">
        <v>0</v>
      </c>
      <c r="DF921">
        <v>0</v>
      </c>
      <c r="DH921">
        <v>6</v>
      </c>
      <c r="DI921">
        <v>6</v>
      </c>
    </row>
    <row r="922" spans="1:113" ht="15" customHeight="1" x14ac:dyDescent="0.25">
      <c r="A922" t="s">
        <v>4721</v>
      </c>
      <c r="B922" t="s">
        <v>4722</v>
      </c>
      <c r="C922" t="s">
        <v>4723</v>
      </c>
      <c r="D922" t="s">
        <v>1234</v>
      </c>
      <c r="E922" t="s">
        <v>1234</v>
      </c>
      <c r="F922" t="s">
        <v>4724</v>
      </c>
      <c r="G922">
        <v>2025</v>
      </c>
      <c r="H922" t="s">
        <v>1160</v>
      </c>
      <c r="I922" t="s">
        <v>118</v>
      </c>
      <c r="J922">
        <v>14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Y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S922">
        <v>0</v>
      </c>
      <c r="AU922">
        <v>0</v>
      </c>
      <c r="AV922">
        <v>0</v>
      </c>
      <c r="AW922">
        <v>0</v>
      </c>
      <c r="AX922">
        <v>0</v>
      </c>
      <c r="AY922">
        <v>54</v>
      </c>
      <c r="AZ922">
        <v>4</v>
      </c>
      <c r="BA922">
        <v>70</v>
      </c>
      <c r="BB922">
        <v>8</v>
      </c>
      <c r="BC922">
        <v>20</v>
      </c>
      <c r="BD922">
        <v>0</v>
      </c>
      <c r="BE922">
        <v>2.5</v>
      </c>
      <c r="BF922">
        <v>11.5</v>
      </c>
      <c r="BG922">
        <v>7</v>
      </c>
      <c r="BH922">
        <v>0</v>
      </c>
      <c r="BI922">
        <v>0</v>
      </c>
      <c r="BJ922">
        <v>5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</v>
      </c>
      <c r="BU922">
        <v>8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C922">
        <v>0</v>
      </c>
      <c r="DD922">
        <v>0</v>
      </c>
      <c r="DE922">
        <v>0</v>
      </c>
      <c r="DF922">
        <v>0</v>
      </c>
      <c r="DH922">
        <v>0</v>
      </c>
      <c r="DI922">
        <v>0</v>
      </c>
    </row>
    <row r="923" spans="1:113" ht="15" customHeight="1" x14ac:dyDescent="0.25">
      <c r="A923" t="s">
        <v>4725</v>
      </c>
      <c r="B923" t="s">
        <v>4726</v>
      </c>
      <c r="C923" t="s">
        <v>4727</v>
      </c>
      <c r="D923" t="s">
        <v>1243</v>
      </c>
      <c r="E923" t="s">
        <v>1190</v>
      </c>
      <c r="F923" t="s">
        <v>4728</v>
      </c>
      <c r="G923">
        <v>2025</v>
      </c>
      <c r="H923" t="s">
        <v>1160</v>
      </c>
      <c r="I923" t="s">
        <v>118</v>
      </c>
      <c r="J923">
        <v>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Y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S923">
        <v>0</v>
      </c>
      <c r="AU923">
        <v>0</v>
      </c>
      <c r="AV923">
        <v>0</v>
      </c>
      <c r="AW923">
        <v>0</v>
      </c>
      <c r="AX923">
        <v>0</v>
      </c>
      <c r="AY923">
        <v>15</v>
      </c>
      <c r="AZ923">
        <v>0</v>
      </c>
      <c r="BA923">
        <v>12</v>
      </c>
      <c r="BB923">
        <v>6</v>
      </c>
      <c r="BC923">
        <v>35</v>
      </c>
      <c r="BD923">
        <v>0</v>
      </c>
      <c r="BE923">
        <v>4</v>
      </c>
      <c r="BF923">
        <v>25</v>
      </c>
      <c r="BG923">
        <v>7</v>
      </c>
      <c r="BH923">
        <v>0</v>
      </c>
      <c r="BI923">
        <v>0</v>
      </c>
      <c r="BJ923">
        <v>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C923">
        <v>0</v>
      </c>
      <c r="DD923">
        <v>0</v>
      </c>
      <c r="DE923">
        <v>0</v>
      </c>
      <c r="DF923">
        <v>0</v>
      </c>
      <c r="DH923">
        <v>0</v>
      </c>
      <c r="DI923">
        <v>0</v>
      </c>
    </row>
    <row r="924" spans="1:113" ht="15" customHeight="1" x14ac:dyDescent="0.25">
      <c r="A924" t="s">
        <v>4729</v>
      </c>
      <c r="B924" t="s">
        <v>4730</v>
      </c>
      <c r="C924" t="s">
        <v>4731</v>
      </c>
      <c r="D924" t="s">
        <v>1219</v>
      </c>
      <c r="E924" t="s">
        <v>1220</v>
      </c>
      <c r="F924" t="s">
        <v>4732</v>
      </c>
      <c r="G924">
        <v>2025</v>
      </c>
      <c r="H924" t="s">
        <v>1160</v>
      </c>
      <c r="I924" t="s">
        <v>118</v>
      </c>
      <c r="J924">
        <v>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Y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S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3</v>
      </c>
      <c r="BU924">
        <v>24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C924">
        <v>0</v>
      </c>
      <c r="DD924">
        <v>0</v>
      </c>
      <c r="DE924">
        <v>0</v>
      </c>
      <c r="DF924">
        <v>0</v>
      </c>
      <c r="DH924">
        <v>0</v>
      </c>
      <c r="DI924">
        <v>0</v>
      </c>
    </row>
    <row r="925" spans="1:113" ht="15" customHeight="1" x14ac:dyDescent="0.25">
      <c r="A925" t="s">
        <v>4733</v>
      </c>
      <c r="B925" t="s">
        <v>4734</v>
      </c>
      <c r="C925" t="s">
        <v>4735</v>
      </c>
      <c r="D925" t="s">
        <v>1350</v>
      </c>
      <c r="E925" t="s">
        <v>1307</v>
      </c>
      <c r="F925" t="s">
        <v>4736</v>
      </c>
      <c r="G925">
        <v>2025</v>
      </c>
      <c r="H925" t="s">
        <v>1160</v>
      </c>
      <c r="I925" t="s">
        <v>140</v>
      </c>
      <c r="J925">
        <v>15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Y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S925">
        <v>0</v>
      </c>
      <c r="AU925">
        <v>0</v>
      </c>
      <c r="AV925">
        <v>0</v>
      </c>
      <c r="AW925">
        <v>0</v>
      </c>
      <c r="AX925">
        <v>0</v>
      </c>
      <c r="AY925">
        <v>32</v>
      </c>
      <c r="AZ925">
        <v>1</v>
      </c>
      <c r="BA925">
        <v>8</v>
      </c>
      <c r="BB925">
        <v>1</v>
      </c>
      <c r="BC925">
        <v>1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30</v>
      </c>
      <c r="BJ925">
        <v>12</v>
      </c>
      <c r="BK925">
        <v>0</v>
      </c>
      <c r="BL925">
        <v>1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6</v>
      </c>
      <c r="BU925">
        <v>79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C925">
        <v>0</v>
      </c>
      <c r="DD925">
        <v>0</v>
      </c>
      <c r="DE925">
        <v>0</v>
      </c>
      <c r="DF925">
        <v>0</v>
      </c>
      <c r="DH925">
        <v>0</v>
      </c>
      <c r="DI925">
        <v>0</v>
      </c>
    </row>
    <row r="926" spans="1:113" ht="15" customHeight="1" x14ac:dyDescent="0.25">
      <c r="A926" t="s">
        <v>4737</v>
      </c>
      <c r="B926" t="s">
        <v>3463</v>
      </c>
      <c r="C926" t="s">
        <v>4738</v>
      </c>
      <c r="D926" t="s">
        <v>1219</v>
      </c>
      <c r="E926" t="s">
        <v>1220</v>
      </c>
      <c r="F926" t="s">
        <v>4739</v>
      </c>
      <c r="G926">
        <v>2025</v>
      </c>
      <c r="H926" t="s">
        <v>1160</v>
      </c>
      <c r="I926" t="s">
        <v>104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Y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S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C926">
        <v>0</v>
      </c>
      <c r="DD926">
        <v>0</v>
      </c>
      <c r="DE926">
        <v>0</v>
      </c>
      <c r="DF926">
        <v>0</v>
      </c>
      <c r="DH926">
        <v>0</v>
      </c>
      <c r="DI926">
        <v>0</v>
      </c>
    </row>
    <row r="927" spans="1:113" ht="15" customHeight="1" x14ac:dyDescent="0.25">
      <c r="A927" t="s">
        <v>4740</v>
      </c>
      <c r="B927" t="s">
        <v>1766</v>
      </c>
      <c r="C927" t="s">
        <v>4741</v>
      </c>
      <c r="D927" t="s">
        <v>1189</v>
      </c>
      <c r="E927" t="s">
        <v>1190</v>
      </c>
      <c r="F927" t="s">
        <v>4742</v>
      </c>
      <c r="G927">
        <v>2025</v>
      </c>
      <c r="H927" t="s">
        <v>1160</v>
      </c>
      <c r="I927" t="s">
        <v>104</v>
      </c>
      <c r="J927">
        <v>10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Y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S927">
        <v>0</v>
      </c>
      <c r="AU927">
        <v>0</v>
      </c>
      <c r="AV927">
        <v>0</v>
      </c>
      <c r="AW927">
        <v>0</v>
      </c>
      <c r="AX927">
        <v>0</v>
      </c>
      <c r="AY927">
        <v>11</v>
      </c>
      <c r="AZ927">
        <v>1</v>
      </c>
      <c r="BA927">
        <v>7</v>
      </c>
      <c r="BB927">
        <v>3</v>
      </c>
      <c r="BC927">
        <v>23</v>
      </c>
      <c r="BD927">
        <v>0</v>
      </c>
      <c r="BE927">
        <v>1.5</v>
      </c>
      <c r="BF927">
        <v>13</v>
      </c>
      <c r="BG927">
        <v>3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C927">
        <v>0</v>
      </c>
      <c r="DD927">
        <v>0</v>
      </c>
      <c r="DE927">
        <v>0</v>
      </c>
      <c r="DF927">
        <v>0</v>
      </c>
      <c r="DH927">
        <v>0</v>
      </c>
      <c r="DI927">
        <v>0</v>
      </c>
    </row>
    <row r="928" spans="1:113" ht="15" customHeight="1" x14ac:dyDescent="0.25">
      <c r="A928" t="s">
        <v>4743</v>
      </c>
      <c r="B928" t="s">
        <v>4744</v>
      </c>
      <c r="C928" t="s">
        <v>4745</v>
      </c>
      <c r="D928" t="s">
        <v>1189</v>
      </c>
      <c r="E928" t="s">
        <v>1190</v>
      </c>
      <c r="F928" t="s">
        <v>4746</v>
      </c>
      <c r="G928">
        <v>2025</v>
      </c>
      <c r="H928" t="s">
        <v>1160</v>
      </c>
      <c r="I928" t="s">
        <v>118</v>
      </c>
      <c r="J928">
        <v>16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Y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S928">
        <v>0</v>
      </c>
      <c r="AU928">
        <v>0</v>
      </c>
      <c r="AV928">
        <v>0</v>
      </c>
      <c r="AW928">
        <v>0</v>
      </c>
      <c r="AX928">
        <v>0</v>
      </c>
      <c r="AY928">
        <v>16</v>
      </c>
      <c r="AZ928">
        <v>0</v>
      </c>
      <c r="BA928">
        <v>23</v>
      </c>
      <c r="BB928">
        <v>6</v>
      </c>
      <c r="BC928">
        <v>24</v>
      </c>
      <c r="BD928">
        <v>0</v>
      </c>
      <c r="BE928">
        <v>2</v>
      </c>
      <c r="BF928">
        <v>15.5</v>
      </c>
      <c r="BG928">
        <v>9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4</v>
      </c>
      <c r="BU928">
        <v>22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C928">
        <v>0</v>
      </c>
      <c r="DD928">
        <v>0</v>
      </c>
      <c r="DE928">
        <v>0</v>
      </c>
      <c r="DF928">
        <v>0</v>
      </c>
      <c r="DH928">
        <v>0</v>
      </c>
      <c r="DI928">
        <v>0</v>
      </c>
    </row>
    <row r="929" spans="1:113" ht="15" customHeight="1" x14ac:dyDescent="0.25">
      <c r="A929" t="s">
        <v>4747</v>
      </c>
      <c r="B929" t="s">
        <v>4748</v>
      </c>
      <c r="C929" t="s">
        <v>593</v>
      </c>
      <c r="D929" t="s">
        <v>431</v>
      </c>
      <c r="E929" t="s">
        <v>431</v>
      </c>
      <c r="F929" t="s">
        <v>4749</v>
      </c>
      <c r="G929">
        <v>2025</v>
      </c>
      <c r="H929" t="s">
        <v>1160</v>
      </c>
      <c r="I929" t="s">
        <v>115</v>
      </c>
      <c r="J929">
        <v>16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Y929">
        <v>0</v>
      </c>
      <c r="AA929">
        <v>8</v>
      </c>
      <c r="AB929">
        <v>23</v>
      </c>
      <c r="AC929">
        <v>0</v>
      </c>
      <c r="AD929">
        <v>0</v>
      </c>
      <c r="AE929">
        <v>0</v>
      </c>
      <c r="AF929">
        <v>1</v>
      </c>
      <c r="AG929">
        <v>-3.7049199692115899</v>
      </c>
      <c r="AH929">
        <v>0</v>
      </c>
      <c r="AI929">
        <v>19</v>
      </c>
      <c r="AJ929">
        <v>31</v>
      </c>
      <c r="AK929">
        <v>141</v>
      </c>
      <c r="AL929">
        <v>0</v>
      </c>
      <c r="AM929">
        <v>0</v>
      </c>
      <c r="AN929">
        <v>0</v>
      </c>
      <c r="AO929">
        <v>-44</v>
      </c>
      <c r="AP929">
        <v>210</v>
      </c>
      <c r="AQ929">
        <v>9</v>
      </c>
      <c r="AR929">
        <v>1.22353060223844</v>
      </c>
      <c r="AS929">
        <v>0</v>
      </c>
      <c r="AT929">
        <v>-3.2045454545454501</v>
      </c>
      <c r="AU929">
        <v>5.3082191780821901E-2</v>
      </c>
      <c r="AV929">
        <v>-9.8039215686274508E-3</v>
      </c>
      <c r="AW929">
        <v>7.2760542573193698E-2</v>
      </c>
      <c r="AX929">
        <v>0</v>
      </c>
      <c r="AY929">
        <v>3</v>
      </c>
      <c r="AZ929">
        <v>0</v>
      </c>
      <c r="BA929">
        <v>3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2</v>
      </c>
      <c r="BU929">
        <v>10</v>
      </c>
      <c r="BV929">
        <v>0</v>
      </c>
      <c r="BW929">
        <v>0</v>
      </c>
      <c r="BX929">
        <v>17</v>
      </c>
      <c r="BY929">
        <v>452</v>
      </c>
      <c r="BZ929">
        <v>0</v>
      </c>
      <c r="CA929">
        <v>0</v>
      </c>
      <c r="CB929">
        <v>0</v>
      </c>
      <c r="CC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C929">
        <v>0</v>
      </c>
      <c r="DD929">
        <v>0</v>
      </c>
      <c r="DE929">
        <v>0</v>
      </c>
      <c r="DF929">
        <v>0</v>
      </c>
      <c r="DH929">
        <v>16.399999999999999</v>
      </c>
      <c r="DI929">
        <v>35.4</v>
      </c>
    </row>
    <row r="930" spans="1:113" ht="15" customHeight="1" x14ac:dyDescent="0.25">
      <c r="A930" t="s">
        <v>4750</v>
      </c>
      <c r="B930" t="s">
        <v>4751</v>
      </c>
      <c r="C930" t="s">
        <v>904</v>
      </c>
      <c r="D930" t="s">
        <v>439</v>
      </c>
      <c r="E930" t="s">
        <v>439</v>
      </c>
      <c r="F930" t="s">
        <v>4752</v>
      </c>
      <c r="G930">
        <v>2025</v>
      </c>
      <c r="H930" t="s">
        <v>1160</v>
      </c>
      <c r="I930" t="s">
        <v>120</v>
      </c>
      <c r="J930">
        <v>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Y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H930">
        <v>0</v>
      </c>
      <c r="AI930">
        <v>9</v>
      </c>
      <c r="AJ930">
        <v>13</v>
      </c>
      <c r="AK930">
        <v>76</v>
      </c>
      <c r="AL930">
        <v>1</v>
      </c>
      <c r="AM930">
        <v>0</v>
      </c>
      <c r="AN930">
        <v>0</v>
      </c>
      <c r="AO930">
        <v>85</v>
      </c>
      <c r="AP930">
        <v>31</v>
      </c>
      <c r="AQ930">
        <v>4</v>
      </c>
      <c r="AR930">
        <v>0.97382529510650795</v>
      </c>
      <c r="AS930">
        <v>0</v>
      </c>
      <c r="AT930">
        <v>0.89411764705882402</v>
      </c>
      <c r="AU930">
        <v>2.80172413793103E-2</v>
      </c>
      <c r="AV930">
        <v>1.89605175105956E-2</v>
      </c>
      <c r="AW930">
        <v>5.52982243263824E-2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1</v>
      </c>
      <c r="BU930">
        <v>5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C930">
        <v>0</v>
      </c>
      <c r="DD930">
        <v>0</v>
      </c>
      <c r="DE930">
        <v>0</v>
      </c>
      <c r="DF930">
        <v>0</v>
      </c>
      <c r="DH930">
        <v>13.6</v>
      </c>
      <c r="DI930">
        <v>22.6</v>
      </c>
    </row>
    <row r="931" spans="1:113" ht="15" customHeight="1" x14ac:dyDescent="0.25">
      <c r="A931" t="s">
        <v>4753</v>
      </c>
      <c r="B931" t="s">
        <v>4754</v>
      </c>
      <c r="C931" t="s">
        <v>4755</v>
      </c>
      <c r="D931" t="s">
        <v>1350</v>
      </c>
      <c r="E931" t="s">
        <v>1307</v>
      </c>
      <c r="F931" t="s">
        <v>4756</v>
      </c>
      <c r="G931">
        <v>2025</v>
      </c>
      <c r="H931" t="s">
        <v>1160</v>
      </c>
      <c r="I931" t="s">
        <v>118</v>
      </c>
      <c r="J931">
        <v>13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Y931">
        <v>0</v>
      </c>
      <c r="AA931">
        <v>5</v>
      </c>
      <c r="AB931">
        <v>35</v>
      </c>
      <c r="AC931">
        <v>0</v>
      </c>
      <c r="AD931">
        <v>0</v>
      </c>
      <c r="AE931">
        <v>0</v>
      </c>
      <c r="AF931">
        <v>2</v>
      </c>
      <c r="AG931">
        <v>0.84767533408012197</v>
      </c>
      <c r="AH931">
        <v>0</v>
      </c>
      <c r="AI931">
        <v>4</v>
      </c>
      <c r="AJ931">
        <v>13</v>
      </c>
      <c r="AK931">
        <v>107</v>
      </c>
      <c r="AL931">
        <v>1</v>
      </c>
      <c r="AM931">
        <v>0</v>
      </c>
      <c r="AN931">
        <v>0</v>
      </c>
      <c r="AO931">
        <v>222</v>
      </c>
      <c r="AP931">
        <v>7</v>
      </c>
      <c r="AQ931">
        <v>4</v>
      </c>
      <c r="AR931">
        <v>-2.5782256198581299</v>
      </c>
      <c r="AS931">
        <v>0</v>
      </c>
      <c r="AT931">
        <v>0.481981981981982</v>
      </c>
      <c r="AU931">
        <v>2.8260869565217402E-2</v>
      </c>
      <c r="AV931">
        <v>5.18328274573897E-2</v>
      </c>
      <c r="AW931">
        <v>7.8674283567998896E-2</v>
      </c>
      <c r="AX931">
        <v>0</v>
      </c>
      <c r="AY931">
        <v>2</v>
      </c>
      <c r="AZ931">
        <v>0</v>
      </c>
      <c r="BA931">
        <v>2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3</v>
      </c>
      <c r="BU931">
        <v>24</v>
      </c>
      <c r="BV931">
        <v>0</v>
      </c>
      <c r="BW931">
        <v>0</v>
      </c>
      <c r="BX931">
        <v>19</v>
      </c>
      <c r="BY931">
        <v>467</v>
      </c>
      <c r="BZ931">
        <v>0</v>
      </c>
      <c r="CA931">
        <v>0</v>
      </c>
      <c r="CB931">
        <v>0</v>
      </c>
      <c r="CC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C931">
        <v>0</v>
      </c>
      <c r="DD931">
        <v>0</v>
      </c>
      <c r="DE931">
        <v>0</v>
      </c>
      <c r="DF931">
        <v>0</v>
      </c>
      <c r="DH931">
        <v>20.2</v>
      </c>
      <c r="DI931">
        <v>24.2</v>
      </c>
    </row>
    <row r="932" spans="1:113" ht="15" customHeight="1" x14ac:dyDescent="0.25">
      <c r="A932" t="s">
        <v>4757</v>
      </c>
      <c r="B932" t="s">
        <v>4758</v>
      </c>
      <c r="C932" t="s">
        <v>4759</v>
      </c>
      <c r="D932" t="s">
        <v>1297</v>
      </c>
      <c r="E932" t="s">
        <v>1220</v>
      </c>
      <c r="F932" t="s">
        <v>4760</v>
      </c>
      <c r="G932">
        <v>2025</v>
      </c>
      <c r="H932" t="s">
        <v>1160</v>
      </c>
      <c r="I932" t="s">
        <v>143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Y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S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2</v>
      </c>
      <c r="BU932">
        <v>20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C932">
        <v>0</v>
      </c>
      <c r="DD932">
        <v>0</v>
      </c>
      <c r="DE932">
        <v>0</v>
      </c>
      <c r="DF932">
        <v>0</v>
      </c>
      <c r="DH932">
        <v>0</v>
      </c>
      <c r="DI932">
        <v>0</v>
      </c>
    </row>
    <row r="933" spans="1:113" ht="15" customHeight="1" x14ac:dyDescent="0.25">
      <c r="A933" t="s">
        <v>4761</v>
      </c>
      <c r="B933" t="s">
        <v>4762</v>
      </c>
      <c r="C933" t="s">
        <v>776</v>
      </c>
      <c r="D933" t="s">
        <v>10</v>
      </c>
      <c r="E933" t="s">
        <v>10</v>
      </c>
      <c r="F933" t="s">
        <v>4763</v>
      </c>
      <c r="G933">
        <v>2025</v>
      </c>
      <c r="H933" t="s">
        <v>1160</v>
      </c>
      <c r="I933" t="s">
        <v>140</v>
      </c>
      <c r="J933">
        <v>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Y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H933">
        <v>0</v>
      </c>
      <c r="AI933">
        <v>2</v>
      </c>
      <c r="AJ933">
        <v>3</v>
      </c>
      <c r="AK933">
        <v>48</v>
      </c>
      <c r="AL933">
        <v>0</v>
      </c>
      <c r="AM933">
        <v>0</v>
      </c>
      <c r="AN933">
        <v>0</v>
      </c>
      <c r="AO933">
        <v>57</v>
      </c>
      <c r="AP933">
        <v>0</v>
      </c>
      <c r="AQ933">
        <v>2</v>
      </c>
      <c r="AR933">
        <v>1.97011045448016</v>
      </c>
      <c r="AS933">
        <v>0</v>
      </c>
      <c r="AT933">
        <v>0.84210526315789502</v>
      </c>
      <c r="AU933">
        <v>6.5934065934065899E-3</v>
      </c>
      <c r="AV933">
        <v>1.5167642362959E-2</v>
      </c>
      <c r="AW933">
        <v>2.0507459544181199E-2</v>
      </c>
      <c r="AX933">
        <v>0</v>
      </c>
      <c r="AY933">
        <v>7</v>
      </c>
      <c r="AZ933">
        <v>0</v>
      </c>
      <c r="BA933">
        <v>2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10</v>
      </c>
      <c r="BY933">
        <v>322</v>
      </c>
      <c r="BZ933">
        <v>0</v>
      </c>
      <c r="CA933">
        <v>0</v>
      </c>
      <c r="CB933">
        <v>0</v>
      </c>
      <c r="CC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C933">
        <v>0</v>
      </c>
      <c r="DD933">
        <v>0</v>
      </c>
      <c r="DE933">
        <v>0</v>
      </c>
      <c r="DF933">
        <v>0</v>
      </c>
      <c r="DH933">
        <v>4.8</v>
      </c>
      <c r="DI933">
        <v>6.8</v>
      </c>
    </row>
    <row r="934" spans="1:113" ht="15" customHeight="1" x14ac:dyDescent="0.25">
      <c r="A934" t="s">
        <v>4764</v>
      </c>
      <c r="B934" t="s">
        <v>4765</v>
      </c>
      <c r="C934" t="s">
        <v>4766</v>
      </c>
      <c r="D934" t="s">
        <v>1243</v>
      </c>
      <c r="E934" t="s">
        <v>1190</v>
      </c>
      <c r="F934" t="s">
        <v>4767</v>
      </c>
      <c r="G934">
        <v>2025</v>
      </c>
      <c r="H934" t="s">
        <v>1160</v>
      </c>
      <c r="I934" t="s">
        <v>118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Y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S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4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5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C934">
        <v>0</v>
      </c>
      <c r="DD934">
        <v>0</v>
      </c>
      <c r="DE934">
        <v>0</v>
      </c>
      <c r="DF934">
        <v>0</v>
      </c>
      <c r="DH934">
        <v>0</v>
      </c>
      <c r="DI934">
        <v>0</v>
      </c>
    </row>
    <row r="935" spans="1:113" ht="15" customHeight="1" x14ac:dyDescent="0.25">
      <c r="A935" t="s">
        <v>4768</v>
      </c>
      <c r="B935" t="s">
        <v>4769</v>
      </c>
      <c r="C935" t="s">
        <v>4770</v>
      </c>
      <c r="D935" t="s">
        <v>1684</v>
      </c>
      <c r="E935" t="s">
        <v>1307</v>
      </c>
      <c r="F935" t="s">
        <v>4771</v>
      </c>
      <c r="G935">
        <v>2025</v>
      </c>
      <c r="H935" t="s">
        <v>1160</v>
      </c>
      <c r="I935" t="s">
        <v>104</v>
      </c>
      <c r="J935">
        <v>13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Y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S935">
        <v>0</v>
      </c>
      <c r="AU935">
        <v>0</v>
      </c>
      <c r="AV935">
        <v>0</v>
      </c>
      <c r="AW935">
        <v>0</v>
      </c>
      <c r="AX935">
        <v>0</v>
      </c>
      <c r="AY935">
        <v>9</v>
      </c>
      <c r="AZ935">
        <v>0</v>
      </c>
      <c r="BA935">
        <v>10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10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C935">
        <v>0</v>
      </c>
      <c r="DD935">
        <v>0</v>
      </c>
      <c r="DE935">
        <v>0</v>
      </c>
      <c r="DF935">
        <v>0</v>
      </c>
      <c r="DH935">
        <v>0</v>
      </c>
      <c r="DI935">
        <v>0</v>
      </c>
    </row>
    <row r="936" spans="1:113" ht="15" customHeight="1" x14ac:dyDescent="0.25">
      <c r="A936" t="s">
        <v>4772</v>
      </c>
      <c r="B936" t="s">
        <v>4773</v>
      </c>
      <c r="C936" t="s">
        <v>854</v>
      </c>
      <c r="D936" t="s">
        <v>10</v>
      </c>
      <c r="E936" t="s">
        <v>10</v>
      </c>
      <c r="F936" t="s">
        <v>4774</v>
      </c>
      <c r="G936">
        <v>2025</v>
      </c>
      <c r="H936" t="s">
        <v>1160</v>
      </c>
      <c r="I936" t="s">
        <v>138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Y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H936">
        <v>0</v>
      </c>
      <c r="AI936">
        <v>1</v>
      </c>
      <c r="AJ936">
        <v>3</v>
      </c>
      <c r="AK936">
        <v>3</v>
      </c>
      <c r="AL936">
        <v>0</v>
      </c>
      <c r="AM936">
        <v>0</v>
      </c>
      <c r="AN936">
        <v>0</v>
      </c>
      <c r="AO936">
        <v>30</v>
      </c>
      <c r="AP936">
        <v>0</v>
      </c>
      <c r="AQ936">
        <v>0</v>
      </c>
      <c r="AR936">
        <v>-8.6851797007257101</v>
      </c>
      <c r="AS936">
        <v>0</v>
      </c>
      <c r="AT936">
        <v>0.1</v>
      </c>
      <c r="AU936">
        <v>5.3097345132743397E-3</v>
      </c>
      <c r="AV936">
        <v>6.2669730520158798E-3</v>
      </c>
      <c r="AW936">
        <v>1.2351482906322601E-2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C936">
        <v>0</v>
      </c>
      <c r="DD936">
        <v>0</v>
      </c>
      <c r="DE936">
        <v>0</v>
      </c>
      <c r="DF936">
        <v>0</v>
      </c>
      <c r="DH936">
        <v>0.3</v>
      </c>
      <c r="DI936">
        <v>1.3</v>
      </c>
    </row>
    <row r="937" spans="1:113" ht="15" customHeight="1" x14ac:dyDescent="0.25">
      <c r="A937" t="s">
        <v>4775</v>
      </c>
      <c r="B937" t="s">
        <v>1725</v>
      </c>
      <c r="C937" t="s">
        <v>4776</v>
      </c>
      <c r="D937" t="s">
        <v>1307</v>
      </c>
      <c r="E937" t="s">
        <v>1307</v>
      </c>
      <c r="F937" t="s">
        <v>4777</v>
      </c>
      <c r="G937">
        <v>2025</v>
      </c>
      <c r="H937" t="s">
        <v>1160</v>
      </c>
      <c r="I937" t="s">
        <v>104</v>
      </c>
      <c r="J937">
        <v>11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Y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S937">
        <v>0</v>
      </c>
      <c r="AU937">
        <v>0</v>
      </c>
      <c r="AV937">
        <v>0</v>
      </c>
      <c r="AW937">
        <v>0</v>
      </c>
      <c r="AX937">
        <v>0</v>
      </c>
      <c r="AY937">
        <v>9</v>
      </c>
      <c r="AZ937">
        <v>0</v>
      </c>
      <c r="BA937">
        <v>7</v>
      </c>
      <c r="BB937">
        <v>0</v>
      </c>
      <c r="BC937">
        <v>0</v>
      </c>
      <c r="BD937">
        <v>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C937">
        <v>0</v>
      </c>
      <c r="DD937">
        <v>0</v>
      </c>
      <c r="DE937">
        <v>0</v>
      </c>
      <c r="DF937">
        <v>0</v>
      </c>
      <c r="DH937">
        <v>0</v>
      </c>
      <c r="DI937">
        <v>0</v>
      </c>
    </row>
    <row r="938" spans="1:113" ht="15" customHeight="1" x14ac:dyDescent="0.25">
      <c r="A938" t="s">
        <v>4778</v>
      </c>
      <c r="B938" t="s">
        <v>4779</v>
      </c>
      <c r="C938" t="s">
        <v>4780</v>
      </c>
      <c r="D938" t="s">
        <v>1234</v>
      </c>
      <c r="E938" t="s">
        <v>1234</v>
      </c>
      <c r="F938" t="s">
        <v>4781</v>
      </c>
      <c r="G938">
        <v>2025</v>
      </c>
      <c r="H938" t="s">
        <v>1160</v>
      </c>
      <c r="I938" t="s">
        <v>112</v>
      </c>
      <c r="J938">
        <v>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Y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S938">
        <v>0</v>
      </c>
      <c r="AU938">
        <v>0</v>
      </c>
      <c r="AV938">
        <v>0</v>
      </c>
      <c r="AW938">
        <v>0</v>
      </c>
      <c r="AX938">
        <v>0</v>
      </c>
      <c r="AY938">
        <v>15</v>
      </c>
      <c r="AZ938">
        <v>1</v>
      </c>
      <c r="BA938">
        <v>18</v>
      </c>
      <c r="BB938">
        <v>1</v>
      </c>
      <c r="BC938">
        <v>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C938">
        <v>0</v>
      </c>
      <c r="DD938">
        <v>0</v>
      </c>
      <c r="DE938">
        <v>0</v>
      </c>
      <c r="DF938">
        <v>0</v>
      </c>
      <c r="DH938">
        <v>0</v>
      </c>
      <c r="DI938">
        <v>0</v>
      </c>
    </row>
    <row r="939" spans="1:113" ht="15" customHeight="1" x14ac:dyDescent="0.25">
      <c r="A939" t="s">
        <v>4782</v>
      </c>
      <c r="B939" t="s">
        <v>4783</v>
      </c>
      <c r="C939" t="s">
        <v>976</v>
      </c>
      <c r="D939" t="s">
        <v>439</v>
      </c>
      <c r="E939" t="s">
        <v>439</v>
      </c>
      <c r="F939" t="s">
        <v>4784</v>
      </c>
      <c r="G939">
        <v>2025</v>
      </c>
      <c r="H939" t="s">
        <v>1160</v>
      </c>
      <c r="I939" t="s">
        <v>141</v>
      </c>
      <c r="J939">
        <v>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Y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H939">
        <v>0</v>
      </c>
      <c r="AI939">
        <v>34</v>
      </c>
      <c r="AJ939">
        <v>46</v>
      </c>
      <c r="AK939">
        <v>293</v>
      </c>
      <c r="AL939">
        <v>5</v>
      </c>
      <c r="AM939">
        <v>0</v>
      </c>
      <c r="AN939">
        <v>0</v>
      </c>
      <c r="AO939">
        <v>233</v>
      </c>
      <c r="AP939">
        <v>143</v>
      </c>
      <c r="AQ939">
        <v>21</v>
      </c>
      <c r="AR939">
        <v>14.216050249422601</v>
      </c>
      <c r="AS939">
        <v>0</v>
      </c>
      <c r="AT939">
        <v>1.25751072961373</v>
      </c>
      <c r="AU939">
        <v>8.3636363636363606E-2</v>
      </c>
      <c r="AV939">
        <v>5.4236499068901302E-2</v>
      </c>
      <c r="AW939">
        <v>0.163420094802776</v>
      </c>
      <c r="AX939">
        <v>0</v>
      </c>
      <c r="AY939">
        <v>5</v>
      </c>
      <c r="AZ939">
        <v>0</v>
      </c>
      <c r="BA939">
        <v>3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</v>
      </c>
      <c r="BR939">
        <v>1</v>
      </c>
      <c r="BS939">
        <v>0</v>
      </c>
      <c r="BT939">
        <v>1</v>
      </c>
      <c r="BU939">
        <v>10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C939">
        <v>0</v>
      </c>
      <c r="DD939">
        <v>0</v>
      </c>
      <c r="DE939">
        <v>0</v>
      </c>
      <c r="DF939">
        <v>0</v>
      </c>
      <c r="DH939">
        <v>59.3</v>
      </c>
      <c r="DI939">
        <v>93.3</v>
      </c>
    </row>
    <row r="940" spans="1:113" ht="15" customHeight="1" x14ac:dyDescent="0.25">
      <c r="A940" t="s">
        <v>4785</v>
      </c>
      <c r="B940" t="s">
        <v>4786</v>
      </c>
      <c r="C940" t="s">
        <v>674</v>
      </c>
      <c r="D940" t="s">
        <v>431</v>
      </c>
      <c r="E940" t="s">
        <v>431</v>
      </c>
      <c r="F940" t="s">
        <v>4787</v>
      </c>
      <c r="G940">
        <v>2025</v>
      </c>
      <c r="H940" t="s">
        <v>1160</v>
      </c>
      <c r="I940" t="s">
        <v>124</v>
      </c>
      <c r="J940">
        <v>10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Y940">
        <v>0</v>
      </c>
      <c r="AA940">
        <v>9</v>
      </c>
      <c r="AB940">
        <v>24</v>
      </c>
      <c r="AC940">
        <v>0</v>
      </c>
      <c r="AD940">
        <v>0</v>
      </c>
      <c r="AE940">
        <v>0</v>
      </c>
      <c r="AF940">
        <v>0</v>
      </c>
      <c r="AG940">
        <v>-2.9817005903460099</v>
      </c>
      <c r="AH940">
        <v>0</v>
      </c>
      <c r="AI940">
        <v>2</v>
      </c>
      <c r="AJ940">
        <v>3</v>
      </c>
      <c r="AK940">
        <v>8</v>
      </c>
      <c r="AL940">
        <v>0</v>
      </c>
      <c r="AM940">
        <v>0</v>
      </c>
      <c r="AN940">
        <v>0</v>
      </c>
      <c r="AO940">
        <v>-3</v>
      </c>
      <c r="AP940">
        <v>10</v>
      </c>
      <c r="AQ940">
        <v>0</v>
      </c>
      <c r="AR940">
        <v>-0.94596620165975798</v>
      </c>
      <c r="AS940">
        <v>0</v>
      </c>
      <c r="AT940">
        <v>-2.6666666666666701</v>
      </c>
      <c r="AU940">
        <v>5.66037735849057E-3</v>
      </c>
      <c r="AV940">
        <v>-6.8493150684931497E-4</v>
      </c>
      <c r="AW940">
        <v>8.0111139829413293E-3</v>
      </c>
      <c r="AX940">
        <v>0</v>
      </c>
      <c r="AY940">
        <v>6</v>
      </c>
      <c r="AZ940">
        <v>0</v>
      </c>
      <c r="BA940">
        <v>2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2</v>
      </c>
      <c r="BY940">
        <v>60</v>
      </c>
      <c r="BZ940">
        <v>0</v>
      </c>
      <c r="CA940">
        <v>0</v>
      </c>
      <c r="CB940">
        <v>0</v>
      </c>
      <c r="CC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C940">
        <v>0</v>
      </c>
      <c r="DD940">
        <v>0</v>
      </c>
      <c r="DE940">
        <v>0</v>
      </c>
      <c r="DF940">
        <v>0</v>
      </c>
      <c r="DH940">
        <v>3.2</v>
      </c>
      <c r="DI940">
        <v>5.2</v>
      </c>
    </row>
    <row r="941" spans="1:113" ht="15" customHeight="1" x14ac:dyDescent="0.25">
      <c r="A941" t="s">
        <v>4788</v>
      </c>
      <c r="B941" t="s">
        <v>4789</v>
      </c>
      <c r="C941" t="s">
        <v>4790</v>
      </c>
      <c r="D941" t="s">
        <v>1350</v>
      </c>
      <c r="E941" t="s">
        <v>1307</v>
      </c>
      <c r="F941" t="s">
        <v>4791</v>
      </c>
      <c r="G941">
        <v>2025</v>
      </c>
      <c r="H941" t="s">
        <v>1160</v>
      </c>
      <c r="I941" t="s">
        <v>104</v>
      </c>
      <c r="J941">
        <v>13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Y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S941">
        <v>0</v>
      </c>
      <c r="AU941">
        <v>0</v>
      </c>
      <c r="AV941">
        <v>0</v>
      </c>
      <c r="AW941">
        <v>0</v>
      </c>
      <c r="AX941">
        <v>0</v>
      </c>
      <c r="AY941">
        <v>3</v>
      </c>
      <c r="AZ941">
        <v>0</v>
      </c>
      <c r="BA941">
        <v>6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1</v>
      </c>
      <c r="BU941">
        <v>15</v>
      </c>
      <c r="BV941">
        <v>0</v>
      </c>
      <c r="BW941">
        <v>0</v>
      </c>
      <c r="BX941">
        <v>18</v>
      </c>
      <c r="BY941">
        <v>455</v>
      </c>
      <c r="BZ941">
        <v>0</v>
      </c>
      <c r="CA941">
        <v>0</v>
      </c>
      <c r="CB941">
        <v>0</v>
      </c>
      <c r="CC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C941">
        <v>0</v>
      </c>
      <c r="DD941">
        <v>0</v>
      </c>
      <c r="DE941">
        <v>0</v>
      </c>
      <c r="DF941">
        <v>0</v>
      </c>
      <c r="DH941">
        <v>0</v>
      </c>
      <c r="DI941">
        <v>0</v>
      </c>
    </row>
    <row r="942" spans="1:113" ht="15" customHeight="1" x14ac:dyDescent="0.25">
      <c r="A942" t="s">
        <v>4792</v>
      </c>
      <c r="B942" t="s">
        <v>4793</v>
      </c>
      <c r="C942" t="s">
        <v>4794</v>
      </c>
      <c r="D942" t="s">
        <v>1684</v>
      </c>
      <c r="E942" t="s">
        <v>1307</v>
      </c>
      <c r="F942" t="s">
        <v>4795</v>
      </c>
      <c r="G942">
        <v>2025</v>
      </c>
      <c r="H942" t="s">
        <v>1160</v>
      </c>
      <c r="I942" t="s">
        <v>120</v>
      </c>
      <c r="J942">
        <v>16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Y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S942">
        <v>0</v>
      </c>
      <c r="AU942">
        <v>0</v>
      </c>
      <c r="AV942">
        <v>0</v>
      </c>
      <c r="AW942">
        <v>0</v>
      </c>
      <c r="AX942">
        <v>0</v>
      </c>
      <c r="AY942">
        <v>53</v>
      </c>
      <c r="AZ942">
        <v>0</v>
      </c>
      <c r="BA942">
        <v>30</v>
      </c>
      <c r="BB942">
        <v>1</v>
      </c>
      <c r="BC942">
        <v>4</v>
      </c>
      <c r="BD942">
        <v>1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4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1</v>
      </c>
      <c r="BS942">
        <v>0</v>
      </c>
      <c r="BT942">
        <v>1</v>
      </c>
      <c r="BU942">
        <v>12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C942">
        <v>0</v>
      </c>
      <c r="DD942">
        <v>0</v>
      </c>
      <c r="DE942">
        <v>0</v>
      </c>
      <c r="DF942">
        <v>0</v>
      </c>
      <c r="DH942">
        <v>0</v>
      </c>
      <c r="DI942">
        <v>0</v>
      </c>
    </row>
    <row r="943" spans="1:113" ht="15" customHeight="1" x14ac:dyDescent="0.25">
      <c r="A943" t="s">
        <v>4796</v>
      </c>
      <c r="B943" t="s">
        <v>4797</v>
      </c>
      <c r="C943" t="s">
        <v>906</v>
      </c>
      <c r="D943" t="s">
        <v>10</v>
      </c>
      <c r="E943" t="s">
        <v>10</v>
      </c>
      <c r="F943" t="s">
        <v>4798</v>
      </c>
      <c r="G943">
        <v>2025</v>
      </c>
      <c r="H943" t="s">
        <v>1160</v>
      </c>
      <c r="I943" t="s">
        <v>120</v>
      </c>
      <c r="J943">
        <v>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Y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H943">
        <v>0</v>
      </c>
      <c r="AI943">
        <v>2</v>
      </c>
      <c r="AJ943">
        <v>4</v>
      </c>
      <c r="AK943">
        <v>20</v>
      </c>
      <c r="AL943">
        <v>0</v>
      </c>
      <c r="AM943">
        <v>0</v>
      </c>
      <c r="AN943">
        <v>0</v>
      </c>
      <c r="AO943">
        <v>8</v>
      </c>
      <c r="AP943">
        <v>20</v>
      </c>
      <c r="AQ943">
        <v>2</v>
      </c>
      <c r="AR943">
        <v>0.59636830226420601</v>
      </c>
      <c r="AS943">
        <v>0</v>
      </c>
      <c r="AT943">
        <v>2.5</v>
      </c>
      <c r="AU943">
        <v>8.6206896551724102E-3</v>
      </c>
      <c r="AV943">
        <v>1.7845192951148801E-3</v>
      </c>
      <c r="AW943">
        <v>1.4180197989339E-2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</v>
      </c>
      <c r="BM943">
        <v>0</v>
      </c>
      <c r="BN943">
        <v>0</v>
      </c>
      <c r="BO943">
        <v>2</v>
      </c>
      <c r="BP943">
        <v>2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11</v>
      </c>
      <c r="BW943">
        <v>124</v>
      </c>
      <c r="BX943">
        <v>5</v>
      </c>
      <c r="BY943">
        <v>125</v>
      </c>
      <c r="BZ943">
        <v>0</v>
      </c>
      <c r="CA943">
        <v>0</v>
      </c>
      <c r="CB943">
        <v>0</v>
      </c>
      <c r="CC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C943">
        <v>0</v>
      </c>
      <c r="DD943">
        <v>0</v>
      </c>
      <c r="DE943">
        <v>0</v>
      </c>
      <c r="DF943">
        <v>0</v>
      </c>
      <c r="DH943">
        <v>2</v>
      </c>
      <c r="DI943">
        <v>4</v>
      </c>
    </row>
    <row r="944" spans="1:113" ht="15" customHeight="1" x14ac:dyDescent="0.25">
      <c r="A944" t="s">
        <v>4799</v>
      </c>
      <c r="B944" t="s">
        <v>4800</v>
      </c>
      <c r="C944" t="s">
        <v>4801</v>
      </c>
      <c r="D944" t="s">
        <v>1350</v>
      </c>
      <c r="E944" t="s">
        <v>1307</v>
      </c>
      <c r="F944" t="s">
        <v>4802</v>
      </c>
      <c r="G944">
        <v>2025</v>
      </c>
      <c r="H944" t="s">
        <v>1160</v>
      </c>
      <c r="I944" t="s">
        <v>140</v>
      </c>
      <c r="J944">
        <v>15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Y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S944">
        <v>0</v>
      </c>
      <c r="AU944">
        <v>0</v>
      </c>
      <c r="AV944">
        <v>0</v>
      </c>
      <c r="AW944">
        <v>0</v>
      </c>
      <c r="AX944">
        <v>0</v>
      </c>
      <c r="AY944">
        <v>39</v>
      </c>
      <c r="AZ944">
        <v>2</v>
      </c>
      <c r="BA944">
        <v>13</v>
      </c>
      <c r="BB944">
        <v>0</v>
      </c>
      <c r="BC944">
        <v>0</v>
      </c>
      <c r="BD944">
        <v>0</v>
      </c>
      <c r="BE944">
        <v>0.5</v>
      </c>
      <c r="BF944">
        <v>3.5</v>
      </c>
      <c r="BG944">
        <v>2</v>
      </c>
      <c r="BH944">
        <v>1</v>
      </c>
      <c r="BI944">
        <v>0</v>
      </c>
      <c r="BJ944">
        <v>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8</v>
      </c>
      <c r="BU944">
        <v>49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C944">
        <v>0</v>
      </c>
      <c r="DD944">
        <v>0</v>
      </c>
      <c r="DE944">
        <v>0</v>
      </c>
      <c r="DF944">
        <v>0</v>
      </c>
      <c r="DH944">
        <v>0</v>
      </c>
      <c r="DI944">
        <v>0</v>
      </c>
    </row>
    <row r="945" spans="1:113" ht="15" customHeight="1" x14ac:dyDescent="0.25">
      <c r="A945" t="s">
        <v>4803</v>
      </c>
      <c r="B945" t="s">
        <v>4804</v>
      </c>
      <c r="C945" t="s">
        <v>4805</v>
      </c>
      <c r="D945" t="s">
        <v>1684</v>
      </c>
      <c r="E945" t="s">
        <v>1307</v>
      </c>
      <c r="F945" t="s">
        <v>4806</v>
      </c>
      <c r="G945">
        <v>2025</v>
      </c>
      <c r="H945" t="s">
        <v>1160</v>
      </c>
      <c r="I945" t="s">
        <v>101</v>
      </c>
      <c r="J945">
        <v>10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Y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S945">
        <v>0</v>
      </c>
      <c r="AU945">
        <v>0</v>
      </c>
      <c r="AV945">
        <v>0</v>
      </c>
      <c r="AW945">
        <v>0</v>
      </c>
      <c r="AX945">
        <v>0</v>
      </c>
      <c r="AY945">
        <v>30</v>
      </c>
      <c r="AZ945">
        <v>1</v>
      </c>
      <c r="BA945">
        <v>18</v>
      </c>
      <c r="BB945">
        <v>3</v>
      </c>
      <c r="BC945">
        <v>16</v>
      </c>
      <c r="BD945">
        <v>0</v>
      </c>
      <c r="BE945">
        <v>1</v>
      </c>
      <c r="BF945">
        <v>8</v>
      </c>
      <c r="BG945">
        <v>1</v>
      </c>
      <c r="BH945">
        <v>0</v>
      </c>
      <c r="BI945">
        <v>0</v>
      </c>
      <c r="BJ945">
        <v>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2</v>
      </c>
      <c r="BU945">
        <v>22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C945">
        <v>0</v>
      </c>
      <c r="DD945">
        <v>0</v>
      </c>
      <c r="DE945">
        <v>0</v>
      </c>
      <c r="DF945">
        <v>0</v>
      </c>
      <c r="DH945">
        <v>0</v>
      </c>
      <c r="DI945">
        <v>0</v>
      </c>
    </row>
    <row r="946" spans="1:113" ht="15" customHeight="1" x14ac:dyDescent="0.25">
      <c r="A946" t="s">
        <v>4807</v>
      </c>
      <c r="B946" t="s">
        <v>4808</v>
      </c>
      <c r="C946" t="s">
        <v>445</v>
      </c>
      <c r="D946" t="s">
        <v>431</v>
      </c>
      <c r="E946" t="s">
        <v>431</v>
      </c>
      <c r="F946" t="s">
        <v>4809</v>
      </c>
      <c r="G946">
        <v>2025</v>
      </c>
      <c r="H946" t="s">
        <v>1160</v>
      </c>
      <c r="I946" t="s">
        <v>90</v>
      </c>
      <c r="J946">
        <v>12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Y946">
        <v>0</v>
      </c>
      <c r="AA946">
        <v>82</v>
      </c>
      <c r="AB946">
        <v>269</v>
      </c>
      <c r="AC946">
        <v>4</v>
      </c>
      <c r="AD946">
        <v>1</v>
      </c>
      <c r="AE946">
        <v>1</v>
      </c>
      <c r="AF946">
        <v>22</v>
      </c>
      <c r="AG946">
        <v>-16.3875326097622</v>
      </c>
      <c r="AH946">
        <v>0</v>
      </c>
      <c r="AI946">
        <v>22</v>
      </c>
      <c r="AJ946">
        <v>31</v>
      </c>
      <c r="AK946">
        <v>160</v>
      </c>
      <c r="AL946">
        <v>1</v>
      </c>
      <c r="AM946">
        <v>0</v>
      </c>
      <c r="AN946">
        <v>0</v>
      </c>
      <c r="AO946">
        <v>37</v>
      </c>
      <c r="AP946">
        <v>151</v>
      </c>
      <c r="AQ946">
        <v>10</v>
      </c>
      <c r="AR946">
        <v>1.4046673619304799</v>
      </c>
      <c r="AS946">
        <v>0</v>
      </c>
      <c r="AT946">
        <v>4.3243243243243201</v>
      </c>
      <c r="AU946">
        <v>5.0243111831442498E-2</v>
      </c>
      <c r="AV946">
        <v>7.9399141630901292E-3</v>
      </c>
      <c r="AW946">
        <v>8.0922607661326806E-2</v>
      </c>
      <c r="AX946">
        <v>0</v>
      </c>
      <c r="AY946">
        <v>1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12</v>
      </c>
      <c r="BY946">
        <v>256</v>
      </c>
      <c r="BZ946">
        <v>0</v>
      </c>
      <c r="CA946">
        <v>0</v>
      </c>
      <c r="CB946">
        <v>0</v>
      </c>
      <c r="CC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C946">
        <v>0</v>
      </c>
      <c r="DD946">
        <v>0</v>
      </c>
      <c r="DE946">
        <v>0</v>
      </c>
      <c r="DF946">
        <v>0</v>
      </c>
      <c r="DH946">
        <v>70.900000000000006</v>
      </c>
      <c r="DI946">
        <v>92.9</v>
      </c>
    </row>
    <row r="947" spans="1:113" ht="15" customHeight="1" x14ac:dyDescent="0.25">
      <c r="A947" t="s">
        <v>4810</v>
      </c>
      <c r="B947" t="s">
        <v>4811</v>
      </c>
      <c r="C947" t="s">
        <v>4812</v>
      </c>
      <c r="D947" t="s">
        <v>1234</v>
      </c>
      <c r="E947" t="s">
        <v>1234</v>
      </c>
      <c r="F947" t="s">
        <v>4813</v>
      </c>
      <c r="G947">
        <v>2025</v>
      </c>
      <c r="H947" t="s">
        <v>1160</v>
      </c>
      <c r="I947" t="s">
        <v>103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Y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S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C947">
        <v>0</v>
      </c>
      <c r="DD947">
        <v>0</v>
      </c>
      <c r="DE947">
        <v>0</v>
      </c>
      <c r="DF947">
        <v>0</v>
      </c>
      <c r="DH947">
        <v>0</v>
      </c>
      <c r="DI947">
        <v>0</v>
      </c>
    </row>
    <row r="948" spans="1:113" ht="15" customHeight="1" x14ac:dyDescent="0.25">
      <c r="A948" t="s">
        <v>4814</v>
      </c>
      <c r="B948" t="s">
        <v>4815</v>
      </c>
      <c r="C948" t="s">
        <v>4816</v>
      </c>
      <c r="D948" t="s">
        <v>1350</v>
      </c>
      <c r="E948" t="s">
        <v>1307</v>
      </c>
      <c r="F948" t="s">
        <v>4817</v>
      </c>
      <c r="G948">
        <v>2025</v>
      </c>
      <c r="H948" t="s">
        <v>1160</v>
      </c>
      <c r="I948" t="s">
        <v>124</v>
      </c>
      <c r="J948">
        <v>10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Y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S948">
        <v>0</v>
      </c>
      <c r="AU948">
        <v>0</v>
      </c>
      <c r="AV948">
        <v>0</v>
      </c>
      <c r="AW948">
        <v>0</v>
      </c>
      <c r="AX948">
        <v>0</v>
      </c>
      <c r="AY948">
        <v>28</v>
      </c>
      <c r="AZ948">
        <v>0</v>
      </c>
      <c r="BA948">
        <v>8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9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4</v>
      </c>
      <c r="BU948">
        <v>51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C948">
        <v>0</v>
      </c>
      <c r="DD948">
        <v>0</v>
      </c>
      <c r="DE948">
        <v>0</v>
      </c>
      <c r="DF948">
        <v>0</v>
      </c>
      <c r="DH948">
        <v>0</v>
      </c>
      <c r="DI948">
        <v>0</v>
      </c>
    </row>
    <row r="949" spans="1:113" ht="15" customHeight="1" x14ac:dyDescent="0.25">
      <c r="A949" t="s">
        <v>4818</v>
      </c>
      <c r="B949" t="s">
        <v>4819</v>
      </c>
      <c r="C949" t="s">
        <v>4820</v>
      </c>
      <c r="D949" t="s">
        <v>1350</v>
      </c>
      <c r="E949" t="s">
        <v>1307</v>
      </c>
      <c r="F949" t="s">
        <v>4821</v>
      </c>
      <c r="G949">
        <v>2025</v>
      </c>
      <c r="H949" t="s">
        <v>1160</v>
      </c>
      <c r="I949" t="s">
        <v>123</v>
      </c>
      <c r="J949">
        <v>13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Y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S949">
        <v>0</v>
      </c>
      <c r="AU949">
        <v>0</v>
      </c>
      <c r="AV949">
        <v>0</v>
      </c>
      <c r="AW949">
        <v>0</v>
      </c>
      <c r="AX949">
        <v>0</v>
      </c>
      <c r="AY949">
        <v>45</v>
      </c>
      <c r="AZ949">
        <v>0</v>
      </c>
      <c r="BA949">
        <v>18</v>
      </c>
      <c r="BB949">
        <v>2</v>
      </c>
      <c r="BC949">
        <v>8</v>
      </c>
      <c r="BD949">
        <v>1</v>
      </c>
      <c r="BE949">
        <v>1</v>
      </c>
      <c r="BF949">
        <v>3</v>
      </c>
      <c r="BG949">
        <v>1</v>
      </c>
      <c r="BH949">
        <v>1</v>
      </c>
      <c r="BI949">
        <v>2</v>
      </c>
      <c r="BJ949">
        <v>7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5</v>
      </c>
      <c r="BU949">
        <v>65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C949">
        <v>0</v>
      </c>
      <c r="DD949">
        <v>0</v>
      </c>
      <c r="DE949">
        <v>0</v>
      </c>
      <c r="DF949">
        <v>0</v>
      </c>
      <c r="DH949">
        <v>0</v>
      </c>
      <c r="DI949">
        <v>0</v>
      </c>
    </row>
    <row r="950" spans="1:113" ht="15" customHeight="1" x14ac:dyDescent="0.25">
      <c r="A950" t="s">
        <v>4822</v>
      </c>
      <c r="B950" t="s">
        <v>4823</v>
      </c>
      <c r="C950" t="s">
        <v>4824</v>
      </c>
      <c r="D950" t="s">
        <v>1189</v>
      </c>
      <c r="E950" t="s">
        <v>1190</v>
      </c>
      <c r="F950" t="s">
        <v>4825</v>
      </c>
      <c r="G950">
        <v>2025</v>
      </c>
      <c r="H950" t="s">
        <v>1160</v>
      </c>
      <c r="I950" t="s">
        <v>123</v>
      </c>
      <c r="J950">
        <v>16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Y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S950">
        <v>0</v>
      </c>
      <c r="AU950">
        <v>0</v>
      </c>
      <c r="AV950">
        <v>0</v>
      </c>
      <c r="AW950">
        <v>0</v>
      </c>
      <c r="AX950">
        <v>0</v>
      </c>
      <c r="AY950">
        <v>23</v>
      </c>
      <c r="AZ950">
        <v>2</v>
      </c>
      <c r="BA950">
        <v>23</v>
      </c>
      <c r="BB950">
        <v>10</v>
      </c>
      <c r="BC950">
        <v>26</v>
      </c>
      <c r="BD950">
        <v>0</v>
      </c>
      <c r="BE950">
        <v>6</v>
      </c>
      <c r="BF950">
        <v>23.5</v>
      </c>
      <c r="BG950">
        <v>23</v>
      </c>
      <c r="BH950">
        <v>0</v>
      </c>
      <c r="BI950">
        <v>0</v>
      </c>
      <c r="BJ950">
        <v>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1</v>
      </c>
      <c r="BR950">
        <v>1</v>
      </c>
      <c r="BS950">
        <v>0</v>
      </c>
      <c r="BT950">
        <v>3</v>
      </c>
      <c r="BU950">
        <v>28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C950">
        <v>0</v>
      </c>
      <c r="DD950">
        <v>0</v>
      </c>
      <c r="DE950">
        <v>0</v>
      </c>
      <c r="DF950">
        <v>0</v>
      </c>
      <c r="DH950">
        <v>0</v>
      </c>
      <c r="DI950">
        <v>0</v>
      </c>
    </row>
    <row r="951" spans="1:113" ht="15" customHeight="1" x14ac:dyDescent="0.25">
      <c r="A951" t="s">
        <v>4826</v>
      </c>
      <c r="B951" t="s">
        <v>4827</v>
      </c>
      <c r="C951" t="s">
        <v>4828</v>
      </c>
      <c r="D951" t="s">
        <v>1684</v>
      </c>
      <c r="E951" t="s">
        <v>1307</v>
      </c>
      <c r="F951" t="s">
        <v>4829</v>
      </c>
      <c r="G951">
        <v>2025</v>
      </c>
      <c r="H951" t="s">
        <v>1160</v>
      </c>
      <c r="I951" t="s">
        <v>123</v>
      </c>
      <c r="J951">
        <v>16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Y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S951">
        <v>0</v>
      </c>
      <c r="AU951">
        <v>0</v>
      </c>
      <c r="AV951">
        <v>0</v>
      </c>
      <c r="AW951">
        <v>0</v>
      </c>
      <c r="AX951">
        <v>0</v>
      </c>
      <c r="AY951">
        <v>49</v>
      </c>
      <c r="AZ951">
        <v>1</v>
      </c>
      <c r="BA951">
        <v>35</v>
      </c>
      <c r="BB951">
        <v>1</v>
      </c>
      <c r="BC951">
        <v>1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6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</v>
      </c>
      <c r="BU951">
        <v>15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C951">
        <v>0</v>
      </c>
      <c r="DD951">
        <v>0</v>
      </c>
      <c r="DE951">
        <v>0</v>
      </c>
      <c r="DF951">
        <v>0</v>
      </c>
      <c r="DH951">
        <v>0</v>
      </c>
      <c r="DI951">
        <v>0</v>
      </c>
    </row>
    <row r="952" spans="1:113" ht="15" customHeight="1" x14ac:dyDescent="0.25">
      <c r="A952" t="s">
        <v>4830</v>
      </c>
      <c r="B952" t="s">
        <v>4831</v>
      </c>
      <c r="C952" t="s">
        <v>4832</v>
      </c>
      <c r="D952" t="s">
        <v>1219</v>
      </c>
      <c r="E952" t="s">
        <v>1220</v>
      </c>
      <c r="F952" t="s">
        <v>4833</v>
      </c>
      <c r="G952">
        <v>2025</v>
      </c>
      <c r="H952" t="s">
        <v>1160</v>
      </c>
      <c r="I952" t="s">
        <v>118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Y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S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2</v>
      </c>
      <c r="BU952">
        <v>15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C952">
        <v>0</v>
      </c>
      <c r="DD952">
        <v>0</v>
      </c>
      <c r="DE952">
        <v>0</v>
      </c>
      <c r="DF952">
        <v>0</v>
      </c>
      <c r="DH952">
        <v>0</v>
      </c>
      <c r="DI952">
        <v>0</v>
      </c>
    </row>
    <row r="953" spans="1:113" ht="15" customHeight="1" x14ac:dyDescent="0.25">
      <c r="A953" t="s">
        <v>4834</v>
      </c>
      <c r="B953" t="s">
        <v>2528</v>
      </c>
      <c r="C953" t="s">
        <v>4835</v>
      </c>
      <c r="D953" t="s">
        <v>1350</v>
      </c>
      <c r="E953" t="s">
        <v>1307</v>
      </c>
      <c r="F953" t="s">
        <v>4836</v>
      </c>
      <c r="G953">
        <v>2025</v>
      </c>
      <c r="H953" t="s">
        <v>1160</v>
      </c>
      <c r="I953" t="s">
        <v>123</v>
      </c>
      <c r="J953">
        <v>15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Y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S953">
        <v>0</v>
      </c>
      <c r="AU953">
        <v>0</v>
      </c>
      <c r="AV953">
        <v>0</v>
      </c>
      <c r="AW953">
        <v>0</v>
      </c>
      <c r="AX953">
        <v>0</v>
      </c>
      <c r="AY953">
        <v>42</v>
      </c>
      <c r="AZ953">
        <v>0</v>
      </c>
      <c r="BA953">
        <v>22</v>
      </c>
      <c r="BB953">
        <v>3</v>
      </c>
      <c r="BC953">
        <v>14</v>
      </c>
      <c r="BD953">
        <v>0</v>
      </c>
      <c r="BE953">
        <v>2</v>
      </c>
      <c r="BF953">
        <v>12</v>
      </c>
      <c r="BG953">
        <v>2</v>
      </c>
      <c r="BH953">
        <v>2</v>
      </c>
      <c r="BI953">
        <v>14</v>
      </c>
      <c r="BJ953">
        <v>6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4</v>
      </c>
      <c r="BU953">
        <v>27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C953">
        <v>0</v>
      </c>
      <c r="DD953">
        <v>0</v>
      </c>
      <c r="DE953">
        <v>0</v>
      </c>
      <c r="DF953">
        <v>0</v>
      </c>
      <c r="DH953">
        <v>0</v>
      </c>
      <c r="DI953">
        <v>0</v>
      </c>
    </row>
    <row r="954" spans="1:113" ht="15" customHeight="1" x14ac:dyDescent="0.25">
      <c r="A954" t="s">
        <v>4837</v>
      </c>
      <c r="B954" t="s">
        <v>4838</v>
      </c>
      <c r="C954" t="s">
        <v>4839</v>
      </c>
      <c r="D954" t="s">
        <v>1219</v>
      </c>
      <c r="E954" t="s">
        <v>1220</v>
      </c>
      <c r="F954" t="s">
        <v>4840</v>
      </c>
      <c r="G954">
        <v>2025</v>
      </c>
      <c r="H954" t="s">
        <v>1160</v>
      </c>
      <c r="I954" t="s">
        <v>118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Y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S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7</v>
      </c>
      <c r="BU954">
        <v>40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C954">
        <v>0</v>
      </c>
      <c r="DD954">
        <v>0</v>
      </c>
      <c r="DE954">
        <v>0</v>
      </c>
      <c r="DF954">
        <v>0</v>
      </c>
      <c r="DH954">
        <v>0</v>
      </c>
      <c r="DI954">
        <v>0</v>
      </c>
    </row>
    <row r="955" spans="1:113" ht="15" customHeight="1" x14ac:dyDescent="0.25">
      <c r="A955" t="s">
        <v>4841</v>
      </c>
      <c r="B955" t="s">
        <v>4842</v>
      </c>
      <c r="C955" t="s">
        <v>621</v>
      </c>
      <c r="D955" t="s">
        <v>431</v>
      </c>
      <c r="E955" t="s">
        <v>431</v>
      </c>
      <c r="F955" t="s">
        <v>4843</v>
      </c>
      <c r="G955">
        <v>2025</v>
      </c>
      <c r="H955" t="s">
        <v>1160</v>
      </c>
      <c r="I955" t="s">
        <v>123</v>
      </c>
      <c r="J955">
        <v>13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Y955">
        <v>0</v>
      </c>
      <c r="AA955">
        <v>118</v>
      </c>
      <c r="AB955">
        <v>462</v>
      </c>
      <c r="AC955">
        <v>1</v>
      </c>
      <c r="AD955">
        <v>0</v>
      </c>
      <c r="AE955">
        <v>0</v>
      </c>
      <c r="AF955">
        <v>29</v>
      </c>
      <c r="AG955">
        <v>-13.6433928764309</v>
      </c>
      <c r="AH955">
        <v>0</v>
      </c>
      <c r="AI955">
        <v>19</v>
      </c>
      <c r="AJ955">
        <v>26</v>
      </c>
      <c r="AK955">
        <v>101</v>
      </c>
      <c r="AL955">
        <v>1</v>
      </c>
      <c r="AM955">
        <v>0</v>
      </c>
      <c r="AN955">
        <v>0</v>
      </c>
      <c r="AO955">
        <v>-27</v>
      </c>
      <c r="AP955">
        <v>121</v>
      </c>
      <c r="AQ955">
        <v>4</v>
      </c>
      <c r="AR955">
        <v>-4.6779332794478803</v>
      </c>
      <c r="AS955">
        <v>0</v>
      </c>
      <c r="AT955">
        <v>-3.74074074074074</v>
      </c>
      <c r="AU955">
        <v>4.7358834244080203E-2</v>
      </c>
      <c r="AV955">
        <v>-5.9563203176704197E-3</v>
      </c>
      <c r="AW955">
        <v>6.6868827143750906E-2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1</v>
      </c>
      <c r="BU955">
        <v>5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C955">
        <v>0</v>
      </c>
      <c r="DD955">
        <v>0</v>
      </c>
      <c r="DE955">
        <v>0</v>
      </c>
      <c r="DF955">
        <v>0</v>
      </c>
      <c r="DH955">
        <v>68.3</v>
      </c>
      <c r="DI955">
        <v>87.3</v>
      </c>
    </row>
    <row r="956" spans="1:113" ht="15" customHeight="1" x14ac:dyDescent="0.25">
      <c r="A956" t="s">
        <v>4844</v>
      </c>
      <c r="B956" t="s">
        <v>4845</v>
      </c>
      <c r="C956" t="s">
        <v>4846</v>
      </c>
      <c r="D956" t="s">
        <v>1350</v>
      </c>
      <c r="E956" t="s">
        <v>1307</v>
      </c>
      <c r="F956" t="s">
        <v>4847</v>
      </c>
      <c r="G956">
        <v>2025</v>
      </c>
      <c r="H956" t="s">
        <v>1160</v>
      </c>
      <c r="I956" t="s">
        <v>123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Y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S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1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C956">
        <v>0</v>
      </c>
      <c r="DD956">
        <v>0</v>
      </c>
      <c r="DE956">
        <v>0</v>
      </c>
      <c r="DF956">
        <v>0</v>
      </c>
      <c r="DH956">
        <v>0</v>
      </c>
      <c r="DI956">
        <v>0</v>
      </c>
    </row>
    <row r="957" spans="1:113" ht="15" customHeight="1" x14ac:dyDescent="0.25">
      <c r="A957" t="s">
        <v>4848</v>
      </c>
      <c r="B957" t="s">
        <v>4849</v>
      </c>
      <c r="C957" t="s">
        <v>4850</v>
      </c>
      <c r="D957" t="s">
        <v>1243</v>
      </c>
      <c r="E957" t="s">
        <v>1190</v>
      </c>
      <c r="F957" t="s">
        <v>4851</v>
      </c>
      <c r="G957">
        <v>2025</v>
      </c>
      <c r="H957" t="s">
        <v>1160</v>
      </c>
      <c r="I957" t="s">
        <v>96</v>
      </c>
      <c r="J957">
        <v>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Y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S957">
        <v>0</v>
      </c>
      <c r="AU957">
        <v>0</v>
      </c>
      <c r="AV957">
        <v>0</v>
      </c>
      <c r="AW957">
        <v>0</v>
      </c>
      <c r="AX957">
        <v>0</v>
      </c>
      <c r="AY957">
        <v>7</v>
      </c>
      <c r="AZ957">
        <v>0</v>
      </c>
      <c r="BA957">
        <v>6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2</v>
      </c>
      <c r="BU957">
        <v>10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C957">
        <v>0</v>
      </c>
      <c r="DD957">
        <v>0</v>
      </c>
      <c r="DE957">
        <v>0</v>
      </c>
      <c r="DF957">
        <v>0</v>
      </c>
      <c r="DH957">
        <v>0</v>
      </c>
      <c r="DI957">
        <v>0</v>
      </c>
    </row>
    <row r="958" spans="1:113" ht="15" customHeight="1" x14ac:dyDescent="0.25">
      <c r="A958" t="s">
        <v>4852</v>
      </c>
      <c r="B958" t="s">
        <v>4853</v>
      </c>
      <c r="C958" t="s">
        <v>4854</v>
      </c>
      <c r="D958" t="s">
        <v>1684</v>
      </c>
      <c r="E958" t="s">
        <v>1307</v>
      </c>
      <c r="F958" t="s">
        <v>4855</v>
      </c>
      <c r="G958">
        <v>2025</v>
      </c>
      <c r="H958" t="s">
        <v>1160</v>
      </c>
      <c r="I958" t="s">
        <v>114</v>
      </c>
      <c r="J958">
        <v>12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Y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S958">
        <v>0</v>
      </c>
      <c r="AU958">
        <v>0</v>
      </c>
      <c r="AV958">
        <v>0</v>
      </c>
      <c r="AW958">
        <v>0</v>
      </c>
      <c r="AX958">
        <v>0</v>
      </c>
      <c r="AY958">
        <v>11</v>
      </c>
      <c r="AZ958">
        <v>0</v>
      </c>
      <c r="BA958">
        <v>8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4</v>
      </c>
      <c r="BU958">
        <v>55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C958">
        <v>0</v>
      </c>
      <c r="DD958">
        <v>0</v>
      </c>
      <c r="DE958">
        <v>0</v>
      </c>
      <c r="DF958">
        <v>0</v>
      </c>
      <c r="DH958">
        <v>0</v>
      </c>
      <c r="DI958">
        <v>0</v>
      </c>
    </row>
    <row r="959" spans="1:113" ht="15" customHeight="1" x14ac:dyDescent="0.25">
      <c r="A959" t="s">
        <v>4856</v>
      </c>
      <c r="B959" t="s">
        <v>4857</v>
      </c>
      <c r="C959" t="s">
        <v>4858</v>
      </c>
      <c r="D959" t="s">
        <v>1297</v>
      </c>
      <c r="E959" t="s">
        <v>1220</v>
      </c>
      <c r="F959" t="s">
        <v>4859</v>
      </c>
      <c r="G959">
        <v>2025</v>
      </c>
      <c r="H959" t="s">
        <v>1160</v>
      </c>
      <c r="I959" t="s">
        <v>123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Y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S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3</v>
      </c>
      <c r="BU959">
        <v>17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C959">
        <v>0</v>
      </c>
      <c r="DD959">
        <v>0</v>
      </c>
      <c r="DE959">
        <v>0</v>
      </c>
      <c r="DF959">
        <v>0</v>
      </c>
      <c r="DH959">
        <v>0</v>
      </c>
      <c r="DI959">
        <v>0</v>
      </c>
    </row>
    <row r="960" spans="1:113" ht="15" customHeight="1" x14ac:dyDescent="0.25">
      <c r="A960" t="s">
        <v>4860</v>
      </c>
      <c r="B960" t="s">
        <v>4861</v>
      </c>
      <c r="C960" t="s">
        <v>4862</v>
      </c>
      <c r="D960" t="s">
        <v>1234</v>
      </c>
      <c r="E960" t="s">
        <v>1234</v>
      </c>
      <c r="F960" t="s">
        <v>4863</v>
      </c>
      <c r="G960">
        <v>2025</v>
      </c>
      <c r="H960" t="s">
        <v>1160</v>
      </c>
      <c r="I960" t="s">
        <v>123</v>
      </c>
      <c r="J960">
        <v>11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Y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S960">
        <v>0</v>
      </c>
      <c r="AU960">
        <v>0</v>
      </c>
      <c r="AV960">
        <v>0</v>
      </c>
      <c r="AW960">
        <v>0</v>
      </c>
      <c r="AX960">
        <v>0</v>
      </c>
      <c r="AY960">
        <v>7</v>
      </c>
      <c r="AZ960">
        <v>0</v>
      </c>
      <c r="BA960">
        <v>13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1</v>
      </c>
      <c r="BI960">
        <v>0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1</v>
      </c>
      <c r="BS960">
        <v>0</v>
      </c>
      <c r="BT960">
        <v>3</v>
      </c>
      <c r="BU960">
        <v>30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C960">
        <v>0</v>
      </c>
      <c r="DD960">
        <v>0</v>
      </c>
      <c r="DE960">
        <v>0</v>
      </c>
      <c r="DF960">
        <v>0</v>
      </c>
      <c r="DH960">
        <v>0</v>
      </c>
      <c r="DI960">
        <v>0</v>
      </c>
    </row>
    <row r="961" spans="1:113" ht="15" customHeight="1" x14ac:dyDescent="0.25">
      <c r="A961" t="s">
        <v>4864</v>
      </c>
      <c r="B961" t="s">
        <v>4865</v>
      </c>
      <c r="C961" t="s">
        <v>4866</v>
      </c>
      <c r="D961" t="s">
        <v>1168</v>
      </c>
      <c r="E961" t="s">
        <v>1169</v>
      </c>
      <c r="F961" t="s">
        <v>4867</v>
      </c>
      <c r="G961">
        <v>2025</v>
      </c>
      <c r="H961" t="s">
        <v>1160</v>
      </c>
      <c r="I961" t="s">
        <v>131</v>
      </c>
      <c r="J961">
        <v>17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Y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S961">
        <v>0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0</v>
      </c>
      <c r="BA961">
        <v>2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3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38</v>
      </c>
      <c r="CA961">
        <v>41</v>
      </c>
      <c r="CB961">
        <v>3</v>
      </c>
      <c r="CC961">
        <v>0</v>
      </c>
      <c r="CD961">
        <v>59</v>
      </c>
      <c r="CE961">
        <v>0.92682926829268297</v>
      </c>
      <c r="CF961">
        <v>0</v>
      </c>
      <c r="CG961">
        <v>7</v>
      </c>
      <c r="CH961">
        <v>14</v>
      </c>
      <c r="CI961">
        <v>12</v>
      </c>
      <c r="CJ961">
        <v>5</v>
      </c>
      <c r="CK961">
        <v>0</v>
      </c>
      <c r="CL961">
        <v>0</v>
      </c>
      <c r="CM961">
        <v>0</v>
      </c>
      <c r="CN961">
        <v>1</v>
      </c>
      <c r="CO961">
        <v>1</v>
      </c>
      <c r="CP961">
        <v>1</v>
      </c>
      <c r="CQ961">
        <v>0</v>
      </c>
      <c r="CR961" t="s">
        <v>4868</v>
      </c>
      <c r="CS961" t="s">
        <v>4869</v>
      </c>
      <c r="CU961">
        <v>1465</v>
      </c>
      <c r="CV961">
        <v>136</v>
      </c>
      <c r="CW961">
        <v>0</v>
      </c>
      <c r="CX961">
        <v>34</v>
      </c>
      <c r="CY961">
        <v>35</v>
      </c>
      <c r="CZ961">
        <v>1</v>
      </c>
      <c r="DA961">
        <v>0</v>
      </c>
      <c r="DB961">
        <v>0.97142857142857097</v>
      </c>
      <c r="DC961">
        <v>2</v>
      </c>
      <c r="DD961">
        <v>2</v>
      </c>
      <c r="DE961">
        <v>0</v>
      </c>
      <c r="DF961">
        <v>0</v>
      </c>
      <c r="DG961" t="s">
        <v>4870</v>
      </c>
      <c r="DH961">
        <v>0</v>
      </c>
      <c r="DI961">
        <v>0</v>
      </c>
    </row>
    <row r="962" spans="1:113" ht="15" customHeight="1" x14ac:dyDescent="0.25">
      <c r="A962" t="s">
        <v>4871</v>
      </c>
      <c r="B962" t="s">
        <v>4872</v>
      </c>
      <c r="C962" t="s">
        <v>936</v>
      </c>
      <c r="D962" t="s">
        <v>431</v>
      </c>
      <c r="E962" t="s">
        <v>431</v>
      </c>
      <c r="F962" t="s">
        <v>4873</v>
      </c>
      <c r="G962">
        <v>2025</v>
      </c>
      <c r="H962" t="s">
        <v>1160</v>
      </c>
      <c r="I962" t="s">
        <v>103</v>
      </c>
      <c r="J962">
        <v>16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Y962">
        <v>0</v>
      </c>
      <c r="AA962">
        <v>211</v>
      </c>
      <c r="AB962">
        <v>958</v>
      </c>
      <c r="AC962">
        <v>6</v>
      </c>
      <c r="AD962">
        <v>1</v>
      </c>
      <c r="AE962">
        <v>0</v>
      </c>
      <c r="AF962">
        <v>53</v>
      </c>
      <c r="AG962">
        <v>-0.50021926482440904</v>
      </c>
      <c r="AH962">
        <v>0</v>
      </c>
      <c r="AI962">
        <v>40</v>
      </c>
      <c r="AJ962">
        <v>45</v>
      </c>
      <c r="AK962">
        <v>333</v>
      </c>
      <c r="AL962">
        <v>2</v>
      </c>
      <c r="AM962">
        <v>0</v>
      </c>
      <c r="AN962">
        <v>0</v>
      </c>
      <c r="AO962">
        <v>-113</v>
      </c>
      <c r="AP962">
        <v>439</v>
      </c>
      <c r="AQ962">
        <v>13</v>
      </c>
      <c r="AR962">
        <v>10.641412097989001</v>
      </c>
      <c r="AS962">
        <v>0</v>
      </c>
      <c r="AT962">
        <v>-2.9469026548672601</v>
      </c>
      <c r="AU962">
        <v>8.6206896551724199E-2</v>
      </c>
      <c r="AV962">
        <v>-3.4451219512195097E-2</v>
      </c>
      <c r="AW962">
        <v>0.10519449116905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8</v>
      </c>
      <c r="BY962">
        <v>205</v>
      </c>
      <c r="BZ962">
        <v>0</v>
      </c>
      <c r="CA962">
        <v>0</v>
      </c>
      <c r="CB962">
        <v>0</v>
      </c>
      <c r="CC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C962">
        <v>0</v>
      </c>
      <c r="DD962">
        <v>0</v>
      </c>
      <c r="DE962">
        <v>0</v>
      </c>
      <c r="DF962">
        <v>0</v>
      </c>
      <c r="DH962">
        <v>177.1</v>
      </c>
      <c r="DI962">
        <v>217.1</v>
      </c>
    </row>
    <row r="963" spans="1:113" ht="15" customHeight="1" x14ac:dyDescent="0.25">
      <c r="A963" t="s">
        <v>4874</v>
      </c>
      <c r="B963" t="s">
        <v>4875</v>
      </c>
      <c r="C963" t="s">
        <v>4876</v>
      </c>
      <c r="D963" t="s">
        <v>1219</v>
      </c>
      <c r="E963" t="s">
        <v>1220</v>
      </c>
      <c r="F963" t="s">
        <v>4877</v>
      </c>
      <c r="G963">
        <v>2025</v>
      </c>
      <c r="H963" t="s">
        <v>1160</v>
      </c>
      <c r="I963" t="s">
        <v>96</v>
      </c>
      <c r="J963">
        <v>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Y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S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5</v>
      </c>
      <c r="BU963">
        <v>39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C963">
        <v>0</v>
      </c>
      <c r="DD963">
        <v>0</v>
      </c>
      <c r="DE963">
        <v>0</v>
      </c>
      <c r="DF963">
        <v>0</v>
      </c>
      <c r="DH963">
        <v>0</v>
      </c>
      <c r="DI963">
        <v>0</v>
      </c>
    </row>
    <row r="964" spans="1:113" ht="15" customHeight="1" x14ac:dyDescent="0.25">
      <c r="A964" t="s">
        <v>4878</v>
      </c>
      <c r="B964" t="s">
        <v>4879</v>
      </c>
      <c r="C964" t="s">
        <v>833</v>
      </c>
      <c r="D964" t="s">
        <v>10</v>
      </c>
      <c r="E964" t="s">
        <v>10</v>
      </c>
      <c r="F964" t="s">
        <v>4880</v>
      </c>
      <c r="G964">
        <v>2025</v>
      </c>
      <c r="H964" t="s">
        <v>1160</v>
      </c>
      <c r="I964" t="s">
        <v>138</v>
      </c>
      <c r="J964">
        <v>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Y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H964">
        <v>0</v>
      </c>
      <c r="AI964">
        <v>13</v>
      </c>
      <c r="AJ964">
        <v>23</v>
      </c>
      <c r="AK964">
        <v>140</v>
      </c>
      <c r="AL964">
        <v>1</v>
      </c>
      <c r="AM964">
        <v>0</v>
      </c>
      <c r="AN964">
        <v>0</v>
      </c>
      <c r="AO964">
        <v>191</v>
      </c>
      <c r="AP964">
        <v>56</v>
      </c>
      <c r="AQ964">
        <v>7</v>
      </c>
      <c r="AR964">
        <v>0.34124994644921702</v>
      </c>
      <c r="AS964">
        <v>0</v>
      </c>
      <c r="AT964">
        <v>0.73298429319371705</v>
      </c>
      <c r="AU964">
        <v>4.0707964601769897E-2</v>
      </c>
      <c r="AV964">
        <v>3.9899728431167701E-2</v>
      </c>
      <c r="AW964">
        <v>8.89917568044723E-2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</v>
      </c>
      <c r="BU964">
        <v>5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C964">
        <v>0</v>
      </c>
      <c r="DD964">
        <v>0</v>
      </c>
      <c r="DE964">
        <v>0</v>
      </c>
      <c r="DF964">
        <v>0</v>
      </c>
      <c r="DH964">
        <v>20</v>
      </c>
      <c r="DI964">
        <v>33</v>
      </c>
    </row>
    <row r="965" spans="1:113" ht="15" customHeight="1" x14ac:dyDescent="0.25">
      <c r="A965" t="s">
        <v>4881</v>
      </c>
      <c r="B965" t="s">
        <v>4882</v>
      </c>
      <c r="C965" t="s">
        <v>4883</v>
      </c>
      <c r="D965" t="s">
        <v>1189</v>
      </c>
      <c r="E965" t="s">
        <v>1190</v>
      </c>
      <c r="F965" t="s">
        <v>4884</v>
      </c>
      <c r="G965">
        <v>2025</v>
      </c>
      <c r="H965" t="s">
        <v>1160</v>
      </c>
      <c r="I965" t="s">
        <v>106</v>
      </c>
      <c r="J965">
        <v>14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Y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S965">
        <v>0</v>
      </c>
      <c r="AU965">
        <v>0</v>
      </c>
      <c r="AV965">
        <v>0</v>
      </c>
      <c r="AW965">
        <v>0</v>
      </c>
      <c r="AX965">
        <v>0</v>
      </c>
      <c r="AY965">
        <v>18</v>
      </c>
      <c r="AZ965">
        <v>1</v>
      </c>
      <c r="BA965">
        <v>19</v>
      </c>
      <c r="BB965">
        <v>8</v>
      </c>
      <c r="BC965">
        <v>42</v>
      </c>
      <c r="BD965">
        <v>0</v>
      </c>
      <c r="BE965">
        <v>3.5</v>
      </c>
      <c r="BF965">
        <v>27</v>
      </c>
      <c r="BG965">
        <v>13</v>
      </c>
      <c r="BH965">
        <v>0</v>
      </c>
      <c r="BI965">
        <v>0</v>
      </c>
      <c r="BJ965">
        <v>2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</v>
      </c>
      <c r="BU965">
        <v>15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C965">
        <v>0</v>
      </c>
      <c r="DD965">
        <v>0</v>
      </c>
      <c r="DE965">
        <v>0</v>
      </c>
      <c r="DF965">
        <v>0</v>
      </c>
      <c r="DH965">
        <v>0</v>
      </c>
      <c r="DI965">
        <v>0</v>
      </c>
    </row>
    <row r="966" spans="1:113" ht="15" customHeight="1" x14ac:dyDescent="0.25">
      <c r="A966" t="s">
        <v>4885</v>
      </c>
      <c r="B966" t="s">
        <v>4886</v>
      </c>
      <c r="C966" t="s">
        <v>4887</v>
      </c>
      <c r="D966" t="s">
        <v>1189</v>
      </c>
      <c r="E966" t="s">
        <v>1190</v>
      </c>
      <c r="F966" t="s">
        <v>4888</v>
      </c>
      <c r="G966">
        <v>2025</v>
      </c>
      <c r="H966" t="s">
        <v>1160</v>
      </c>
      <c r="I966" t="s">
        <v>111</v>
      </c>
      <c r="J966">
        <v>17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Y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S966">
        <v>0</v>
      </c>
      <c r="AU966">
        <v>0</v>
      </c>
      <c r="AV966">
        <v>0</v>
      </c>
      <c r="AW966">
        <v>0</v>
      </c>
      <c r="AX966">
        <v>0</v>
      </c>
      <c r="AY966">
        <v>35</v>
      </c>
      <c r="AZ966">
        <v>1</v>
      </c>
      <c r="BA966">
        <v>18</v>
      </c>
      <c r="BB966">
        <v>14</v>
      </c>
      <c r="BC966">
        <v>104</v>
      </c>
      <c r="BD966">
        <v>4</v>
      </c>
      <c r="BE966">
        <v>14.5</v>
      </c>
      <c r="BF966">
        <v>104.5</v>
      </c>
      <c r="BG966">
        <v>35</v>
      </c>
      <c r="BH966">
        <v>1</v>
      </c>
      <c r="BI966">
        <v>58</v>
      </c>
      <c r="BJ966">
        <v>3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</v>
      </c>
      <c r="BR966">
        <v>1</v>
      </c>
      <c r="BS966">
        <v>0</v>
      </c>
      <c r="BT966">
        <v>5</v>
      </c>
      <c r="BU966">
        <v>45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C966">
        <v>0</v>
      </c>
      <c r="DD966">
        <v>0</v>
      </c>
      <c r="DE966">
        <v>0</v>
      </c>
      <c r="DF966">
        <v>0</v>
      </c>
      <c r="DH966">
        <v>0</v>
      </c>
      <c r="DI966">
        <v>0</v>
      </c>
    </row>
    <row r="967" spans="1:113" ht="15" customHeight="1" x14ac:dyDescent="0.25">
      <c r="A967" t="s">
        <v>4889</v>
      </c>
      <c r="B967" t="s">
        <v>4890</v>
      </c>
      <c r="C967" t="s">
        <v>4891</v>
      </c>
      <c r="D967" t="s">
        <v>1350</v>
      </c>
      <c r="E967" t="s">
        <v>1307</v>
      </c>
      <c r="F967" t="s">
        <v>4892</v>
      </c>
      <c r="G967">
        <v>2025</v>
      </c>
      <c r="H967" t="s">
        <v>1160</v>
      </c>
      <c r="I967" t="s">
        <v>121</v>
      </c>
      <c r="J967">
        <v>15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Y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S967">
        <v>0</v>
      </c>
      <c r="AU967">
        <v>0</v>
      </c>
      <c r="AV967">
        <v>0</v>
      </c>
      <c r="AW967">
        <v>0</v>
      </c>
      <c r="AX967">
        <v>0</v>
      </c>
      <c r="AY967">
        <v>26</v>
      </c>
      <c r="AZ967">
        <v>0</v>
      </c>
      <c r="BA967">
        <v>10</v>
      </c>
      <c r="BB967">
        <v>1</v>
      </c>
      <c r="BC967">
        <v>2</v>
      </c>
      <c r="BD967">
        <v>1</v>
      </c>
      <c r="BE967">
        <v>0</v>
      </c>
      <c r="BF967">
        <v>0</v>
      </c>
      <c r="BG967">
        <v>0</v>
      </c>
      <c r="BH967">
        <v>4</v>
      </c>
      <c r="BI967">
        <v>68</v>
      </c>
      <c r="BJ967">
        <v>15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7</v>
      </c>
      <c r="BU967">
        <v>62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C967">
        <v>0</v>
      </c>
      <c r="DD967">
        <v>0</v>
      </c>
      <c r="DE967">
        <v>0</v>
      </c>
      <c r="DF967">
        <v>0</v>
      </c>
      <c r="DH967">
        <v>0</v>
      </c>
      <c r="DI967">
        <v>0</v>
      </c>
    </row>
    <row r="968" spans="1:113" ht="15" customHeight="1" x14ac:dyDescent="0.25">
      <c r="A968" t="s">
        <v>4893</v>
      </c>
      <c r="B968" t="s">
        <v>4894</v>
      </c>
      <c r="C968" t="s">
        <v>460</v>
      </c>
      <c r="D968" t="s">
        <v>10</v>
      </c>
      <c r="E968" t="s">
        <v>10</v>
      </c>
      <c r="F968" t="s">
        <v>4895</v>
      </c>
      <c r="G968">
        <v>2025</v>
      </c>
      <c r="H968" t="s">
        <v>1160</v>
      </c>
      <c r="I968" t="s">
        <v>93</v>
      </c>
      <c r="J968">
        <v>12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Y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H968">
        <v>0</v>
      </c>
      <c r="AI968">
        <v>68</v>
      </c>
      <c r="AJ968">
        <v>112</v>
      </c>
      <c r="AK968">
        <v>919</v>
      </c>
      <c r="AL968">
        <v>7</v>
      </c>
      <c r="AM968">
        <v>1</v>
      </c>
      <c r="AN968">
        <v>1</v>
      </c>
      <c r="AO968">
        <v>1221</v>
      </c>
      <c r="AP968">
        <v>229</v>
      </c>
      <c r="AQ968">
        <v>46</v>
      </c>
      <c r="AR968">
        <v>24.780595332661001</v>
      </c>
      <c r="AS968">
        <v>1</v>
      </c>
      <c r="AT968">
        <v>0.75266175266175295</v>
      </c>
      <c r="AU968">
        <v>0.215799614643545</v>
      </c>
      <c r="AV968">
        <v>0.29280575539568299</v>
      </c>
      <c r="AW968">
        <v>0.52866345074229604</v>
      </c>
      <c r="AX968">
        <v>0</v>
      </c>
      <c r="AY968">
        <v>2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2</v>
      </c>
      <c r="BU968">
        <v>20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C968">
        <v>0</v>
      </c>
      <c r="DD968">
        <v>0</v>
      </c>
      <c r="DE968">
        <v>0</v>
      </c>
      <c r="DF968">
        <v>0</v>
      </c>
      <c r="DH968">
        <v>133.9</v>
      </c>
      <c r="DI968">
        <v>201.9</v>
      </c>
    </row>
    <row r="969" spans="1:113" ht="15" customHeight="1" x14ac:dyDescent="0.25">
      <c r="A969" t="s">
        <v>4896</v>
      </c>
      <c r="B969" t="s">
        <v>4897</v>
      </c>
      <c r="C969" t="s">
        <v>848</v>
      </c>
      <c r="D969" t="s">
        <v>10</v>
      </c>
      <c r="E969" t="s">
        <v>10</v>
      </c>
      <c r="F969" t="s">
        <v>4898</v>
      </c>
      <c r="G969">
        <v>2025</v>
      </c>
      <c r="H969" t="s">
        <v>1160</v>
      </c>
      <c r="I969" t="s">
        <v>138</v>
      </c>
      <c r="J969">
        <v>16</v>
      </c>
      <c r="K969">
        <v>0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4</v>
      </c>
      <c r="U969">
        <v>0</v>
      </c>
      <c r="V969">
        <v>0</v>
      </c>
      <c r="W969">
        <v>-3.5951321736211002</v>
      </c>
      <c r="X969">
        <v>-55.088990926742603</v>
      </c>
      <c r="Y969">
        <v>0</v>
      </c>
      <c r="Z969">
        <v>0</v>
      </c>
      <c r="AA969">
        <v>1</v>
      </c>
      <c r="AB969">
        <v>-3</v>
      </c>
      <c r="AC969">
        <v>0</v>
      </c>
      <c r="AD969">
        <v>0</v>
      </c>
      <c r="AE969">
        <v>0</v>
      </c>
      <c r="AF969">
        <v>0</v>
      </c>
      <c r="AG969">
        <v>-1.25310192722827</v>
      </c>
      <c r="AH969">
        <v>0</v>
      </c>
      <c r="AI969">
        <v>100</v>
      </c>
      <c r="AJ969">
        <v>156</v>
      </c>
      <c r="AK969">
        <v>1163</v>
      </c>
      <c r="AL969">
        <v>9</v>
      </c>
      <c r="AM969">
        <v>0</v>
      </c>
      <c r="AN969">
        <v>0</v>
      </c>
      <c r="AO969">
        <v>1841</v>
      </c>
      <c r="AP969">
        <v>289</v>
      </c>
      <c r="AQ969">
        <v>53</v>
      </c>
      <c r="AR969">
        <v>35.629362262705797</v>
      </c>
      <c r="AS969">
        <v>0</v>
      </c>
      <c r="AT969">
        <v>0.63172189027702297</v>
      </c>
      <c r="AU969">
        <v>0.27610619469026498</v>
      </c>
      <c r="AV969">
        <v>0.38458324629204099</v>
      </c>
      <c r="AW969">
        <v>0.68336756443982705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3</v>
      </c>
      <c r="BU969">
        <v>15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C969">
        <v>0</v>
      </c>
      <c r="DD969">
        <v>0</v>
      </c>
      <c r="DE969">
        <v>0</v>
      </c>
      <c r="DF969">
        <v>0</v>
      </c>
      <c r="DH969">
        <v>168</v>
      </c>
      <c r="DI969">
        <v>268</v>
      </c>
    </row>
    <row r="970" spans="1:113" ht="15" customHeight="1" x14ac:dyDescent="0.25">
      <c r="A970" t="s">
        <v>4899</v>
      </c>
      <c r="B970" t="s">
        <v>3255</v>
      </c>
      <c r="C970" t="s">
        <v>628</v>
      </c>
      <c r="D970" t="s">
        <v>10</v>
      </c>
      <c r="E970" t="s">
        <v>10</v>
      </c>
      <c r="F970" t="s">
        <v>4900</v>
      </c>
      <c r="G970">
        <v>2025</v>
      </c>
      <c r="H970" t="s">
        <v>1160</v>
      </c>
      <c r="I970" t="s">
        <v>111</v>
      </c>
      <c r="J970">
        <v>17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Y970">
        <v>0</v>
      </c>
      <c r="AA970">
        <v>6</v>
      </c>
      <c r="AB970">
        <v>12</v>
      </c>
      <c r="AC970">
        <v>0</v>
      </c>
      <c r="AD970">
        <v>0</v>
      </c>
      <c r="AE970">
        <v>0</v>
      </c>
      <c r="AF970">
        <v>0</v>
      </c>
      <c r="AG970">
        <v>-1.4257119631511199</v>
      </c>
      <c r="AH970">
        <v>0</v>
      </c>
      <c r="AI970">
        <v>65</v>
      </c>
      <c r="AJ970">
        <v>102</v>
      </c>
      <c r="AK970">
        <v>1117</v>
      </c>
      <c r="AL970">
        <v>7</v>
      </c>
      <c r="AM970">
        <v>0</v>
      </c>
      <c r="AN970">
        <v>0</v>
      </c>
      <c r="AO970">
        <v>1289</v>
      </c>
      <c r="AP970">
        <v>441</v>
      </c>
      <c r="AQ970">
        <v>49</v>
      </c>
      <c r="AR970">
        <v>56.168434524043903</v>
      </c>
      <c r="AS970">
        <v>0</v>
      </c>
      <c r="AT970">
        <v>0.86656322730799096</v>
      </c>
      <c r="AU970">
        <v>0.18545454545454501</v>
      </c>
      <c r="AV970">
        <v>0.34539121114683802</v>
      </c>
      <c r="AW970">
        <v>0.51995566598460496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4</v>
      </c>
      <c r="BU970">
        <v>38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C970">
        <v>0</v>
      </c>
      <c r="DD970">
        <v>0</v>
      </c>
      <c r="DE970">
        <v>0</v>
      </c>
      <c r="DF970">
        <v>0</v>
      </c>
      <c r="DH970">
        <v>154.9</v>
      </c>
      <c r="DI970">
        <v>219.9</v>
      </c>
    </row>
    <row r="971" spans="1:113" ht="15" customHeight="1" x14ac:dyDescent="0.25">
      <c r="A971" t="s">
        <v>4901</v>
      </c>
      <c r="B971" t="s">
        <v>4902</v>
      </c>
      <c r="C971" t="s">
        <v>4903</v>
      </c>
      <c r="D971" t="s">
        <v>1219</v>
      </c>
      <c r="E971" t="s">
        <v>1220</v>
      </c>
      <c r="F971" t="s">
        <v>4904</v>
      </c>
      <c r="G971">
        <v>2025</v>
      </c>
      <c r="H971" t="s">
        <v>1160</v>
      </c>
      <c r="I971" t="s">
        <v>131</v>
      </c>
      <c r="J971">
        <v>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Y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5</v>
      </c>
      <c r="AP971">
        <v>0</v>
      </c>
      <c r="AQ971">
        <v>0</v>
      </c>
      <c r="AR971">
        <v>-0.99673772399546601</v>
      </c>
      <c r="AS971">
        <v>0</v>
      </c>
      <c r="AT971">
        <v>0</v>
      </c>
      <c r="AU971">
        <v>1.76991150442478E-3</v>
      </c>
      <c r="AV971">
        <v>1.0444955086693099E-3</v>
      </c>
      <c r="AW971">
        <v>3.38601411270569E-3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7</v>
      </c>
      <c r="BU971">
        <v>50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C971">
        <v>0</v>
      </c>
      <c r="DD971">
        <v>0</v>
      </c>
      <c r="DE971">
        <v>0</v>
      </c>
      <c r="DF971">
        <v>0</v>
      </c>
      <c r="DH971">
        <v>0</v>
      </c>
      <c r="DI971">
        <v>0</v>
      </c>
    </row>
    <row r="972" spans="1:113" ht="15" customHeight="1" x14ac:dyDescent="0.25">
      <c r="A972" t="s">
        <v>4905</v>
      </c>
      <c r="B972" t="s">
        <v>4906</v>
      </c>
      <c r="C972" t="s">
        <v>4907</v>
      </c>
      <c r="D972" t="s">
        <v>1350</v>
      </c>
      <c r="E972" t="s">
        <v>1307</v>
      </c>
      <c r="F972" t="s">
        <v>4908</v>
      </c>
      <c r="G972">
        <v>2025</v>
      </c>
      <c r="H972" t="s">
        <v>1160</v>
      </c>
      <c r="I972" t="s">
        <v>142</v>
      </c>
      <c r="J972">
        <v>11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Y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S972">
        <v>0</v>
      </c>
      <c r="AU972">
        <v>0</v>
      </c>
      <c r="AV972">
        <v>0</v>
      </c>
      <c r="AW972">
        <v>0</v>
      </c>
      <c r="AX972">
        <v>0</v>
      </c>
      <c r="AY972">
        <v>21</v>
      </c>
      <c r="AZ972">
        <v>1</v>
      </c>
      <c r="BA972">
        <v>11</v>
      </c>
      <c r="BB972">
        <v>1</v>
      </c>
      <c r="BC972">
        <v>2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2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2</v>
      </c>
      <c r="BR972">
        <v>2</v>
      </c>
      <c r="BS972">
        <v>0</v>
      </c>
      <c r="BT972">
        <v>2</v>
      </c>
      <c r="BU972">
        <v>26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C972">
        <v>0</v>
      </c>
      <c r="DD972">
        <v>0</v>
      </c>
      <c r="DE972">
        <v>0</v>
      </c>
      <c r="DF972">
        <v>0</v>
      </c>
      <c r="DH972">
        <v>0</v>
      </c>
      <c r="DI972">
        <v>0</v>
      </c>
    </row>
    <row r="973" spans="1:113" ht="15" customHeight="1" x14ac:dyDescent="0.25">
      <c r="A973" t="s">
        <v>4909</v>
      </c>
      <c r="B973" t="s">
        <v>2423</v>
      </c>
      <c r="C973" t="s">
        <v>4910</v>
      </c>
      <c r="D973" t="s">
        <v>1219</v>
      </c>
      <c r="E973" t="s">
        <v>1220</v>
      </c>
      <c r="F973" t="s">
        <v>4911</v>
      </c>
      <c r="G973">
        <v>2025</v>
      </c>
      <c r="H973" t="s">
        <v>1160</v>
      </c>
      <c r="I973" t="s">
        <v>112</v>
      </c>
      <c r="J973">
        <v>8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Y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S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7</v>
      </c>
      <c r="BU973">
        <v>50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C973">
        <v>0</v>
      </c>
      <c r="DD973">
        <v>0</v>
      </c>
      <c r="DE973">
        <v>0</v>
      </c>
      <c r="DF973">
        <v>0</v>
      </c>
      <c r="DH973">
        <v>0</v>
      </c>
      <c r="DI973">
        <v>0</v>
      </c>
    </row>
    <row r="974" spans="1:113" ht="15" customHeight="1" x14ac:dyDescent="0.25">
      <c r="A974" t="s">
        <v>4912</v>
      </c>
      <c r="B974" t="s">
        <v>4913</v>
      </c>
      <c r="C974" t="s">
        <v>4914</v>
      </c>
      <c r="D974" t="s">
        <v>1234</v>
      </c>
      <c r="E974" t="s">
        <v>1234</v>
      </c>
      <c r="F974" t="s">
        <v>4915</v>
      </c>
      <c r="G974">
        <v>2025</v>
      </c>
      <c r="H974" t="s">
        <v>1160</v>
      </c>
      <c r="I974" t="s">
        <v>106</v>
      </c>
      <c r="J974">
        <v>15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Y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S974">
        <v>0</v>
      </c>
      <c r="AU974">
        <v>0</v>
      </c>
      <c r="AV974">
        <v>0</v>
      </c>
      <c r="AW974">
        <v>0</v>
      </c>
      <c r="AX974">
        <v>0</v>
      </c>
      <c r="AY974">
        <v>33</v>
      </c>
      <c r="AZ974">
        <v>2</v>
      </c>
      <c r="BA974">
        <v>46</v>
      </c>
      <c r="BB974">
        <v>6</v>
      </c>
      <c r="BC974">
        <v>10</v>
      </c>
      <c r="BD974">
        <v>0</v>
      </c>
      <c r="BE974">
        <v>1.5</v>
      </c>
      <c r="BF974">
        <v>9.5</v>
      </c>
      <c r="BG974">
        <v>10</v>
      </c>
      <c r="BH974">
        <v>5</v>
      </c>
      <c r="BI974">
        <v>135</v>
      </c>
      <c r="BJ974">
        <v>7</v>
      </c>
      <c r="BK974">
        <v>1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</v>
      </c>
      <c r="BR974">
        <v>1</v>
      </c>
      <c r="BS974">
        <v>0</v>
      </c>
      <c r="BT974">
        <v>1</v>
      </c>
      <c r="BU974">
        <v>15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C974">
        <v>0</v>
      </c>
      <c r="DD974">
        <v>0</v>
      </c>
      <c r="DE974">
        <v>0</v>
      </c>
      <c r="DF974">
        <v>0</v>
      </c>
      <c r="DH974">
        <v>0</v>
      </c>
      <c r="DI974">
        <v>0</v>
      </c>
    </row>
    <row r="975" spans="1:113" ht="15" customHeight="1" x14ac:dyDescent="0.25">
      <c r="A975" t="s">
        <v>4916</v>
      </c>
      <c r="B975" t="s">
        <v>4917</v>
      </c>
      <c r="C975" t="s">
        <v>4918</v>
      </c>
      <c r="D975" t="s">
        <v>1684</v>
      </c>
      <c r="E975" t="s">
        <v>1307</v>
      </c>
      <c r="F975" t="s">
        <v>4919</v>
      </c>
      <c r="G975">
        <v>2025</v>
      </c>
      <c r="H975" t="s">
        <v>1160</v>
      </c>
      <c r="I975" t="s">
        <v>121</v>
      </c>
      <c r="J975">
        <v>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Y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S975">
        <v>0</v>
      </c>
      <c r="AU975">
        <v>0</v>
      </c>
      <c r="AV975">
        <v>0</v>
      </c>
      <c r="AW975">
        <v>0</v>
      </c>
      <c r="AX975">
        <v>0</v>
      </c>
      <c r="AY975">
        <v>41</v>
      </c>
      <c r="AZ975">
        <v>2</v>
      </c>
      <c r="BA975">
        <v>31</v>
      </c>
      <c r="BB975">
        <v>3</v>
      </c>
      <c r="BC975">
        <v>7</v>
      </c>
      <c r="BD975">
        <v>0</v>
      </c>
      <c r="BE975">
        <v>0</v>
      </c>
      <c r="BF975">
        <v>0</v>
      </c>
      <c r="BG975">
        <v>0</v>
      </c>
      <c r="BH975">
        <v>4</v>
      </c>
      <c r="BI975">
        <v>18</v>
      </c>
      <c r="BJ975">
        <v>12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2</v>
      </c>
      <c r="BU975">
        <v>10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C975">
        <v>0</v>
      </c>
      <c r="DD975">
        <v>0</v>
      </c>
      <c r="DE975">
        <v>0</v>
      </c>
      <c r="DF975">
        <v>0</v>
      </c>
      <c r="DH975">
        <v>0</v>
      </c>
      <c r="DI975">
        <v>0</v>
      </c>
    </row>
    <row r="976" spans="1:113" ht="15" customHeight="1" x14ac:dyDescent="0.25">
      <c r="A976" t="s">
        <v>4920</v>
      </c>
      <c r="B976" t="s">
        <v>4921</v>
      </c>
      <c r="C976" t="s">
        <v>587</v>
      </c>
      <c r="D976" t="s">
        <v>10</v>
      </c>
      <c r="E976" t="s">
        <v>10</v>
      </c>
      <c r="F976" t="s">
        <v>4922</v>
      </c>
      <c r="G976">
        <v>2025</v>
      </c>
      <c r="H976" t="s">
        <v>1160</v>
      </c>
      <c r="I976" t="s">
        <v>112</v>
      </c>
      <c r="J976">
        <v>17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Y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H976">
        <v>0</v>
      </c>
      <c r="AI976">
        <v>93</v>
      </c>
      <c r="AJ976">
        <v>137</v>
      </c>
      <c r="AK976">
        <v>1429</v>
      </c>
      <c r="AL976">
        <v>9</v>
      </c>
      <c r="AM976">
        <v>4</v>
      </c>
      <c r="AN976">
        <v>0</v>
      </c>
      <c r="AO976">
        <v>1547</v>
      </c>
      <c r="AP976">
        <v>479</v>
      </c>
      <c r="AQ976">
        <v>73</v>
      </c>
      <c r="AR976">
        <v>88.742711280104103</v>
      </c>
      <c r="AS976">
        <v>1</v>
      </c>
      <c r="AT976">
        <v>0.92372333548804098</v>
      </c>
      <c r="AU976">
        <v>0.22570016474464599</v>
      </c>
      <c r="AV976">
        <v>0.30518840007891102</v>
      </c>
      <c r="AW976">
        <v>0.55218212717220605</v>
      </c>
      <c r="AX976">
        <v>0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7</v>
      </c>
      <c r="BU976">
        <v>90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C976">
        <v>0</v>
      </c>
      <c r="DD976">
        <v>0</v>
      </c>
      <c r="DE976">
        <v>0</v>
      </c>
      <c r="DF976">
        <v>0</v>
      </c>
      <c r="DH976">
        <v>198.9</v>
      </c>
      <c r="DI976">
        <v>291.89999999999998</v>
      </c>
    </row>
    <row r="977" spans="1:113" ht="15" customHeight="1" x14ac:dyDescent="0.25">
      <c r="A977" t="s">
        <v>4923</v>
      </c>
      <c r="B977" t="s">
        <v>4924</v>
      </c>
      <c r="C977" t="s">
        <v>4925</v>
      </c>
      <c r="D977" t="s">
        <v>431</v>
      </c>
      <c r="E977" t="s">
        <v>431</v>
      </c>
      <c r="F977" t="s">
        <v>4926</v>
      </c>
      <c r="G977">
        <v>2025</v>
      </c>
      <c r="H977" t="s">
        <v>1160</v>
      </c>
      <c r="I977" t="s">
        <v>99</v>
      </c>
      <c r="J977">
        <v>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Y977">
        <v>0</v>
      </c>
      <c r="AA977">
        <v>309</v>
      </c>
      <c r="AB977">
        <v>1621</v>
      </c>
      <c r="AC977">
        <v>12</v>
      </c>
      <c r="AD977">
        <v>6</v>
      </c>
      <c r="AE977">
        <v>3</v>
      </c>
      <c r="AF977">
        <v>71</v>
      </c>
      <c r="AG977">
        <v>5.5759755410143397</v>
      </c>
      <c r="AH977">
        <v>0</v>
      </c>
      <c r="AI977">
        <v>33</v>
      </c>
      <c r="AJ977">
        <v>40</v>
      </c>
      <c r="AK977">
        <v>291</v>
      </c>
      <c r="AL977">
        <v>2</v>
      </c>
      <c r="AM977">
        <v>0</v>
      </c>
      <c r="AN977">
        <v>0</v>
      </c>
      <c r="AO977">
        <v>56</v>
      </c>
      <c r="AP977">
        <v>272</v>
      </c>
      <c r="AQ977">
        <v>11</v>
      </c>
      <c r="AR977">
        <v>8.6720221597643103</v>
      </c>
      <c r="AS977">
        <v>0</v>
      </c>
      <c r="AT977">
        <v>5.1964285714285703</v>
      </c>
      <c r="AU977">
        <v>8.3507306889352803E-2</v>
      </c>
      <c r="AV977">
        <v>1.54952960708356E-2</v>
      </c>
      <c r="AW977">
        <v>0.13610766758361401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1</v>
      </c>
      <c r="BU977">
        <v>5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C977">
        <v>0</v>
      </c>
      <c r="DD977">
        <v>0</v>
      </c>
      <c r="DE977">
        <v>0</v>
      </c>
      <c r="DF977">
        <v>0</v>
      </c>
      <c r="DH977">
        <v>269.2</v>
      </c>
      <c r="DI977">
        <v>302.2</v>
      </c>
    </row>
    <row r="978" spans="1:113" ht="15" customHeight="1" x14ac:dyDescent="0.25">
      <c r="A978" t="s">
        <v>4927</v>
      </c>
      <c r="B978" t="s">
        <v>4928</v>
      </c>
      <c r="C978" t="s">
        <v>4929</v>
      </c>
      <c r="D978" t="s">
        <v>1234</v>
      </c>
      <c r="E978" t="s">
        <v>1234</v>
      </c>
      <c r="F978" t="s">
        <v>4930</v>
      </c>
      <c r="G978">
        <v>2025</v>
      </c>
      <c r="H978" t="s">
        <v>1160</v>
      </c>
      <c r="I978" t="s">
        <v>115</v>
      </c>
      <c r="J978">
        <v>17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Y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S978">
        <v>0</v>
      </c>
      <c r="AU978">
        <v>0</v>
      </c>
      <c r="AV978">
        <v>0</v>
      </c>
      <c r="AW978">
        <v>0</v>
      </c>
      <c r="AX978">
        <v>0</v>
      </c>
      <c r="AY978">
        <v>30</v>
      </c>
      <c r="AZ978">
        <v>1</v>
      </c>
      <c r="BA978">
        <v>15</v>
      </c>
      <c r="BB978">
        <v>14</v>
      </c>
      <c r="BC978">
        <v>84</v>
      </c>
      <c r="BD978">
        <v>2</v>
      </c>
      <c r="BE978">
        <v>14</v>
      </c>
      <c r="BF978">
        <v>92.5</v>
      </c>
      <c r="BG978">
        <v>28</v>
      </c>
      <c r="BH978">
        <v>0</v>
      </c>
      <c r="BI978">
        <v>0</v>
      </c>
      <c r="BJ978">
        <v>1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8</v>
      </c>
      <c r="BU978">
        <v>53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C978">
        <v>0</v>
      </c>
      <c r="DD978">
        <v>0</v>
      </c>
      <c r="DE978">
        <v>0</v>
      </c>
      <c r="DF978">
        <v>0</v>
      </c>
      <c r="DH978">
        <v>0</v>
      </c>
      <c r="DI978">
        <v>0</v>
      </c>
    </row>
    <row r="979" spans="1:113" ht="15" customHeight="1" x14ac:dyDescent="0.25">
      <c r="A979" t="s">
        <v>4931</v>
      </c>
      <c r="B979" t="s">
        <v>4932</v>
      </c>
      <c r="C979" t="s">
        <v>4933</v>
      </c>
      <c r="D979" t="s">
        <v>1189</v>
      </c>
      <c r="E979" t="s">
        <v>1190</v>
      </c>
      <c r="F979" t="s">
        <v>4934</v>
      </c>
      <c r="G979">
        <v>2025</v>
      </c>
      <c r="H979" t="s">
        <v>1160</v>
      </c>
      <c r="I979" t="s">
        <v>109</v>
      </c>
      <c r="J979">
        <v>13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Y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S979">
        <v>0</v>
      </c>
      <c r="AU979">
        <v>0</v>
      </c>
      <c r="AV979">
        <v>0</v>
      </c>
      <c r="AW979">
        <v>0</v>
      </c>
      <c r="AX979">
        <v>0</v>
      </c>
      <c r="AY979">
        <v>18</v>
      </c>
      <c r="AZ979">
        <v>3</v>
      </c>
      <c r="BA979">
        <v>16</v>
      </c>
      <c r="BB979">
        <v>12</v>
      </c>
      <c r="BC979">
        <v>44</v>
      </c>
      <c r="BD979">
        <v>1</v>
      </c>
      <c r="BE979">
        <v>5.5</v>
      </c>
      <c r="BF979">
        <v>39</v>
      </c>
      <c r="BG979">
        <v>9</v>
      </c>
      <c r="BH979">
        <v>0</v>
      </c>
      <c r="BI979">
        <v>0</v>
      </c>
      <c r="BJ979">
        <v>1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C979">
        <v>0</v>
      </c>
      <c r="DD979">
        <v>0</v>
      </c>
      <c r="DE979">
        <v>0</v>
      </c>
      <c r="DF979">
        <v>0</v>
      </c>
      <c r="DH979">
        <v>0</v>
      </c>
      <c r="DI979">
        <v>0</v>
      </c>
    </row>
    <row r="980" spans="1:113" ht="15" customHeight="1" x14ac:dyDescent="0.25">
      <c r="A980" t="s">
        <v>4935</v>
      </c>
      <c r="B980" t="s">
        <v>4936</v>
      </c>
      <c r="C980" t="s">
        <v>780</v>
      </c>
      <c r="D980" t="s">
        <v>439</v>
      </c>
      <c r="E980" t="s">
        <v>439</v>
      </c>
      <c r="F980" t="s">
        <v>4937</v>
      </c>
      <c r="G980">
        <v>2025</v>
      </c>
      <c r="H980" t="s">
        <v>1160</v>
      </c>
      <c r="I980" t="s">
        <v>133</v>
      </c>
      <c r="J980">
        <v>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Y980">
        <v>0</v>
      </c>
      <c r="AA980">
        <v>1</v>
      </c>
      <c r="AB980">
        <v>-7</v>
      </c>
      <c r="AC980">
        <v>0</v>
      </c>
      <c r="AD980">
        <v>0</v>
      </c>
      <c r="AE980">
        <v>0</v>
      </c>
      <c r="AF980">
        <v>0</v>
      </c>
      <c r="AG980">
        <v>-1.6294796523992601</v>
      </c>
      <c r="AH980">
        <v>0</v>
      </c>
      <c r="AI980">
        <v>26</v>
      </c>
      <c r="AJ980">
        <v>33</v>
      </c>
      <c r="AK980">
        <v>335</v>
      </c>
      <c r="AL980">
        <v>1</v>
      </c>
      <c r="AM980">
        <v>1</v>
      </c>
      <c r="AN980">
        <v>1</v>
      </c>
      <c r="AO980">
        <v>155</v>
      </c>
      <c r="AP980">
        <v>199</v>
      </c>
      <c r="AQ980">
        <v>14</v>
      </c>
      <c r="AR980">
        <v>17.511188291435399</v>
      </c>
      <c r="AS980">
        <v>0</v>
      </c>
      <c r="AT980">
        <v>2.1612903225806499</v>
      </c>
      <c r="AU980">
        <v>7.1428571428571397E-2</v>
      </c>
      <c r="AV980">
        <v>4.6103509815586002E-2</v>
      </c>
      <c r="AW980">
        <v>0.139415314013767</v>
      </c>
      <c r="AX980">
        <v>0</v>
      </c>
      <c r="AY980">
        <v>1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C980">
        <v>0</v>
      </c>
      <c r="DD980">
        <v>0</v>
      </c>
      <c r="DE980">
        <v>0</v>
      </c>
      <c r="DF980">
        <v>0</v>
      </c>
      <c r="DH980">
        <v>36.799999999999997</v>
      </c>
      <c r="DI980">
        <v>62.8</v>
      </c>
    </row>
    <row r="981" spans="1:113" ht="15" customHeight="1" x14ac:dyDescent="0.25">
      <c r="A981" t="s">
        <v>4938</v>
      </c>
      <c r="B981" t="s">
        <v>4582</v>
      </c>
      <c r="C981" t="s">
        <v>4939</v>
      </c>
      <c r="D981" t="s">
        <v>1350</v>
      </c>
      <c r="E981" t="s">
        <v>1307</v>
      </c>
      <c r="F981" t="s">
        <v>4940</v>
      </c>
      <c r="G981">
        <v>2025</v>
      </c>
      <c r="H981" t="s">
        <v>1160</v>
      </c>
      <c r="I981" t="s">
        <v>114</v>
      </c>
      <c r="J981">
        <v>17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Y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S981">
        <v>0</v>
      </c>
      <c r="AU981">
        <v>0</v>
      </c>
      <c r="AV981">
        <v>0</v>
      </c>
      <c r="AW981">
        <v>0</v>
      </c>
      <c r="AX981">
        <v>2</v>
      </c>
      <c r="AY981">
        <v>44</v>
      </c>
      <c r="AZ981">
        <v>3</v>
      </c>
      <c r="BA981">
        <v>18</v>
      </c>
      <c r="BB981">
        <v>8</v>
      </c>
      <c r="BC981">
        <v>19</v>
      </c>
      <c r="BD981">
        <v>0</v>
      </c>
      <c r="BE981">
        <v>2</v>
      </c>
      <c r="BF981">
        <v>9</v>
      </c>
      <c r="BG981">
        <v>2</v>
      </c>
      <c r="BH981">
        <v>3</v>
      </c>
      <c r="BI981">
        <v>65</v>
      </c>
      <c r="BJ981">
        <v>11</v>
      </c>
      <c r="BK981">
        <v>1</v>
      </c>
      <c r="BL981">
        <v>2</v>
      </c>
      <c r="BM981">
        <v>0</v>
      </c>
      <c r="BN981">
        <v>0</v>
      </c>
      <c r="BO981">
        <v>2</v>
      </c>
      <c r="BP981">
        <v>2</v>
      </c>
      <c r="BQ981">
        <v>1</v>
      </c>
      <c r="BR981">
        <v>1</v>
      </c>
      <c r="BS981">
        <v>0</v>
      </c>
      <c r="BT981">
        <v>1</v>
      </c>
      <c r="BU981">
        <v>15</v>
      </c>
      <c r="BV981">
        <v>21</v>
      </c>
      <c r="BW981">
        <v>363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C981">
        <v>0</v>
      </c>
      <c r="DD981">
        <v>0</v>
      </c>
      <c r="DE981">
        <v>0</v>
      </c>
      <c r="DF981">
        <v>0</v>
      </c>
      <c r="DH981">
        <v>12</v>
      </c>
      <c r="DI981">
        <v>12</v>
      </c>
    </row>
    <row r="982" spans="1:113" ht="15" customHeight="1" x14ac:dyDescent="0.25">
      <c r="A982" t="s">
        <v>4941</v>
      </c>
      <c r="B982" t="s">
        <v>4942</v>
      </c>
      <c r="C982" t="s">
        <v>4943</v>
      </c>
      <c r="D982" t="s">
        <v>1234</v>
      </c>
      <c r="E982" t="s">
        <v>1234</v>
      </c>
      <c r="F982" t="s">
        <v>4944</v>
      </c>
      <c r="G982">
        <v>2025</v>
      </c>
      <c r="H982" t="s">
        <v>1160</v>
      </c>
      <c r="I982" t="s">
        <v>99</v>
      </c>
      <c r="J982">
        <v>12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Y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S982">
        <v>0</v>
      </c>
      <c r="AU982">
        <v>0</v>
      </c>
      <c r="AV982">
        <v>0</v>
      </c>
      <c r="AW982">
        <v>0</v>
      </c>
      <c r="AX982">
        <v>0</v>
      </c>
      <c r="AY982">
        <v>39</v>
      </c>
      <c r="AZ982">
        <v>5</v>
      </c>
      <c r="BA982">
        <v>21</v>
      </c>
      <c r="BB982">
        <v>7</v>
      </c>
      <c r="BC982">
        <v>26</v>
      </c>
      <c r="BD982">
        <v>0</v>
      </c>
      <c r="BE982">
        <v>0</v>
      </c>
      <c r="BF982">
        <v>0</v>
      </c>
      <c r="BG982">
        <v>2</v>
      </c>
      <c r="BH982">
        <v>1</v>
      </c>
      <c r="BI982">
        <v>24</v>
      </c>
      <c r="BJ982">
        <v>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2</v>
      </c>
      <c r="BR982">
        <v>2</v>
      </c>
      <c r="BS982">
        <v>0</v>
      </c>
      <c r="BT982">
        <v>1</v>
      </c>
      <c r="BU982">
        <v>15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C982">
        <v>0</v>
      </c>
      <c r="DD982">
        <v>0</v>
      </c>
      <c r="DE982">
        <v>0</v>
      </c>
      <c r="DF982">
        <v>0</v>
      </c>
      <c r="DH982">
        <v>0</v>
      </c>
      <c r="DI982">
        <v>0</v>
      </c>
    </row>
    <row r="983" spans="1:113" ht="15" customHeight="1" x14ac:dyDescent="0.25">
      <c r="A983" t="s">
        <v>4945</v>
      </c>
      <c r="B983" t="s">
        <v>4946</v>
      </c>
      <c r="C983" t="s">
        <v>4947</v>
      </c>
      <c r="D983" t="s">
        <v>1297</v>
      </c>
      <c r="E983" t="s">
        <v>1220</v>
      </c>
      <c r="F983" t="s">
        <v>4948</v>
      </c>
      <c r="G983">
        <v>2025</v>
      </c>
      <c r="H983" t="s">
        <v>1160</v>
      </c>
      <c r="I983" t="s">
        <v>89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Y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S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5</v>
      </c>
      <c r="BU983">
        <v>40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C983">
        <v>0</v>
      </c>
      <c r="DD983">
        <v>0</v>
      </c>
      <c r="DE983">
        <v>0</v>
      </c>
      <c r="DF983">
        <v>0</v>
      </c>
      <c r="DH983">
        <v>0</v>
      </c>
      <c r="DI983">
        <v>0</v>
      </c>
    </row>
    <row r="984" spans="1:113" ht="15" customHeight="1" x14ac:dyDescent="0.25">
      <c r="A984" t="s">
        <v>4949</v>
      </c>
      <c r="B984" t="s">
        <v>4950</v>
      </c>
      <c r="C984" t="s">
        <v>1041</v>
      </c>
      <c r="D984" t="s">
        <v>431</v>
      </c>
      <c r="E984" t="s">
        <v>431</v>
      </c>
      <c r="F984" t="s">
        <v>4951</v>
      </c>
      <c r="G984">
        <v>2025</v>
      </c>
      <c r="H984" t="s">
        <v>1160</v>
      </c>
      <c r="I984" t="s">
        <v>126</v>
      </c>
      <c r="J984">
        <v>17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Y984">
        <v>0</v>
      </c>
      <c r="AA984">
        <v>132</v>
      </c>
      <c r="AB984">
        <v>572</v>
      </c>
      <c r="AC984">
        <v>4</v>
      </c>
      <c r="AD984">
        <v>0</v>
      </c>
      <c r="AE984">
        <v>0</v>
      </c>
      <c r="AF984">
        <v>37</v>
      </c>
      <c r="AG984">
        <v>10.4287434103052</v>
      </c>
      <c r="AH984">
        <v>0</v>
      </c>
      <c r="AI984">
        <v>40</v>
      </c>
      <c r="AJ984">
        <v>45</v>
      </c>
      <c r="AK984">
        <v>218</v>
      </c>
      <c r="AL984">
        <v>0</v>
      </c>
      <c r="AM984">
        <v>0</v>
      </c>
      <c r="AN984">
        <v>0</v>
      </c>
      <c r="AO984">
        <v>-102</v>
      </c>
      <c r="AP984">
        <v>329</v>
      </c>
      <c r="AQ984">
        <v>10</v>
      </c>
      <c r="AR984">
        <v>-1.8114817599400299</v>
      </c>
      <c r="AS984">
        <v>0</v>
      </c>
      <c r="AT984">
        <v>-2.1372549019607798</v>
      </c>
      <c r="AU984">
        <v>8.3179297597042498E-2</v>
      </c>
      <c r="AV984">
        <v>-2.26465364120782E-2</v>
      </c>
      <c r="AW984">
        <v>0.108916370907109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3</v>
      </c>
      <c r="BP984">
        <v>3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C984">
        <v>0</v>
      </c>
      <c r="DD984">
        <v>0</v>
      </c>
      <c r="DE984">
        <v>0</v>
      </c>
      <c r="DF984">
        <v>0</v>
      </c>
      <c r="DH984">
        <v>103</v>
      </c>
      <c r="DI984">
        <v>143</v>
      </c>
    </row>
    <row r="985" spans="1:113" ht="15" customHeight="1" x14ac:dyDescent="0.25">
      <c r="A985" t="s">
        <v>4952</v>
      </c>
      <c r="B985" t="s">
        <v>4953</v>
      </c>
      <c r="C985" t="s">
        <v>912</v>
      </c>
      <c r="D985" t="s">
        <v>431</v>
      </c>
      <c r="E985" t="s">
        <v>431</v>
      </c>
      <c r="F985" t="s">
        <v>4954</v>
      </c>
      <c r="G985">
        <v>2025</v>
      </c>
      <c r="H985" t="s">
        <v>1160</v>
      </c>
      <c r="I985" t="s">
        <v>123</v>
      </c>
      <c r="J985">
        <v>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Y985">
        <v>0</v>
      </c>
      <c r="AA985">
        <v>14</v>
      </c>
      <c r="AB985">
        <v>36</v>
      </c>
      <c r="AC985">
        <v>0</v>
      </c>
      <c r="AD985">
        <v>0</v>
      </c>
      <c r="AE985">
        <v>0</v>
      </c>
      <c r="AF985">
        <v>1</v>
      </c>
      <c r="AG985">
        <v>-3.8775783892488098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-4</v>
      </c>
      <c r="AP985">
        <v>0</v>
      </c>
      <c r="AQ985">
        <v>0</v>
      </c>
      <c r="AR985">
        <v>-0.63129452196881197</v>
      </c>
      <c r="AS985">
        <v>0</v>
      </c>
      <c r="AT985">
        <v>0</v>
      </c>
      <c r="AU985">
        <v>1.80831826401447E-3</v>
      </c>
      <c r="AV985">
        <v>-8.3945435466946502E-4</v>
      </c>
      <c r="AW985">
        <v>2.12485934775307E-3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4</v>
      </c>
      <c r="BY985">
        <v>92</v>
      </c>
      <c r="BZ985">
        <v>0</v>
      </c>
      <c r="CA985">
        <v>0</v>
      </c>
      <c r="CB985">
        <v>0</v>
      </c>
      <c r="CC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C985">
        <v>0</v>
      </c>
      <c r="DD985">
        <v>0</v>
      </c>
      <c r="DE985">
        <v>0</v>
      </c>
      <c r="DF985">
        <v>0</v>
      </c>
      <c r="DH985">
        <v>3.6</v>
      </c>
      <c r="DI985">
        <v>3.6</v>
      </c>
    </row>
    <row r="986" spans="1:113" ht="15" customHeight="1" x14ac:dyDescent="0.25">
      <c r="A986" t="s">
        <v>4955</v>
      </c>
      <c r="B986" t="s">
        <v>4956</v>
      </c>
      <c r="C986" t="s">
        <v>4957</v>
      </c>
      <c r="D986" t="s">
        <v>1234</v>
      </c>
      <c r="E986" t="s">
        <v>1234</v>
      </c>
      <c r="F986" t="s">
        <v>4958</v>
      </c>
      <c r="G986">
        <v>2025</v>
      </c>
      <c r="H986" t="s">
        <v>1160</v>
      </c>
      <c r="I986" t="s">
        <v>139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Y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S986">
        <v>0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0</v>
      </c>
      <c r="BA986">
        <v>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C986">
        <v>0</v>
      </c>
      <c r="DD986">
        <v>0</v>
      </c>
      <c r="DE986">
        <v>0</v>
      </c>
      <c r="DF986">
        <v>0</v>
      </c>
      <c r="DH986">
        <v>0</v>
      </c>
      <c r="DI986">
        <v>0</v>
      </c>
    </row>
    <row r="987" spans="1:113" ht="15" customHeight="1" x14ac:dyDescent="0.25">
      <c r="A987" t="s">
        <v>4959</v>
      </c>
      <c r="B987" t="s">
        <v>4960</v>
      </c>
      <c r="C987" t="s">
        <v>4961</v>
      </c>
      <c r="D987" t="s">
        <v>1243</v>
      </c>
      <c r="E987" t="s">
        <v>1190</v>
      </c>
      <c r="F987" t="s">
        <v>4962</v>
      </c>
      <c r="G987">
        <v>2025</v>
      </c>
      <c r="H987" t="s">
        <v>1160</v>
      </c>
      <c r="I987" t="s">
        <v>139</v>
      </c>
      <c r="J987">
        <v>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Y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S987">
        <v>0</v>
      </c>
      <c r="AU987">
        <v>0</v>
      </c>
      <c r="AV987">
        <v>0</v>
      </c>
      <c r="AW987">
        <v>0</v>
      </c>
      <c r="AX987">
        <v>0</v>
      </c>
      <c r="AY987">
        <v>5</v>
      </c>
      <c r="AZ987">
        <v>1</v>
      </c>
      <c r="BA987">
        <v>3</v>
      </c>
      <c r="BB987">
        <v>1</v>
      </c>
      <c r="BC987">
        <v>3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C987">
        <v>0</v>
      </c>
      <c r="DD987">
        <v>0</v>
      </c>
      <c r="DE987">
        <v>0</v>
      </c>
      <c r="DF987">
        <v>0</v>
      </c>
      <c r="DH987">
        <v>0</v>
      </c>
      <c r="DI987">
        <v>0</v>
      </c>
    </row>
    <row r="988" spans="1:113" ht="15" customHeight="1" x14ac:dyDescent="0.25">
      <c r="A988" t="s">
        <v>4963</v>
      </c>
      <c r="B988" t="s">
        <v>4964</v>
      </c>
      <c r="C988" t="s">
        <v>495</v>
      </c>
      <c r="D988" t="s">
        <v>10</v>
      </c>
      <c r="E988" t="s">
        <v>10</v>
      </c>
      <c r="F988" t="s">
        <v>4965</v>
      </c>
      <c r="G988">
        <v>2025</v>
      </c>
      <c r="H988" t="s">
        <v>1160</v>
      </c>
      <c r="I988" t="s">
        <v>99</v>
      </c>
      <c r="J988">
        <v>16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Y988">
        <v>0</v>
      </c>
      <c r="AA988">
        <v>1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-0.10540814138948899</v>
      </c>
      <c r="AH988">
        <v>0</v>
      </c>
      <c r="AI988">
        <v>72</v>
      </c>
      <c r="AJ988">
        <v>95</v>
      </c>
      <c r="AK988">
        <v>719</v>
      </c>
      <c r="AL988">
        <v>4</v>
      </c>
      <c r="AM988">
        <v>1</v>
      </c>
      <c r="AN988">
        <v>1</v>
      </c>
      <c r="AO988">
        <v>349</v>
      </c>
      <c r="AP988">
        <v>541</v>
      </c>
      <c r="AQ988">
        <v>28</v>
      </c>
      <c r="AR988">
        <v>7.5021320300804204</v>
      </c>
      <c r="AS988">
        <v>0</v>
      </c>
      <c r="AT988">
        <v>2.0601719197707702</v>
      </c>
      <c r="AU988">
        <v>0.198329853862213</v>
      </c>
      <c r="AV988">
        <v>9.6568898727172101E-2</v>
      </c>
      <c r="AW988">
        <v>0.36509300990234</v>
      </c>
      <c r="AX988">
        <v>0</v>
      </c>
      <c r="AY988">
        <v>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2</v>
      </c>
      <c r="BU988">
        <v>11</v>
      </c>
      <c r="BV988">
        <v>16</v>
      </c>
      <c r="BW988">
        <v>124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C988">
        <v>0</v>
      </c>
      <c r="DD988">
        <v>0</v>
      </c>
      <c r="DE988">
        <v>0</v>
      </c>
      <c r="DF988">
        <v>0</v>
      </c>
      <c r="DH988">
        <v>94.4</v>
      </c>
      <c r="DI988">
        <v>166.4</v>
      </c>
    </row>
    <row r="989" spans="1:113" ht="15" customHeight="1" x14ac:dyDescent="0.25">
      <c r="A989" t="s">
        <v>4966</v>
      </c>
      <c r="B989" t="s">
        <v>4967</v>
      </c>
      <c r="C989" t="s">
        <v>4968</v>
      </c>
      <c r="D989" t="s">
        <v>1243</v>
      </c>
      <c r="E989" t="s">
        <v>1190</v>
      </c>
      <c r="F989" t="s">
        <v>4969</v>
      </c>
      <c r="G989">
        <v>2025</v>
      </c>
      <c r="H989" t="s">
        <v>1160</v>
      </c>
      <c r="I989" t="s">
        <v>89</v>
      </c>
      <c r="J989">
        <v>17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Y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S989">
        <v>0</v>
      </c>
      <c r="AU989">
        <v>0</v>
      </c>
      <c r="AV989">
        <v>0</v>
      </c>
      <c r="AW989">
        <v>0</v>
      </c>
      <c r="AX989">
        <v>0</v>
      </c>
      <c r="AY989">
        <v>16</v>
      </c>
      <c r="AZ989">
        <v>0</v>
      </c>
      <c r="BA989">
        <v>28</v>
      </c>
      <c r="BB989">
        <v>1</v>
      </c>
      <c r="BC989">
        <v>2</v>
      </c>
      <c r="BD989">
        <v>1</v>
      </c>
      <c r="BE989">
        <v>0</v>
      </c>
      <c r="BF989">
        <v>0</v>
      </c>
      <c r="BG989">
        <v>7</v>
      </c>
      <c r="BH989">
        <v>0</v>
      </c>
      <c r="BI989">
        <v>0</v>
      </c>
      <c r="BJ989">
        <v>5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1</v>
      </c>
      <c r="BS989">
        <v>0</v>
      </c>
      <c r="BT989">
        <v>4</v>
      </c>
      <c r="BU989">
        <v>20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C989">
        <v>0</v>
      </c>
      <c r="DD989">
        <v>0</v>
      </c>
      <c r="DE989">
        <v>0</v>
      </c>
      <c r="DF989">
        <v>0</v>
      </c>
      <c r="DH989">
        <v>0</v>
      </c>
      <c r="DI989">
        <v>0</v>
      </c>
    </row>
    <row r="990" spans="1:113" ht="15" customHeight="1" x14ac:dyDescent="0.25">
      <c r="A990" t="s">
        <v>4970</v>
      </c>
      <c r="B990" t="s">
        <v>4971</v>
      </c>
      <c r="C990" t="s">
        <v>430</v>
      </c>
      <c r="D990" t="s">
        <v>431</v>
      </c>
      <c r="E990" t="s">
        <v>431</v>
      </c>
      <c r="F990" t="s">
        <v>4972</v>
      </c>
      <c r="G990">
        <v>2025</v>
      </c>
      <c r="H990" t="s">
        <v>1160</v>
      </c>
      <c r="I990" t="s">
        <v>93</v>
      </c>
      <c r="J990">
        <v>17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Y990">
        <v>0</v>
      </c>
      <c r="AA990">
        <v>143</v>
      </c>
      <c r="AB990">
        <v>514</v>
      </c>
      <c r="AC990">
        <v>8</v>
      </c>
      <c r="AD990">
        <v>0</v>
      </c>
      <c r="AE990">
        <v>0</v>
      </c>
      <c r="AF990">
        <v>36</v>
      </c>
      <c r="AG990">
        <v>-11.554740632796401</v>
      </c>
      <c r="AH990">
        <v>0</v>
      </c>
      <c r="AI990">
        <v>14</v>
      </c>
      <c r="AJ990">
        <v>16</v>
      </c>
      <c r="AK990">
        <v>96</v>
      </c>
      <c r="AL990">
        <v>0</v>
      </c>
      <c r="AM990">
        <v>0</v>
      </c>
      <c r="AN990">
        <v>0</v>
      </c>
      <c r="AO990">
        <v>-26</v>
      </c>
      <c r="AP990">
        <v>120</v>
      </c>
      <c r="AQ990">
        <v>3</v>
      </c>
      <c r="AR990">
        <v>2.78284132614499</v>
      </c>
      <c r="AS990">
        <v>0</v>
      </c>
      <c r="AT990">
        <v>-3.6923076923076898</v>
      </c>
      <c r="AU990">
        <v>3.0828516377649301E-2</v>
      </c>
      <c r="AV990">
        <v>-6.2350119904076703E-3</v>
      </c>
      <c r="AW990">
        <v>4.18782661731886E-2</v>
      </c>
      <c r="AX990">
        <v>0</v>
      </c>
      <c r="AY990">
        <v>2</v>
      </c>
      <c r="AZ990">
        <v>0</v>
      </c>
      <c r="BA990">
        <v>3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C990">
        <v>0</v>
      </c>
      <c r="DD990">
        <v>0</v>
      </c>
      <c r="DE990">
        <v>0</v>
      </c>
      <c r="DF990">
        <v>0</v>
      </c>
      <c r="DH990">
        <v>109</v>
      </c>
      <c r="DI990">
        <v>123</v>
      </c>
    </row>
    <row r="991" spans="1:113" ht="15" customHeight="1" x14ac:dyDescent="0.25">
      <c r="A991" t="s">
        <v>4973</v>
      </c>
      <c r="B991" t="s">
        <v>4974</v>
      </c>
      <c r="C991" t="s">
        <v>4975</v>
      </c>
      <c r="D991" t="s">
        <v>1684</v>
      </c>
      <c r="E991" t="s">
        <v>1307</v>
      </c>
      <c r="F991" t="s">
        <v>4976</v>
      </c>
      <c r="G991">
        <v>2025</v>
      </c>
      <c r="H991" t="s">
        <v>1160</v>
      </c>
      <c r="I991" t="s">
        <v>115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Y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S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C991">
        <v>0</v>
      </c>
      <c r="DD991">
        <v>0</v>
      </c>
      <c r="DE991">
        <v>0</v>
      </c>
      <c r="DF991">
        <v>0</v>
      </c>
      <c r="DH991">
        <v>0</v>
      </c>
      <c r="DI991">
        <v>0</v>
      </c>
    </row>
    <row r="992" spans="1:113" ht="15" customHeight="1" x14ac:dyDescent="0.25">
      <c r="A992" t="s">
        <v>4977</v>
      </c>
      <c r="B992" t="s">
        <v>4765</v>
      </c>
      <c r="C992" t="s">
        <v>1028</v>
      </c>
      <c r="D992" t="s">
        <v>431</v>
      </c>
      <c r="E992" t="s">
        <v>431</v>
      </c>
      <c r="F992" t="s">
        <v>4978</v>
      </c>
      <c r="G992">
        <v>2025</v>
      </c>
      <c r="H992" t="s">
        <v>1160</v>
      </c>
      <c r="I992" t="s">
        <v>109</v>
      </c>
      <c r="J992">
        <v>13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Y992">
        <v>0</v>
      </c>
      <c r="AA992">
        <v>24</v>
      </c>
      <c r="AB992">
        <v>73</v>
      </c>
      <c r="AC992">
        <v>0</v>
      </c>
      <c r="AD992">
        <v>0</v>
      </c>
      <c r="AE992">
        <v>0</v>
      </c>
      <c r="AF992">
        <v>5</v>
      </c>
      <c r="AG992">
        <v>-3.0169608334545002</v>
      </c>
      <c r="AH992">
        <v>0</v>
      </c>
      <c r="AI992">
        <v>26</v>
      </c>
      <c r="AJ992">
        <v>32</v>
      </c>
      <c r="AK992">
        <v>103</v>
      </c>
      <c r="AL992">
        <v>0</v>
      </c>
      <c r="AM992">
        <v>0</v>
      </c>
      <c r="AN992">
        <v>0</v>
      </c>
      <c r="AO992">
        <v>-49</v>
      </c>
      <c r="AP992">
        <v>154</v>
      </c>
      <c r="AQ992">
        <v>4</v>
      </c>
      <c r="AR992">
        <v>-5.5875455010810002</v>
      </c>
      <c r="AS992">
        <v>0</v>
      </c>
      <c r="AT992">
        <v>-2.1020408163265301</v>
      </c>
      <c r="AU992">
        <v>6.1302681992337203E-2</v>
      </c>
      <c r="AV992">
        <v>-1.29458388375165E-2</v>
      </c>
      <c r="AW992">
        <v>8.2891935802244202E-2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13</v>
      </c>
      <c r="BY992">
        <v>294</v>
      </c>
      <c r="BZ992">
        <v>0</v>
      </c>
      <c r="CA992">
        <v>0</v>
      </c>
      <c r="CB992">
        <v>0</v>
      </c>
      <c r="CC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C992">
        <v>0</v>
      </c>
      <c r="DD992">
        <v>0</v>
      </c>
      <c r="DE992">
        <v>0</v>
      </c>
      <c r="DF992">
        <v>0</v>
      </c>
      <c r="DH992">
        <v>17.600000000000001</v>
      </c>
      <c r="DI992">
        <v>43.6</v>
      </c>
    </row>
    <row r="993" spans="1:113" ht="15" customHeight="1" x14ac:dyDescent="0.25">
      <c r="A993" t="s">
        <v>4979</v>
      </c>
      <c r="B993" t="s">
        <v>4980</v>
      </c>
      <c r="C993" t="s">
        <v>4981</v>
      </c>
      <c r="D993" t="s">
        <v>1350</v>
      </c>
      <c r="E993" t="s">
        <v>1307</v>
      </c>
      <c r="F993" t="s">
        <v>4982</v>
      </c>
      <c r="G993">
        <v>2025</v>
      </c>
      <c r="H993" t="s">
        <v>1160</v>
      </c>
      <c r="I993" t="s">
        <v>126</v>
      </c>
      <c r="J993">
        <v>13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Y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S993">
        <v>0</v>
      </c>
      <c r="AU993">
        <v>0</v>
      </c>
      <c r="AV993">
        <v>0</v>
      </c>
      <c r="AW993">
        <v>0</v>
      </c>
      <c r="AX993">
        <v>0</v>
      </c>
      <c r="AY993">
        <v>45</v>
      </c>
      <c r="AZ993">
        <v>0</v>
      </c>
      <c r="BA993">
        <v>20</v>
      </c>
      <c r="BB993">
        <v>1</v>
      </c>
      <c r="BC993">
        <v>3</v>
      </c>
      <c r="BD993">
        <v>0</v>
      </c>
      <c r="BE993">
        <v>0</v>
      </c>
      <c r="BF993">
        <v>0</v>
      </c>
      <c r="BG993">
        <v>0</v>
      </c>
      <c r="BH993">
        <v>1</v>
      </c>
      <c r="BI993">
        <v>19</v>
      </c>
      <c r="BJ993">
        <v>6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2</v>
      </c>
      <c r="BU993">
        <v>10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C993">
        <v>0</v>
      </c>
      <c r="DD993">
        <v>0</v>
      </c>
      <c r="DE993">
        <v>0</v>
      </c>
      <c r="DF993">
        <v>0</v>
      </c>
      <c r="DH993">
        <v>0</v>
      </c>
      <c r="DI993">
        <v>0</v>
      </c>
    </row>
    <row r="994" spans="1:113" ht="15" customHeight="1" x14ac:dyDescent="0.25">
      <c r="A994" t="s">
        <v>4983</v>
      </c>
      <c r="B994" t="s">
        <v>4984</v>
      </c>
      <c r="C994" t="s">
        <v>4985</v>
      </c>
      <c r="D994" t="s">
        <v>1243</v>
      </c>
      <c r="E994" t="s">
        <v>1190</v>
      </c>
      <c r="F994" t="s">
        <v>4986</v>
      </c>
      <c r="G994">
        <v>2025</v>
      </c>
      <c r="H994" t="s">
        <v>1160</v>
      </c>
      <c r="I994" t="s">
        <v>124</v>
      </c>
      <c r="J994">
        <v>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Y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S994">
        <v>0</v>
      </c>
      <c r="AU994">
        <v>0</v>
      </c>
      <c r="AV994">
        <v>0</v>
      </c>
      <c r="AW994">
        <v>0</v>
      </c>
      <c r="AX994">
        <v>0</v>
      </c>
      <c r="AY994">
        <v>4</v>
      </c>
      <c r="AZ994">
        <v>0</v>
      </c>
      <c r="BA994">
        <v>2</v>
      </c>
      <c r="BB994">
        <v>1</v>
      </c>
      <c r="BC994">
        <v>6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C994">
        <v>0</v>
      </c>
      <c r="DD994">
        <v>0</v>
      </c>
      <c r="DE994">
        <v>0</v>
      </c>
      <c r="DF994">
        <v>0</v>
      </c>
      <c r="DH994">
        <v>0</v>
      </c>
      <c r="DI994">
        <v>0</v>
      </c>
    </row>
    <row r="995" spans="1:113" ht="15" customHeight="1" x14ac:dyDescent="0.25">
      <c r="A995" t="s">
        <v>4987</v>
      </c>
      <c r="B995" t="s">
        <v>4988</v>
      </c>
      <c r="C995" t="s">
        <v>4989</v>
      </c>
      <c r="D995" t="s">
        <v>1243</v>
      </c>
      <c r="E995" t="s">
        <v>1190</v>
      </c>
      <c r="F995" t="s">
        <v>4990</v>
      </c>
      <c r="G995">
        <v>2025</v>
      </c>
      <c r="H995" t="s">
        <v>1160</v>
      </c>
      <c r="I995" t="s">
        <v>131</v>
      </c>
      <c r="J995">
        <v>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Y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S995">
        <v>0</v>
      </c>
      <c r="AU995">
        <v>0</v>
      </c>
      <c r="AV995">
        <v>0</v>
      </c>
      <c r="AW995">
        <v>0</v>
      </c>
      <c r="AX995">
        <v>0</v>
      </c>
      <c r="AY995">
        <v>7</v>
      </c>
      <c r="AZ995">
        <v>0</v>
      </c>
      <c r="BA995">
        <v>3</v>
      </c>
      <c r="BB995">
        <v>3</v>
      </c>
      <c r="BC995">
        <v>3</v>
      </c>
      <c r="BD995">
        <v>0</v>
      </c>
      <c r="BE995">
        <v>0.5</v>
      </c>
      <c r="BF995">
        <v>2</v>
      </c>
      <c r="BG995">
        <v>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</v>
      </c>
      <c r="BU995">
        <v>15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C995">
        <v>0</v>
      </c>
      <c r="DD995">
        <v>0</v>
      </c>
      <c r="DE995">
        <v>0</v>
      </c>
      <c r="DF995">
        <v>0</v>
      </c>
      <c r="DH995">
        <v>0</v>
      </c>
      <c r="DI995">
        <v>0</v>
      </c>
    </row>
    <row r="996" spans="1:113" ht="15" customHeight="1" x14ac:dyDescent="0.25">
      <c r="A996" t="s">
        <v>4991</v>
      </c>
      <c r="B996" t="s">
        <v>2473</v>
      </c>
      <c r="C996" t="s">
        <v>4992</v>
      </c>
      <c r="D996" t="s">
        <v>1234</v>
      </c>
      <c r="E996" t="s">
        <v>1234</v>
      </c>
      <c r="F996" t="s">
        <v>4993</v>
      </c>
      <c r="G996">
        <v>2025</v>
      </c>
      <c r="H996" t="s">
        <v>1160</v>
      </c>
      <c r="I996" t="s">
        <v>104</v>
      </c>
      <c r="J996">
        <v>13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Y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S996">
        <v>0</v>
      </c>
      <c r="AU996">
        <v>0</v>
      </c>
      <c r="AV996">
        <v>0</v>
      </c>
      <c r="AW996">
        <v>0</v>
      </c>
      <c r="AX996">
        <v>0</v>
      </c>
      <c r="AY996">
        <v>18</v>
      </c>
      <c r="AZ996">
        <v>0</v>
      </c>
      <c r="BA996">
        <v>25</v>
      </c>
      <c r="BB996">
        <v>2</v>
      </c>
      <c r="BC996">
        <v>9</v>
      </c>
      <c r="BD996">
        <v>0</v>
      </c>
      <c r="BE996">
        <v>1</v>
      </c>
      <c r="BF996">
        <v>8</v>
      </c>
      <c r="BG996">
        <v>1</v>
      </c>
      <c r="BH996">
        <v>1</v>
      </c>
      <c r="BI996">
        <v>0</v>
      </c>
      <c r="BJ996">
        <v>3</v>
      </c>
      <c r="BK996">
        <v>0</v>
      </c>
      <c r="BL996">
        <v>0</v>
      </c>
      <c r="BM996">
        <v>0</v>
      </c>
      <c r="BN996">
        <v>0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2</v>
      </c>
      <c r="BU996">
        <v>20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C996">
        <v>0</v>
      </c>
      <c r="DD996">
        <v>0</v>
      </c>
      <c r="DE996">
        <v>0</v>
      </c>
      <c r="DF996">
        <v>0</v>
      </c>
      <c r="DH996">
        <v>0</v>
      </c>
      <c r="DI996">
        <v>0</v>
      </c>
    </row>
    <row r="997" spans="1:113" ht="15" customHeight="1" x14ac:dyDescent="0.25">
      <c r="A997" t="s">
        <v>4994</v>
      </c>
      <c r="B997" t="s">
        <v>4995</v>
      </c>
      <c r="C997" t="s">
        <v>4996</v>
      </c>
      <c r="D997" t="s">
        <v>1189</v>
      </c>
      <c r="E997" t="s">
        <v>1190</v>
      </c>
      <c r="F997" t="s">
        <v>4997</v>
      </c>
      <c r="G997">
        <v>2025</v>
      </c>
      <c r="H997" t="s">
        <v>1160</v>
      </c>
      <c r="I997" t="s">
        <v>103</v>
      </c>
      <c r="J997">
        <v>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Y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S997">
        <v>0</v>
      </c>
      <c r="AU997">
        <v>0</v>
      </c>
      <c r="AV997">
        <v>0</v>
      </c>
      <c r="AW997">
        <v>0</v>
      </c>
      <c r="AX997">
        <v>0</v>
      </c>
      <c r="AY997">
        <v>5</v>
      </c>
      <c r="AZ997">
        <v>0</v>
      </c>
      <c r="BA997">
        <v>4</v>
      </c>
      <c r="BB997">
        <v>1</v>
      </c>
      <c r="BC997">
        <v>1</v>
      </c>
      <c r="BD997">
        <v>0</v>
      </c>
      <c r="BE997">
        <v>1</v>
      </c>
      <c r="BF997">
        <v>1</v>
      </c>
      <c r="BG997">
        <v>1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15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C997">
        <v>0</v>
      </c>
      <c r="DD997">
        <v>0</v>
      </c>
      <c r="DE997">
        <v>0</v>
      </c>
      <c r="DF997">
        <v>0</v>
      </c>
      <c r="DH997">
        <v>0</v>
      </c>
      <c r="DI997">
        <v>0</v>
      </c>
    </row>
    <row r="998" spans="1:113" ht="15" customHeight="1" x14ac:dyDescent="0.25">
      <c r="A998" t="s">
        <v>4998</v>
      </c>
      <c r="B998" t="s">
        <v>4999</v>
      </c>
      <c r="C998" t="s">
        <v>5000</v>
      </c>
      <c r="D998" t="s">
        <v>1350</v>
      </c>
      <c r="E998" t="s">
        <v>1307</v>
      </c>
      <c r="F998" t="s">
        <v>5001</v>
      </c>
      <c r="G998">
        <v>2025</v>
      </c>
      <c r="H998" t="s">
        <v>1160</v>
      </c>
      <c r="I998" t="s">
        <v>112</v>
      </c>
      <c r="J998">
        <v>12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Y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S998">
        <v>0</v>
      </c>
      <c r="AU998">
        <v>0</v>
      </c>
      <c r="AV998">
        <v>0</v>
      </c>
      <c r="AW998">
        <v>0</v>
      </c>
      <c r="AX998">
        <v>0</v>
      </c>
      <c r="AY998">
        <v>44</v>
      </c>
      <c r="AZ998">
        <v>1</v>
      </c>
      <c r="BA998">
        <v>28</v>
      </c>
      <c r="BB998">
        <v>3</v>
      </c>
      <c r="BC998">
        <v>8</v>
      </c>
      <c r="BD998">
        <v>0</v>
      </c>
      <c r="BE998">
        <v>0</v>
      </c>
      <c r="BF998">
        <v>0</v>
      </c>
      <c r="BG998">
        <v>0</v>
      </c>
      <c r="BH998">
        <v>1</v>
      </c>
      <c r="BI998">
        <v>68</v>
      </c>
      <c r="BJ998">
        <v>6</v>
      </c>
      <c r="BK998">
        <v>1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C998">
        <v>0</v>
      </c>
      <c r="DD998">
        <v>0</v>
      </c>
      <c r="DE998">
        <v>0</v>
      </c>
      <c r="DF998">
        <v>0</v>
      </c>
      <c r="DH998">
        <v>0</v>
      </c>
      <c r="DI998">
        <v>0</v>
      </c>
    </row>
    <row r="999" spans="1:113" ht="15" customHeight="1" x14ac:dyDescent="0.25">
      <c r="A999" t="s">
        <v>5002</v>
      </c>
      <c r="B999" t="s">
        <v>5003</v>
      </c>
      <c r="C999" t="s">
        <v>835</v>
      </c>
      <c r="D999" t="s">
        <v>431</v>
      </c>
      <c r="E999" t="s">
        <v>431</v>
      </c>
      <c r="F999" t="s">
        <v>5004</v>
      </c>
      <c r="G999">
        <v>2025</v>
      </c>
      <c r="H999" t="s">
        <v>1160</v>
      </c>
      <c r="I999" t="s">
        <v>137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Y999">
        <v>0</v>
      </c>
      <c r="AA999">
        <v>17</v>
      </c>
      <c r="AB999">
        <v>47</v>
      </c>
      <c r="AC999">
        <v>0</v>
      </c>
      <c r="AD999">
        <v>0</v>
      </c>
      <c r="AE999">
        <v>0</v>
      </c>
      <c r="AF999">
        <v>1</v>
      </c>
      <c r="AG999">
        <v>-5.5063195007387602</v>
      </c>
      <c r="AH999">
        <v>0</v>
      </c>
      <c r="AI999">
        <v>3</v>
      </c>
      <c r="AJ999">
        <v>4</v>
      </c>
      <c r="AK999">
        <v>11</v>
      </c>
      <c r="AL999">
        <v>0</v>
      </c>
      <c r="AM999">
        <v>0</v>
      </c>
      <c r="AN999">
        <v>0</v>
      </c>
      <c r="AO999">
        <v>-20</v>
      </c>
      <c r="AP999">
        <v>27</v>
      </c>
      <c r="AQ999">
        <v>1</v>
      </c>
      <c r="AR999">
        <v>-0.83900522444385595</v>
      </c>
      <c r="AS999">
        <v>0</v>
      </c>
      <c r="AT999">
        <v>-0.55000000000000004</v>
      </c>
      <c r="AU999">
        <v>8.5470085470085496E-3</v>
      </c>
      <c r="AV999">
        <v>-5.3233963268565403E-3</v>
      </c>
      <c r="AW999">
        <v>9.0941353917132501E-3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3</v>
      </c>
      <c r="BY999">
        <v>84</v>
      </c>
      <c r="BZ999">
        <v>0</v>
      </c>
      <c r="CA999">
        <v>0</v>
      </c>
      <c r="CB999">
        <v>0</v>
      </c>
      <c r="CC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C999">
        <v>0</v>
      </c>
      <c r="DD999">
        <v>0</v>
      </c>
      <c r="DE999">
        <v>0</v>
      </c>
      <c r="DF999">
        <v>0</v>
      </c>
      <c r="DH999">
        <v>5.8</v>
      </c>
      <c r="DI999">
        <v>8.8000000000000007</v>
      </c>
    </row>
    <row r="1000" spans="1:113" ht="15" customHeight="1" x14ac:dyDescent="0.25">
      <c r="A1000" t="s">
        <v>5005</v>
      </c>
      <c r="B1000" t="s">
        <v>5006</v>
      </c>
      <c r="C1000" t="s">
        <v>448</v>
      </c>
      <c r="D1000" t="s">
        <v>439</v>
      </c>
      <c r="E1000" t="s">
        <v>439</v>
      </c>
      <c r="F1000" t="s">
        <v>5007</v>
      </c>
      <c r="G1000">
        <v>2025</v>
      </c>
      <c r="H1000" t="s">
        <v>1160</v>
      </c>
      <c r="I1000" t="s">
        <v>93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Y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S1000">
        <v>0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</v>
      </c>
      <c r="BU1000">
        <v>4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C1000">
        <v>0</v>
      </c>
      <c r="DD1000">
        <v>0</v>
      </c>
      <c r="DE1000">
        <v>0</v>
      </c>
      <c r="DF1000">
        <v>0</v>
      </c>
      <c r="DH1000">
        <v>0</v>
      </c>
      <c r="DI1000">
        <v>0</v>
      </c>
    </row>
    <row r="1001" spans="1:113" ht="15" customHeight="1" x14ac:dyDescent="0.25">
      <c r="A1001" t="s">
        <v>5008</v>
      </c>
      <c r="B1001" t="s">
        <v>5009</v>
      </c>
      <c r="C1001" t="s">
        <v>5010</v>
      </c>
      <c r="D1001" t="s">
        <v>1655</v>
      </c>
      <c r="E1001" t="s">
        <v>1220</v>
      </c>
      <c r="F1001" t="s">
        <v>5011</v>
      </c>
      <c r="G1001">
        <v>2025</v>
      </c>
      <c r="H1001" t="s">
        <v>1160</v>
      </c>
      <c r="I1001" t="s">
        <v>115</v>
      </c>
      <c r="J1001">
        <v>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Y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S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5</v>
      </c>
      <c r="BU1001">
        <v>35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C1001">
        <v>0</v>
      </c>
      <c r="DD1001">
        <v>0</v>
      </c>
      <c r="DE1001">
        <v>0</v>
      </c>
      <c r="DF1001">
        <v>0</v>
      </c>
      <c r="DH1001">
        <v>0</v>
      </c>
      <c r="DI1001">
        <v>0</v>
      </c>
    </row>
    <row r="1002" spans="1:113" ht="15" customHeight="1" x14ac:dyDescent="0.25">
      <c r="A1002" t="s">
        <v>5012</v>
      </c>
      <c r="B1002" t="s">
        <v>5013</v>
      </c>
      <c r="C1002" t="s">
        <v>5014</v>
      </c>
      <c r="D1002" t="s">
        <v>1243</v>
      </c>
      <c r="E1002" t="s">
        <v>1190</v>
      </c>
      <c r="F1002" t="s">
        <v>5015</v>
      </c>
      <c r="G1002">
        <v>2025</v>
      </c>
      <c r="H1002" t="s">
        <v>1160</v>
      </c>
      <c r="I1002" t="s">
        <v>133</v>
      </c>
      <c r="J1002">
        <v>10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Y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S1002">
        <v>0</v>
      </c>
      <c r="AU1002">
        <v>0</v>
      </c>
      <c r="AV1002">
        <v>0</v>
      </c>
      <c r="AW1002">
        <v>0</v>
      </c>
      <c r="AX1002">
        <v>0</v>
      </c>
      <c r="AY1002">
        <v>6</v>
      </c>
      <c r="AZ1002">
        <v>1</v>
      </c>
      <c r="BA1002">
        <v>5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2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3</v>
      </c>
      <c r="BU1002">
        <v>35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C1002">
        <v>0</v>
      </c>
      <c r="DD1002">
        <v>0</v>
      </c>
      <c r="DE1002">
        <v>0</v>
      </c>
      <c r="DF1002">
        <v>0</v>
      </c>
      <c r="DH1002">
        <v>0</v>
      </c>
      <c r="DI1002">
        <v>0</v>
      </c>
    </row>
    <row r="1003" spans="1:113" ht="15" customHeight="1" x14ac:dyDescent="0.25">
      <c r="A1003" t="s">
        <v>5016</v>
      </c>
      <c r="B1003" t="s">
        <v>5017</v>
      </c>
      <c r="C1003" t="s">
        <v>5018</v>
      </c>
      <c r="D1003" t="s">
        <v>1234</v>
      </c>
      <c r="E1003" t="s">
        <v>1234</v>
      </c>
      <c r="F1003" t="s">
        <v>5019</v>
      </c>
      <c r="G1003">
        <v>2025</v>
      </c>
      <c r="H1003" t="s">
        <v>1160</v>
      </c>
      <c r="I1003" t="s">
        <v>121</v>
      </c>
      <c r="J1003">
        <v>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Y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S1003">
        <v>0</v>
      </c>
      <c r="AU1003">
        <v>0</v>
      </c>
      <c r="AV1003">
        <v>0</v>
      </c>
      <c r="AW1003">
        <v>0</v>
      </c>
      <c r="AX1003">
        <v>0</v>
      </c>
      <c r="AY1003">
        <v>14</v>
      </c>
      <c r="AZ1003">
        <v>0</v>
      </c>
      <c r="BA1003">
        <v>14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</v>
      </c>
      <c r="BU1003">
        <v>10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C1003">
        <v>0</v>
      </c>
      <c r="DD1003">
        <v>0</v>
      </c>
      <c r="DE1003">
        <v>0</v>
      </c>
      <c r="DF1003">
        <v>0</v>
      </c>
      <c r="DH1003">
        <v>0</v>
      </c>
      <c r="DI1003">
        <v>0</v>
      </c>
    </row>
    <row r="1004" spans="1:113" ht="15" customHeight="1" x14ac:dyDescent="0.25">
      <c r="A1004" t="s">
        <v>5020</v>
      </c>
      <c r="B1004" t="s">
        <v>5021</v>
      </c>
      <c r="C1004" t="s">
        <v>511</v>
      </c>
      <c r="D1004" t="s">
        <v>439</v>
      </c>
      <c r="E1004" t="s">
        <v>439</v>
      </c>
      <c r="F1004" t="s">
        <v>5022</v>
      </c>
      <c r="G1004">
        <v>2025</v>
      </c>
      <c r="H1004" t="s">
        <v>1160</v>
      </c>
      <c r="I1004" t="s">
        <v>96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Y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H1004">
        <v>0</v>
      </c>
      <c r="AI1004">
        <v>3</v>
      </c>
      <c r="AJ1004">
        <v>3</v>
      </c>
      <c r="AK1004">
        <v>28</v>
      </c>
      <c r="AL1004">
        <v>0</v>
      </c>
      <c r="AM1004">
        <v>0</v>
      </c>
      <c r="AN1004">
        <v>0</v>
      </c>
      <c r="AO1004">
        <v>7</v>
      </c>
      <c r="AP1004">
        <v>21</v>
      </c>
      <c r="AQ1004">
        <v>2</v>
      </c>
      <c r="AR1004">
        <v>2.2441549878567502</v>
      </c>
      <c r="AS1004">
        <v>0</v>
      </c>
      <c r="AT1004">
        <v>4</v>
      </c>
      <c r="AU1004">
        <v>6.2500000000000003E-3</v>
      </c>
      <c r="AV1004">
        <v>2.02898550724638E-3</v>
      </c>
      <c r="AW1004">
        <v>1.07952898550725E-2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C1004">
        <v>0</v>
      </c>
      <c r="DD1004">
        <v>0</v>
      </c>
      <c r="DE1004">
        <v>0</v>
      </c>
      <c r="DF1004">
        <v>0</v>
      </c>
      <c r="DH1004">
        <v>2.8</v>
      </c>
      <c r="DI1004">
        <v>5.8</v>
      </c>
    </row>
    <row r="1005" spans="1:113" ht="15" customHeight="1" x14ac:dyDescent="0.25">
      <c r="A1005" t="s">
        <v>5023</v>
      </c>
      <c r="B1005" t="s">
        <v>5024</v>
      </c>
      <c r="C1005" t="s">
        <v>5025</v>
      </c>
      <c r="D1005" t="s">
        <v>1243</v>
      </c>
      <c r="E1005" t="s">
        <v>1190</v>
      </c>
      <c r="F1005" t="s">
        <v>5026</v>
      </c>
      <c r="G1005">
        <v>2025</v>
      </c>
      <c r="H1005" t="s">
        <v>1160</v>
      </c>
      <c r="I1005" t="s">
        <v>138</v>
      </c>
      <c r="J1005">
        <v>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Y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S1005">
        <v>0</v>
      </c>
      <c r="AU1005">
        <v>0</v>
      </c>
      <c r="AV1005">
        <v>0</v>
      </c>
      <c r="AW1005">
        <v>0</v>
      </c>
      <c r="AX1005">
        <v>0</v>
      </c>
      <c r="AY1005">
        <v>3</v>
      </c>
      <c r="AZ1005">
        <v>0</v>
      </c>
      <c r="BA1005">
        <v>8</v>
      </c>
      <c r="BB1005">
        <v>1</v>
      </c>
      <c r="BC1005">
        <v>2</v>
      </c>
      <c r="BD1005">
        <v>0</v>
      </c>
      <c r="BE1005">
        <v>0</v>
      </c>
      <c r="BF1005">
        <v>0</v>
      </c>
      <c r="BG1005">
        <v>1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C1005">
        <v>0</v>
      </c>
      <c r="DD1005">
        <v>0</v>
      </c>
      <c r="DE1005">
        <v>0</v>
      </c>
      <c r="DF1005">
        <v>0</v>
      </c>
      <c r="DH1005">
        <v>0</v>
      </c>
      <c r="DI1005">
        <v>0</v>
      </c>
    </row>
    <row r="1006" spans="1:113" ht="15" customHeight="1" x14ac:dyDescent="0.25">
      <c r="A1006" t="s">
        <v>5027</v>
      </c>
      <c r="B1006" t="s">
        <v>5028</v>
      </c>
      <c r="C1006" t="s">
        <v>5029</v>
      </c>
      <c r="D1006" t="s">
        <v>1209</v>
      </c>
      <c r="E1006" t="s">
        <v>1169</v>
      </c>
      <c r="F1006" t="s">
        <v>5030</v>
      </c>
      <c r="G1006">
        <v>2025</v>
      </c>
      <c r="H1006" t="s">
        <v>1160</v>
      </c>
      <c r="I1006" t="s">
        <v>123</v>
      </c>
      <c r="J1006">
        <v>17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Y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S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C1006">
        <v>0</v>
      </c>
      <c r="DD1006">
        <v>0</v>
      </c>
      <c r="DE1006">
        <v>0</v>
      </c>
      <c r="DF1006">
        <v>0</v>
      </c>
      <c r="DH1006">
        <v>0</v>
      </c>
      <c r="DI1006">
        <v>0</v>
      </c>
    </row>
    <row r="1007" spans="1:113" ht="15" customHeight="1" x14ac:dyDescent="0.25">
      <c r="A1007" t="s">
        <v>5031</v>
      </c>
      <c r="B1007" t="s">
        <v>5032</v>
      </c>
      <c r="C1007" t="s">
        <v>5033</v>
      </c>
      <c r="D1007" t="s">
        <v>1219</v>
      </c>
      <c r="E1007" t="s">
        <v>1220</v>
      </c>
      <c r="F1007" t="s">
        <v>5034</v>
      </c>
      <c r="G1007">
        <v>2025</v>
      </c>
      <c r="H1007" t="s">
        <v>1160</v>
      </c>
      <c r="I1007" t="s">
        <v>114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Y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S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2</v>
      </c>
      <c r="BU1007">
        <v>9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C1007">
        <v>0</v>
      </c>
      <c r="DD1007">
        <v>0</v>
      </c>
      <c r="DE1007">
        <v>0</v>
      </c>
      <c r="DF1007">
        <v>0</v>
      </c>
      <c r="DH1007">
        <v>0</v>
      </c>
      <c r="DI1007">
        <v>0</v>
      </c>
    </row>
    <row r="1008" spans="1:113" ht="15" customHeight="1" x14ac:dyDescent="0.25">
      <c r="A1008" t="s">
        <v>5035</v>
      </c>
      <c r="B1008" t="s">
        <v>5036</v>
      </c>
      <c r="C1008" t="s">
        <v>5037</v>
      </c>
      <c r="D1008" t="s">
        <v>1350</v>
      </c>
      <c r="E1008" t="s">
        <v>1307</v>
      </c>
      <c r="F1008" t="s">
        <v>5038</v>
      </c>
      <c r="G1008">
        <v>2025</v>
      </c>
      <c r="H1008" t="s">
        <v>1160</v>
      </c>
      <c r="I1008" t="s">
        <v>99</v>
      </c>
      <c r="J1008">
        <v>14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Y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S1008">
        <v>0</v>
      </c>
      <c r="AU1008">
        <v>0</v>
      </c>
      <c r="AV1008">
        <v>0</v>
      </c>
      <c r="AW1008">
        <v>0</v>
      </c>
      <c r="AX1008">
        <v>0</v>
      </c>
      <c r="AY1008">
        <v>31</v>
      </c>
      <c r="AZ1008">
        <v>1</v>
      </c>
      <c r="BA1008">
        <v>11</v>
      </c>
      <c r="BB1008">
        <v>4</v>
      </c>
      <c r="BC1008">
        <v>26</v>
      </c>
      <c r="BD1008">
        <v>0</v>
      </c>
      <c r="BE1008">
        <v>2</v>
      </c>
      <c r="BF1008">
        <v>14</v>
      </c>
      <c r="BG1008">
        <v>2</v>
      </c>
      <c r="BH1008">
        <v>2</v>
      </c>
      <c r="BI1008">
        <v>63</v>
      </c>
      <c r="BJ1008">
        <v>4</v>
      </c>
      <c r="BK1008">
        <v>1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2</v>
      </c>
      <c r="BR1008">
        <v>2</v>
      </c>
      <c r="BS1008">
        <v>1</v>
      </c>
      <c r="BT1008">
        <v>2</v>
      </c>
      <c r="BU1008">
        <v>14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C1008">
        <v>0</v>
      </c>
      <c r="DD1008">
        <v>0</v>
      </c>
      <c r="DE1008">
        <v>0</v>
      </c>
      <c r="DF1008">
        <v>0</v>
      </c>
      <c r="DH1008">
        <v>0</v>
      </c>
      <c r="DI1008">
        <v>0</v>
      </c>
    </row>
    <row r="1009" spans="1:113" ht="15" customHeight="1" x14ac:dyDescent="0.25">
      <c r="A1009" t="s">
        <v>5039</v>
      </c>
      <c r="B1009" t="s">
        <v>5040</v>
      </c>
      <c r="C1009" t="s">
        <v>5041</v>
      </c>
      <c r="D1009" t="s">
        <v>1234</v>
      </c>
      <c r="E1009" t="s">
        <v>1234</v>
      </c>
      <c r="F1009" t="s">
        <v>5042</v>
      </c>
      <c r="G1009">
        <v>2025</v>
      </c>
      <c r="H1009" t="s">
        <v>1160</v>
      </c>
      <c r="I1009" t="s">
        <v>111</v>
      </c>
      <c r="J1009">
        <v>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Y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S1009">
        <v>0</v>
      </c>
      <c r="AU1009">
        <v>0</v>
      </c>
      <c r="AV1009">
        <v>0</v>
      </c>
      <c r="AW1009">
        <v>0</v>
      </c>
      <c r="AX1009">
        <v>0</v>
      </c>
      <c r="AY1009">
        <v>9</v>
      </c>
      <c r="AZ1009">
        <v>0</v>
      </c>
      <c r="BA1009">
        <v>3</v>
      </c>
      <c r="BB1009">
        <v>1</v>
      </c>
      <c r="BC1009">
        <v>3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C1009">
        <v>0</v>
      </c>
      <c r="DD1009">
        <v>0</v>
      </c>
      <c r="DE1009">
        <v>0</v>
      </c>
      <c r="DF1009">
        <v>0</v>
      </c>
      <c r="DH1009">
        <v>0</v>
      </c>
      <c r="DI1009">
        <v>0</v>
      </c>
    </row>
    <row r="1010" spans="1:113" ht="15" customHeight="1" x14ac:dyDescent="0.25">
      <c r="A1010" t="s">
        <v>5043</v>
      </c>
      <c r="B1010" t="s">
        <v>5044</v>
      </c>
      <c r="C1010" t="s">
        <v>769</v>
      </c>
      <c r="D1010" t="s">
        <v>10</v>
      </c>
      <c r="E1010" t="s">
        <v>10</v>
      </c>
      <c r="F1010" t="s">
        <v>5045</v>
      </c>
      <c r="G1010">
        <v>2025</v>
      </c>
      <c r="H1010" t="s">
        <v>1160</v>
      </c>
      <c r="I1010" t="s">
        <v>137</v>
      </c>
      <c r="J1010">
        <v>17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Y1010">
        <v>0</v>
      </c>
      <c r="AA1010">
        <v>2</v>
      </c>
      <c r="AB1010">
        <v>13</v>
      </c>
      <c r="AC1010">
        <v>0</v>
      </c>
      <c r="AD1010">
        <v>0</v>
      </c>
      <c r="AE1010">
        <v>0</v>
      </c>
      <c r="AF1010">
        <v>1</v>
      </c>
      <c r="AG1010">
        <v>-1.2720050893258299</v>
      </c>
      <c r="AH1010">
        <v>0</v>
      </c>
      <c r="AI1010">
        <v>29</v>
      </c>
      <c r="AJ1010">
        <v>53</v>
      </c>
      <c r="AK1010">
        <v>444</v>
      </c>
      <c r="AL1010">
        <v>4</v>
      </c>
      <c r="AM1010">
        <v>0</v>
      </c>
      <c r="AN1010">
        <v>0</v>
      </c>
      <c r="AO1010">
        <v>656</v>
      </c>
      <c r="AP1010">
        <v>112</v>
      </c>
      <c r="AQ1010">
        <v>23</v>
      </c>
      <c r="AR1010">
        <v>11.5625890953043</v>
      </c>
      <c r="AS1010">
        <v>1</v>
      </c>
      <c r="AT1010">
        <v>0.67682926829268297</v>
      </c>
      <c r="AU1010">
        <v>0.113247863247863</v>
      </c>
      <c r="AV1010">
        <v>0.17460739952089399</v>
      </c>
      <c r="AW1010">
        <v>0.29209697453642097</v>
      </c>
      <c r="AX1010">
        <v>0</v>
      </c>
      <c r="AY1010">
        <v>5</v>
      </c>
      <c r="AZ1010">
        <v>0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</v>
      </c>
      <c r="BR1010">
        <v>1</v>
      </c>
      <c r="BS1010">
        <v>0</v>
      </c>
      <c r="BT1010">
        <v>2</v>
      </c>
      <c r="BU1010">
        <v>10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C1010">
        <v>0</v>
      </c>
      <c r="DD1010">
        <v>0</v>
      </c>
      <c r="DE1010">
        <v>0</v>
      </c>
      <c r="DF1010">
        <v>0</v>
      </c>
      <c r="DH1010">
        <v>71.7</v>
      </c>
      <c r="DI1010">
        <v>100.7</v>
      </c>
    </row>
    <row r="1011" spans="1:113" ht="15" customHeight="1" x14ac:dyDescent="0.25">
      <c r="A1011" t="s">
        <v>5046</v>
      </c>
      <c r="B1011" t="s">
        <v>5047</v>
      </c>
      <c r="C1011" t="s">
        <v>5048</v>
      </c>
      <c r="D1011" t="s">
        <v>439</v>
      </c>
      <c r="E1011" t="s">
        <v>439</v>
      </c>
      <c r="F1011" t="s">
        <v>5049</v>
      </c>
      <c r="G1011">
        <v>2025</v>
      </c>
      <c r="H1011" t="s">
        <v>1160</v>
      </c>
      <c r="I1011" t="s">
        <v>124</v>
      </c>
      <c r="J1011">
        <v>11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Y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H1011">
        <v>0</v>
      </c>
      <c r="AI1011">
        <v>4</v>
      </c>
      <c r="AJ1011">
        <v>6</v>
      </c>
      <c r="AK1011">
        <v>27</v>
      </c>
      <c r="AL1011">
        <v>1</v>
      </c>
      <c r="AM1011">
        <v>0</v>
      </c>
      <c r="AN1011">
        <v>0</v>
      </c>
      <c r="AO1011">
        <v>42</v>
      </c>
      <c r="AP1011">
        <v>9</v>
      </c>
      <c r="AQ1011">
        <v>2</v>
      </c>
      <c r="AR1011">
        <v>1.31117279594764</v>
      </c>
      <c r="AS1011">
        <v>0</v>
      </c>
      <c r="AT1011">
        <v>0.64285714285714302</v>
      </c>
      <c r="AU1011">
        <v>1.13207547169811E-2</v>
      </c>
      <c r="AV1011">
        <v>9.5890410958904097E-3</v>
      </c>
      <c r="AW1011">
        <v>2.3693460842595E-2</v>
      </c>
      <c r="AX1011">
        <v>0</v>
      </c>
      <c r="AY1011">
        <v>5</v>
      </c>
      <c r="AZ1011">
        <v>0</v>
      </c>
      <c r="BA1011">
        <v>6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2</v>
      </c>
      <c r="BU1011">
        <v>20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C1011">
        <v>0</v>
      </c>
      <c r="DD1011">
        <v>0</v>
      </c>
      <c r="DE1011">
        <v>0</v>
      </c>
      <c r="DF1011">
        <v>0</v>
      </c>
      <c r="DH1011">
        <v>8.6999999999999993</v>
      </c>
      <c r="DI1011">
        <v>12.7</v>
      </c>
    </row>
    <row r="1012" spans="1:113" ht="15" customHeight="1" x14ac:dyDescent="0.25">
      <c r="A1012" t="s">
        <v>5050</v>
      </c>
      <c r="B1012" t="s">
        <v>3692</v>
      </c>
      <c r="C1012" t="s">
        <v>5051</v>
      </c>
      <c r="D1012" t="s">
        <v>1243</v>
      </c>
      <c r="E1012" t="s">
        <v>1190</v>
      </c>
      <c r="F1012" t="s">
        <v>5052</v>
      </c>
      <c r="G1012">
        <v>2025</v>
      </c>
      <c r="H1012" t="s">
        <v>1160</v>
      </c>
      <c r="I1012" t="s">
        <v>115</v>
      </c>
      <c r="J1012">
        <v>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Y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S1012">
        <v>0</v>
      </c>
      <c r="AU1012">
        <v>0</v>
      </c>
      <c r="AV1012">
        <v>0</v>
      </c>
      <c r="AW1012">
        <v>0</v>
      </c>
      <c r="AX1012">
        <v>0</v>
      </c>
      <c r="AY1012">
        <v>3</v>
      </c>
      <c r="AZ1012">
        <v>0</v>
      </c>
      <c r="BA1012">
        <v>4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C1012">
        <v>0</v>
      </c>
      <c r="DD1012">
        <v>0</v>
      </c>
      <c r="DE1012">
        <v>0</v>
      </c>
      <c r="DF1012">
        <v>0</v>
      </c>
      <c r="DH1012">
        <v>0</v>
      </c>
      <c r="DI1012">
        <v>0</v>
      </c>
    </row>
    <row r="1013" spans="1:113" ht="15" customHeight="1" x14ac:dyDescent="0.25">
      <c r="A1013" t="s">
        <v>5053</v>
      </c>
      <c r="B1013" t="s">
        <v>5054</v>
      </c>
      <c r="C1013" t="s">
        <v>5055</v>
      </c>
      <c r="D1013" t="s">
        <v>1297</v>
      </c>
      <c r="E1013" t="s">
        <v>1220</v>
      </c>
      <c r="F1013" t="s">
        <v>5056</v>
      </c>
      <c r="G1013">
        <v>2025</v>
      </c>
      <c r="H1013" t="s">
        <v>1160</v>
      </c>
      <c r="I1013" t="s">
        <v>131</v>
      </c>
      <c r="J1013">
        <v>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Y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S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6</v>
      </c>
      <c r="BU1013">
        <v>51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C1013">
        <v>0</v>
      </c>
      <c r="DD1013">
        <v>0</v>
      </c>
      <c r="DE1013">
        <v>0</v>
      </c>
      <c r="DF1013">
        <v>0</v>
      </c>
      <c r="DH1013">
        <v>0</v>
      </c>
      <c r="DI1013">
        <v>0</v>
      </c>
    </row>
    <row r="1014" spans="1:113" ht="15" customHeight="1" x14ac:dyDescent="0.25">
      <c r="A1014" t="s">
        <v>5057</v>
      </c>
      <c r="B1014" t="s">
        <v>5058</v>
      </c>
      <c r="C1014" t="s">
        <v>5059</v>
      </c>
      <c r="D1014" t="s">
        <v>1655</v>
      </c>
      <c r="E1014" t="s">
        <v>1220</v>
      </c>
      <c r="F1014" t="s">
        <v>5060</v>
      </c>
      <c r="G1014">
        <v>2025</v>
      </c>
      <c r="H1014" t="s">
        <v>1160</v>
      </c>
      <c r="I1014" t="s">
        <v>96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Y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S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2</v>
      </c>
      <c r="BU1014">
        <v>15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C1014">
        <v>0</v>
      </c>
      <c r="DD1014">
        <v>0</v>
      </c>
      <c r="DE1014">
        <v>0</v>
      </c>
      <c r="DF1014">
        <v>0</v>
      </c>
      <c r="DH1014">
        <v>0</v>
      </c>
      <c r="DI1014">
        <v>0</v>
      </c>
    </row>
    <row r="1015" spans="1:113" ht="15" customHeight="1" x14ac:dyDescent="0.25">
      <c r="A1015" t="s">
        <v>5061</v>
      </c>
      <c r="B1015" t="s">
        <v>5062</v>
      </c>
      <c r="C1015" t="s">
        <v>5063</v>
      </c>
      <c r="D1015" t="s">
        <v>1189</v>
      </c>
      <c r="E1015" t="s">
        <v>1190</v>
      </c>
      <c r="F1015" t="s">
        <v>5064</v>
      </c>
      <c r="G1015">
        <v>2025</v>
      </c>
      <c r="H1015" t="s">
        <v>1160</v>
      </c>
      <c r="I1015" t="s">
        <v>93</v>
      </c>
      <c r="J1015">
        <v>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Y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S1015">
        <v>0</v>
      </c>
      <c r="AU1015">
        <v>0</v>
      </c>
      <c r="AV1015">
        <v>0</v>
      </c>
      <c r="AW1015">
        <v>0</v>
      </c>
      <c r="AX1015">
        <v>0</v>
      </c>
      <c r="AY1015">
        <v>6</v>
      </c>
      <c r="AZ1015">
        <v>0</v>
      </c>
      <c r="BA1015">
        <v>12</v>
      </c>
      <c r="BB1015">
        <v>1</v>
      </c>
      <c r="BC1015">
        <v>1</v>
      </c>
      <c r="BD1015">
        <v>0</v>
      </c>
      <c r="BE1015">
        <v>1</v>
      </c>
      <c r="BF1015">
        <v>0</v>
      </c>
      <c r="BG1015">
        <v>2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C1015">
        <v>0</v>
      </c>
      <c r="DD1015">
        <v>0</v>
      </c>
      <c r="DE1015">
        <v>0</v>
      </c>
      <c r="DF1015">
        <v>0</v>
      </c>
      <c r="DH1015">
        <v>0</v>
      </c>
      <c r="DI1015">
        <v>0</v>
      </c>
    </row>
    <row r="1016" spans="1:113" ht="15" customHeight="1" x14ac:dyDescent="0.25">
      <c r="A1016" t="s">
        <v>5065</v>
      </c>
      <c r="B1016" t="s">
        <v>5066</v>
      </c>
      <c r="C1016" t="s">
        <v>5067</v>
      </c>
      <c r="D1016" t="s">
        <v>1684</v>
      </c>
      <c r="E1016" t="s">
        <v>1307</v>
      </c>
      <c r="F1016" t="s">
        <v>5068</v>
      </c>
      <c r="G1016">
        <v>2025</v>
      </c>
      <c r="H1016" t="s">
        <v>1160</v>
      </c>
      <c r="I1016" t="s">
        <v>137</v>
      </c>
      <c r="J1016">
        <v>12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Y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S1016">
        <v>0</v>
      </c>
      <c r="AU1016">
        <v>0</v>
      </c>
      <c r="AV1016">
        <v>0</v>
      </c>
      <c r="AW1016">
        <v>0</v>
      </c>
      <c r="AX1016">
        <v>0</v>
      </c>
      <c r="AY1016">
        <v>21</v>
      </c>
      <c r="AZ1016">
        <v>1</v>
      </c>
      <c r="BA1016">
        <v>25</v>
      </c>
      <c r="BB1016">
        <v>3</v>
      </c>
      <c r="BC1016">
        <v>21</v>
      </c>
      <c r="BD1016">
        <v>1</v>
      </c>
      <c r="BE1016">
        <v>2</v>
      </c>
      <c r="BF1016">
        <v>20</v>
      </c>
      <c r="BG1016">
        <v>2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1</v>
      </c>
      <c r="BR1016">
        <v>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C1016">
        <v>0</v>
      </c>
      <c r="DD1016">
        <v>0</v>
      </c>
      <c r="DE1016">
        <v>0</v>
      </c>
      <c r="DF1016">
        <v>0</v>
      </c>
      <c r="DH1016">
        <v>0</v>
      </c>
      <c r="DI1016">
        <v>0</v>
      </c>
    </row>
    <row r="1017" spans="1:113" ht="15" customHeight="1" x14ac:dyDescent="0.25">
      <c r="A1017" t="s">
        <v>5069</v>
      </c>
      <c r="B1017" t="s">
        <v>5070</v>
      </c>
      <c r="C1017" t="s">
        <v>5071</v>
      </c>
      <c r="D1017" t="s">
        <v>1219</v>
      </c>
      <c r="E1017" t="s">
        <v>1220</v>
      </c>
      <c r="F1017" t="s">
        <v>5072</v>
      </c>
      <c r="G1017">
        <v>2025</v>
      </c>
      <c r="H1017" t="s">
        <v>1160</v>
      </c>
      <c r="I1017" t="s">
        <v>131</v>
      </c>
      <c r="J1017">
        <v>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Y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5</v>
      </c>
      <c r="BU1017">
        <v>35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C1017">
        <v>0</v>
      </c>
      <c r="DD1017">
        <v>0</v>
      </c>
      <c r="DE1017">
        <v>0</v>
      </c>
      <c r="DF1017">
        <v>0</v>
      </c>
      <c r="DH1017">
        <v>0</v>
      </c>
      <c r="DI1017">
        <v>0</v>
      </c>
    </row>
    <row r="1018" spans="1:113" ht="15" customHeight="1" x14ac:dyDescent="0.25">
      <c r="A1018" t="s">
        <v>5073</v>
      </c>
      <c r="B1018" t="s">
        <v>5074</v>
      </c>
      <c r="C1018" t="s">
        <v>764</v>
      </c>
      <c r="D1018" t="s">
        <v>439</v>
      </c>
      <c r="E1018" t="s">
        <v>439</v>
      </c>
      <c r="F1018" t="s">
        <v>5075</v>
      </c>
      <c r="G1018">
        <v>2025</v>
      </c>
      <c r="H1018" t="s">
        <v>1160</v>
      </c>
      <c r="I1018" t="s">
        <v>103</v>
      </c>
      <c r="J1018">
        <v>14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Y1018">
        <v>0</v>
      </c>
      <c r="AA1018">
        <v>15</v>
      </c>
      <c r="AB1018">
        <v>43</v>
      </c>
      <c r="AC1018">
        <v>2</v>
      </c>
      <c r="AD1018">
        <v>0</v>
      </c>
      <c r="AE1018">
        <v>0</v>
      </c>
      <c r="AF1018">
        <v>11</v>
      </c>
      <c r="AG1018">
        <v>8.5562011965084803</v>
      </c>
      <c r="AH1018">
        <v>0</v>
      </c>
      <c r="AI1018">
        <v>3</v>
      </c>
      <c r="AJ1018">
        <v>4</v>
      </c>
      <c r="AK1018">
        <v>21</v>
      </c>
      <c r="AL1018">
        <v>1</v>
      </c>
      <c r="AM1018">
        <v>0</v>
      </c>
      <c r="AN1018">
        <v>0</v>
      </c>
      <c r="AO1018">
        <v>26</v>
      </c>
      <c r="AP1018">
        <v>5</v>
      </c>
      <c r="AQ1018">
        <v>1</v>
      </c>
      <c r="AR1018">
        <v>1.4109547670232101</v>
      </c>
      <c r="AS1018">
        <v>0</v>
      </c>
      <c r="AT1018">
        <v>0.80769230769230804</v>
      </c>
      <c r="AU1018">
        <v>7.6628352490421504E-3</v>
      </c>
      <c r="AV1018">
        <v>7.9268292682926796E-3</v>
      </c>
      <c r="AW1018">
        <v>1.7043033361368101E-2</v>
      </c>
      <c r="AX1018">
        <v>0</v>
      </c>
      <c r="AY1018">
        <v>3</v>
      </c>
      <c r="AZ1018">
        <v>0</v>
      </c>
      <c r="BA1018">
        <v>6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</v>
      </c>
      <c r="BU1018">
        <v>15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C1018">
        <v>0</v>
      </c>
      <c r="DD1018">
        <v>0</v>
      </c>
      <c r="DE1018">
        <v>0</v>
      </c>
      <c r="DF1018">
        <v>0</v>
      </c>
      <c r="DH1018">
        <v>24.4</v>
      </c>
      <c r="DI1018">
        <v>27.4</v>
      </c>
    </row>
    <row r="1019" spans="1:113" ht="15" customHeight="1" x14ac:dyDescent="0.25">
      <c r="A1019" t="s">
        <v>5076</v>
      </c>
      <c r="B1019" t="s">
        <v>5077</v>
      </c>
      <c r="C1019" t="s">
        <v>5078</v>
      </c>
      <c r="D1019" t="s">
        <v>439</v>
      </c>
      <c r="E1019" t="s">
        <v>439</v>
      </c>
      <c r="F1019" t="s">
        <v>5079</v>
      </c>
      <c r="G1019">
        <v>2025</v>
      </c>
      <c r="H1019" t="s">
        <v>1160</v>
      </c>
      <c r="I1019" t="s">
        <v>118</v>
      </c>
      <c r="J1019">
        <v>11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Y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H1019">
        <v>0</v>
      </c>
      <c r="AI1019">
        <v>12</v>
      </c>
      <c r="AJ1019">
        <v>15</v>
      </c>
      <c r="AK1019">
        <v>72</v>
      </c>
      <c r="AL1019">
        <v>1</v>
      </c>
      <c r="AM1019">
        <v>0</v>
      </c>
      <c r="AN1019">
        <v>0</v>
      </c>
      <c r="AO1019">
        <v>24</v>
      </c>
      <c r="AP1019">
        <v>57</v>
      </c>
      <c r="AQ1019">
        <v>4</v>
      </c>
      <c r="AR1019">
        <v>3.7618108466267599</v>
      </c>
      <c r="AS1019">
        <v>0</v>
      </c>
      <c r="AT1019">
        <v>3</v>
      </c>
      <c r="AU1019">
        <v>3.2608695652173898E-2</v>
      </c>
      <c r="AV1019">
        <v>5.6035489143124E-3</v>
      </c>
      <c r="AW1019">
        <v>5.2835527718279499E-2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4</v>
      </c>
      <c r="BU1019">
        <v>25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C1019">
        <v>0</v>
      </c>
      <c r="DD1019">
        <v>0</v>
      </c>
      <c r="DE1019">
        <v>0</v>
      </c>
      <c r="DF1019">
        <v>0</v>
      </c>
      <c r="DH1019">
        <v>13.2</v>
      </c>
      <c r="DI1019">
        <v>25.2</v>
      </c>
    </row>
    <row r="1020" spans="1:113" ht="15" customHeight="1" x14ac:dyDescent="0.25">
      <c r="A1020" t="s">
        <v>5080</v>
      </c>
      <c r="B1020" t="s">
        <v>3028</v>
      </c>
      <c r="C1020" t="s">
        <v>5081</v>
      </c>
      <c r="D1020" t="s">
        <v>1350</v>
      </c>
      <c r="E1020" t="s">
        <v>1307</v>
      </c>
      <c r="F1020" t="s">
        <v>5082</v>
      </c>
      <c r="G1020">
        <v>2025</v>
      </c>
      <c r="H1020" t="s">
        <v>1160</v>
      </c>
      <c r="I1020" t="s">
        <v>101</v>
      </c>
      <c r="J1020">
        <v>10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Y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>
        <v>0</v>
      </c>
      <c r="AU1020">
        <v>0</v>
      </c>
      <c r="AV1020">
        <v>0</v>
      </c>
      <c r="AW1020">
        <v>0</v>
      </c>
      <c r="AX1020">
        <v>0</v>
      </c>
      <c r="AY1020">
        <v>12</v>
      </c>
      <c r="AZ1020">
        <v>0</v>
      </c>
      <c r="BA1020">
        <v>9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1</v>
      </c>
      <c r="BU1020">
        <v>6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C1020">
        <v>0</v>
      </c>
      <c r="DD1020">
        <v>0</v>
      </c>
      <c r="DE1020">
        <v>0</v>
      </c>
      <c r="DF1020">
        <v>0</v>
      </c>
      <c r="DH1020">
        <v>0</v>
      </c>
      <c r="DI1020">
        <v>0</v>
      </c>
    </row>
    <row r="1021" spans="1:113" ht="15" customHeight="1" x14ac:dyDescent="0.25">
      <c r="A1021" t="s">
        <v>5083</v>
      </c>
      <c r="B1021" t="s">
        <v>5084</v>
      </c>
      <c r="C1021" t="s">
        <v>5085</v>
      </c>
      <c r="D1021" t="s">
        <v>1189</v>
      </c>
      <c r="E1021" t="s">
        <v>1190</v>
      </c>
      <c r="F1021" t="s">
        <v>5086</v>
      </c>
      <c r="G1021">
        <v>2025</v>
      </c>
      <c r="H1021" t="s">
        <v>1160</v>
      </c>
      <c r="I1021" t="s">
        <v>112</v>
      </c>
      <c r="J1021">
        <v>16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Y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S1021">
        <v>0</v>
      </c>
      <c r="AU1021">
        <v>0</v>
      </c>
      <c r="AV1021">
        <v>0</v>
      </c>
      <c r="AW1021">
        <v>0</v>
      </c>
      <c r="AX1021">
        <v>0</v>
      </c>
      <c r="AY1021">
        <v>18</v>
      </c>
      <c r="AZ1021">
        <v>0</v>
      </c>
      <c r="BA1021">
        <v>17</v>
      </c>
      <c r="BB1021">
        <v>6</v>
      </c>
      <c r="BC1021">
        <v>47</v>
      </c>
      <c r="BD1021">
        <v>1</v>
      </c>
      <c r="BE1021">
        <v>5.5</v>
      </c>
      <c r="BF1021">
        <v>46.5</v>
      </c>
      <c r="BG1021">
        <v>13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1</v>
      </c>
      <c r="BR1021">
        <v>1</v>
      </c>
      <c r="BS1021">
        <v>0</v>
      </c>
      <c r="BT1021">
        <v>4</v>
      </c>
      <c r="BU1021">
        <v>43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C1021">
        <v>0</v>
      </c>
      <c r="DD1021">
        <v>0</v>
      </c>
      <c r="DE1021">
        <v>0</v>
      </c>
      <c r="DF1021">
        <v>0</v>
      </c>
      <c r="DH1021">
        <v>0</v>
      </c>
      <c r="DI1021">
        <v>0</v>
      </c>
    </row>
    <row r="1022" spans="1:113" ht="15" customHeight="1" x14ac:dyDescent="0.25">
      <c r="A1022" t="s">
        <v>5087</v>
      </c>
      <c r="B1022" t="s">
        <v>5088</v>
      </c>
      <c r="C1022" t="s">
        <v>990</v>
      </c>
      <c r="D1022" t="s">
        <v>439</v>
      </c>
      <c r="E1022" t="s">
        <v>439</v>
      </c>
      <c r="F1022" t="s">
        <v>5089</v>
      </c>
      <c r="G1022">
        <v>2025</v>
      </c>
      <c r="H1022" t="s">
        <v>1160</v>
      </c>
      <c r="I1022" t="s">
        <v>126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Y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S1022">
        <v>0</v>
      </c>
      <c r="AU1022">
        <v>0</v>
      </c>
      <c r="AV1022">
        <v>0</v>
      </c>
      <c r="AW1022">
        <v>0</v>
      </c>
      <c r="AX1022">
        <v>0</v>
      </c>
      <c r="AY1022">
        <v>1</v>
      </c>
      <c r="AZ1022">
        <v>0</v>
      </c>
      <c r="BA1022">
        <v>2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C1022">
        <v>0</v>
      </c>
      <c r="DD1022">
        <v>0</v>
      </c>
      <c r="DE1022">
        <v>0</v>
      </c>
      <c r="DF1022">
        <v>0</v>
      </c>
      <c r="DH1022">
        <v>0</v>
      </c>
      <c r="DI1022">
        <v>0</v>
      </c>
    </row>
    <row r="1023" spans="1:113" ht="15" customHeight="1" x14ac:dyDescent="0.25">
      <c r="A1023" t="s">
        <v>5090</v>
      </c>
      <c r="B1023" t="s">
        <v>3321</v>
      </c>
      <c r="C1023" t="s">
        <v>5091</v>
      </c>
      <c r="D1023" t="s">
        <v>1350</v>
      </c>
      <c r="E1023" t="s">
        <v>1307</v>
      </c>
      <c r="F1023" t="s">
        <v>5092</v>
      </c>
      <c r="G1023">
        <v>2025</v>
      </c>
      <c r="H1023" t="s">
        <v>1160</v>
      </c>
      <c r="I1023" t="s">
        <v>106</v>
      </c>
      <c r="J1023">
        <v>14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Y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S1023">
        <v>0</v>
      </c>
      <c r="AU1023">
        <v>0</v>
      </c>
      <c r="AV1023">
        <v>0</v>
      </c>
      <c r="AW1023">
        <v>0</v>
      </c>
      <c r="AX1023">
        <v>0</v>
      </c>
      <c r="AY1023">
        <v>43</v>
      </c>
      <c r="AZ1023">
        <v>0</v>
      </c>
      <c r="BA1023">
        <v>8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2</v>
      </c>
      <c r="BI1023">
        <v>0</v>
      </c>
      <c r="BJ1023">
        <v>12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2</v>
      </c>
      <c r="BU1023">
        <v>21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C1023">
        <v>0</v>
      </c>
      <c r="DD1023">
        <v>0</v>
      </c>
      <c r="DE1023">
        <v>0</v>
      </c>
      <c r="DF1023">
        <v>0</v>
      </c>
      <c r="DH1023">
        <v>0</v>
      </c>
      <c r="DI1023">
        <v>0</v>
      </c>
    </row>
    <row r="1024" spans="1:113" ht="15" customHeight="1" x14ac:dyDescent="0.25">
      <c r="A1024" t="s">
        <v>5093</v>
      </c>
      <c r="B1024" t="s">
        <v>5094</v>
      </c>
      <c r="C1024" t="s">
        <v>5095</v>
      </c>
      <c r="D1024" t="s">
        <v>1234</v>
      </c>
      <c r="E1024" t="s">
        <v>1234</v>
      </c>
      <c r="F1024" t="s">
        <v>5096</v>
      </c>
      <c r="G1024">
        <v>2025</v>
      </c>
      <c r="H1024" t="s">
        <v>1160</v>
      </c>
      <c r="I1024" t="s">
        <v>133</v>
      </c>
      <c r="J1024">
        <v>14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Y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S1024">
        <v>0</v>
      </c>
      <c r="AU1024">
        <v>0</v>
      </c>
      <c r="AV1024">
        <v>0</v>
      </c>
      <c r="AW1024">
        <v>0</v>
      </c>
      <c r="AX1024">
        <v>0</v>
      </c>
      <c r="AY1024">
        <v>7</v>
      </c>
      <c r="AZ1024">
        <v>1</v>
      </c>
      <c r="BA1024">
        <v>14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C1024">
        <v>0</v>
      </c>
      <c r="DD1024">
        <v>0</v>
      </c>
      <c r="DE1024">
        <v>0</v>
      </c>
      <c r="DF1024">
        <v>0</v>
      </c>
      <c r="DH1024">
        <v>0</v>
      </c>
      <c r="DI1024">
        <v>0</v>
      </c>
    </row>
    <row r="1025" spans="1:113" ht="15" customHeight="1" x14ac:dyDescent="0.25">
      <c r="A1025" t="s">
        <v>5097</v>
      </c>
      <c r="B1025" t="s">
        <v>5098</v>
      </c>
      <c r="C1025" t="s">
        <v>5099</v>
      </c>
      <c r="D1025" t="s">
        <v>1234</v>
      </c>
      <c r="E1025" t="s">
        <v>1234</v>
      </c>
      <c r="F1025" t="s">
        <v>5100</v>
      </c>
      <c r="G1025">
        <v>2025</v>
      </c>
      <c r="H1025" t="s">
        <v>1160</v>
      </c>
      <c r="I1025" t="s">
        <v>101</v>
      </c>
      <c r="J1025">
        <v>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Y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S1025">
        <v>0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1</v>
      </c>
      <c r="BA1025">
        <v>1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2</v>
      </c>
      <c r="BU1025">
        <v>23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C1025">
        <v>0</v>
      </c>
      <c r="DD1025">
        <v>0</v>
      </c>
      <c r="DE1025">
        <v>0</v>
      </c>
      <c r="DF1025">
        <v>0</v>
      </c>
      <c r="DH1025">
        <v>0</v>
      </c>
      <c r="DI1025">
        <v>0</v>
      </c>
    </row>
    <row r="1026" spans="1:113" ht="15" customHeight="1" x14ac:dyDescent="0.25">
      <c r="A1026" t="s">
        <v>5101</v>
      </c>
      <c r="B1026" t="s">
        <v>5102</v>
      </c>
      <c r="C1026" t="s">
        <v>5103</v>
      </c>
      <c r="D1026" t="s">
        <v>1234</v>
      </c>
      <c r="E1026" t="s">
        <v>1234</v>
      </c>
      <c r="F1026" t="s">
        <v>5104</v>
      </c>
      <c r="G1026">
        <v>2025</v>
      </c>
      <c r="H1026" t="s">
        <v>1160</v>
      </c>
      <c r="I1026" t="s">
        <v>99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Y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S1026">
        <v>0</v>
      </c>
      <c r="AU1026">
        <v>0</v>
      </c>
      <c r="AV1026">
        <v>0</v>
      </c>
      <c r="AW1026">
        <v>0</v>
      </c>
      <c r="AX1026">
        <v>0</v>
      </c>
      <c r="AY1026">
        <v>2</v>
      </c>
      <c r="AZ1026">
        <v>0</v>
      </c>
      <c r="BA1026">
        <v>1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C1026">
        <v>0</v>
      </c>
      <c r="DD1026">
        <v>0</v>
      </c>
      <c r="DE1026">
        <v>0</v>
      </c>
      <c r="DF1026">
        <v>0</v>
      </c>
      <c r="DH1026">
        <v>0</v>
      </c>
      <c r="DI1026">
        <v>0</v>
      </c>
    </row>
    <row r="1027" spans="1:113" ht="15" customHeight="1" x14ac:dyDescent="0.25">
      <c r="A1027" t="s">
        <v>5105</v>
      </c>
      <c r="B1027" t="s">
        <v>5106</v>
      </c>
      <c r="C1027" t="s">
        <v>5107</v>
      </c>
      <c r="D1027" t="s">
        <v>1350</v>
      </c>
      <c r="E1027" t="s">
        <v>1307</v>
      </c>
      <c r="F1027" t="s">
        <v>5108</v>
      </c>
      <c r="G1027">
        <v>2025</v>
      </c>
      <c r="H1027" t="s">
        <v>1160</v>
      </c>
      <c r="I1027" t="s">
        <v>131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Y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S1027">
        <v>0</v>
      </c>
      <c r="AU1027">
        <v>0</v>
      </c>
      <c r="AV1027">
        <v>0</v>
      </c>
      <c r="AW1027">
        <v>0</v>
      </c>
      <c r="AX1027">
        <v>0</v>
      </c>
      <c r="AY1027">
        <v>2</v>
      </c>
      <c r="AZ1027">
        <v>0</v>
      </c>
      <c r="BA1027">
        <v>3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C1027">
        <v>0</v>
      </c>
      <c r="DD1027">
        <v>0</v>
      </c>
      <c r="DE1027">
        <v>0</v>
      </c>
      <c r="DF1027">
        <v>0</v>
      </c>
      <c r="DH1027">
        <v>0</v>
      </c>
      <c r="DI1027">
        <v>0</v>
      </c>
    </row>
    <row r="1028" spans="1:113" ht="15" customHeight="1" x14ac:dyDescent="0.25">
      <c r="A1028" t="s">
        <v>5109</v>
      </c>
      <c r="B1028" t="s">
        <v>1397</v>
      </c>
      <c r="C1028" t="s">
        <v>5110</v>
      </c>
      <c r="D1028" t="s">
        <v>1350</v>
      </c>
      <c r="E1028" t="s">
        <v>1307</v>
      </c>
      <c r="F1028" t="s">
        <v>5111</v>
      </c>
      <c r="G1028">
        <v>2025</v>
      </c>
      <c r="H1028" t="s">
        <v>1160</v>
      </c>
      <c r="I1028" t="s">
        <v>141</v>
      </c>
      <c r="J1028">
        <v>10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Y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S1028">
        <v>0</v>
      </c>
      <c r="AU1028">
        <v>0</v>
      </c>
      <c r="AV1028">
        <v>0</v>
      </c>
      <c r="AW1028">
        <v>0</v>
      </c>
      <c r="AX1028">
        <v>0</v>
      </c>
      <c r="AY1028">
        <v>6</v>
      </c>
      <c r="AZ1028">
        <v>0</v>
      </c>
      <c r="BA1028">
        <v>3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0</v>
      </c>
      <c r="BI1028">
        <v>0</v>
      </c>
      <c r="BJ1028">
        <v>1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2</v>
      </c>
      <c r="BU1028">
        <v>20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C1028">
        <v>0</v>
      </c>
      <c r="DD1028">
        <v>0</v>
      </c>
      <c r="DE1028">
        <v>0</v>
      </c>
      <c r="DF1028">
        <v>0</v>
      </c>
      <c r="DH1028">
        <v>0</v>
      </c>
      <c r="DI1028">
        <v>0</v>
      </c>
    </row>
    <row r="1029" spans="1:113" ht="15" customHeight="1" x14ac:dyDescent="0.25">
      <c r="A1029" t="s">
        <v>5112</v>
      </c>
      <c r="B1029" t="s">
        <v>5113</v>
      </c>
      <c r="C1029" t="s">
        <v>5114</v>
      </c>
      <c r="D1029" t="s">
        <v>1684</v>
      </c>
      <c r="E1029" t="s">
        <v>1307</v>
      </c>
      <c r="F1029" t="s">
        <v>5115</v>
      </c>
      <c r="G1029">
        <v>2025</v>
      </c>
      <c r="H1029" t="s">
        <v>1160</v>
      </c>
      <c r="I1029" t="s">
        <v>124</v>
      </c>
      <c r="J1029">
        <v>11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Y1029">
        <v>0</v>
      </c>
      <c r="AA1029">
        <v>1</v>
      </c>
      <c r="AB1029">
        <v>3</v>
      </c>
      <c r="AC1029">
        <v>0</v>
      </c>
      <c r="AD1029">
        <v>0</v>
      </c>
      <c r="AE1029">
        <v>0</v>
      </c>
      <c r="AF1029">
        <v>1</v>
      </c>
      <c r="AG1029">
        <v>2.11604989506304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S1029">
        <v>0</v>
      </c>
      <c r="AU1029">
        <v>0</v>
      </c>
      <c r="AV1029">
        <v>0</v>
      </c>
      <c r="AW1029">
        <v>0</v>
      </c>
      <c r="AX1029">
        <v>0</v>
      </c>
      <c r="AY1029">
        <v>13</v>
      </c>
      <c r="AZ1029">
        <v>1</v>
      </c>
      <c r="BA1029">
        <v>7</v>
      </c>
      <c r="BB1029">
        <v>1</v>
      </c>
      <c r="BC1029">
        <v>1</v>
      </c>
      <c r="BD1029">
        <v>0</v>
      </c>
      <c r="BE1029">
        <v>0</v>
      </c>
      <c r="BF1029">
        <v>0</v>
      </c>
      <c r="BG1029">
        <v>1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C1029">
        <v>0</v>
      </c>
      <c r="DD1029">
        <v>0</v>
      </c>
      <c r="DE1029">
        <v>0</v>
      </c>
      <c r="DF1029">
        <v>0</v>
      </c>
      <c r="DH1029">
        <v>0.3</v>
      </c>
      <c r="DI1029">
        <v>0.3</v>
      </c>
    </row>
    <row r="1030" spans="1:113" ht="15" customHeight="1" x14ac:dyDescent="0.25">
      <c r="A1030" t="s">
        <v>5116</v>
      </c>
      <c r="B1030" t="s">
        <v>5117</v>
      </c>
      <c r="C1030" t="s">
        <v>5118</v>
      </c>
      <c r="D1030" t="s">
        <v>1158</v>
      </c>
      <c r="E1030" t="s">
        <v>1158</v>
      </c>
      <c r="F1030" t="s">
        <v>5119</v>
      </c>
      <c r="G1030">
        <v>2025</v>
      </c>
      <c r="H1030" t="s">
        <v>1160</v>
      </c>
      <c r="I1030" t="s">
        <v>123</v>
      </c>
      <c r="J1030">
        <v>3</v>
      </c>
      <c r="K1030">
        <v>35</v>
      </c>
      <c r="L1030">
        <v>55</v>
      </c>
      <c r="M1030">
        <v>235</v>
      </c>
      <c r="N1030">
        <v>1</v>
      </c>
      <c r="O1030">
        <v>0</v>
      </c>
      <c r="P1030">
        <v>8</v>
      </c>
      <c r="Q1030">
        <v>-93</v>
      </c>
      <c r="R1030">
        <v>2</v>
      </c>
      <c r="S1030">
        <v>1</v>
      </c>
      <c r="T1030">
        <v>277</v>
      </c>
      <c r="U1030">
        <v>156</v>
      </c>
      <c r="V1030">
        <v>10</v>
      </c>
      <c r="W1030">
        <v>-30.1231291323971</v>
      </c>
      <c r="X1030">
        <v>-3.90130441922408</v>
      </c>
      <c r="Y1030">
        <v>0</v>
      </c>
      <c r="Z1030">
        <v>0.84837545126353797</v>
      </c>
      <c r="AA1030">
        <v>5</v>
      </c>
      <c r="AB1030">
        <v>18</v>
      </c>
      <c r="AC1030">
        <v>0</v>
      </c>
      <c r="AD1030">
        <v>1</v>
      </c>
      <c r="AE1030">
        <v>1</v>
      </c>
      <c r="AF1030">
        <v>0</v>
      </c>
      <c r="AG1030">
        <v>-5.5692386528535298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S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C1030">
        <v>0</v>
      </c>
      <c r="DD1030">
        <v>0</v>
      </c>
      <c r="DE1030">
        <v>0</v>
      </c>
      <c r="DF1030">
        <v>0</v>
      </c>
      <c r="DH1030">
        <v>11.2</v>
      </c>
      <c r="DI1030">
        <v>11.2</v>
      </c>
    </row>
    <row r="1031" spans="1:113" ht="15" customHeight="1" x14ac:dyDescent="0.25">
      <c r="A1031" t="s">
        <v>5120</v>
      </c>
      <c r="B1031" t="s">
        <v>4438</v>
      </c>
      <c r="C1031" t="s">
        <v>521</v>
      </c>
      <c r="D1031" t="s">
        <v>431</v>
      </c>
      <c r="E1031" t="s">
        <v>431</v>
      </c>
      <c r="F1031" t="s">
        <v>5121</v>
      </c>
      <c r="G1031">
        <v>2025</v>
      </c>
      <c r="H1031" t="s">
        <v>1160</v>
      </c>
      <c r="I1031" t="s">
        <v>104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Y1031">
        <v>0</v>
      </c>
      <c r="AA1031">
        <v>5</v>
      </c>
      <c r="AB1031">
        <v>37</v>
      </c>
      <c r="AC1031">
        <v>1</v>
      </c>
      <c r="AD1031">
        <v>0</v>
      </c>
      <c r="AE1031">
        <v>0</v>
      </c>
      <c r="AF1031">
        <v>2</v>
      </c>
      <c r="AG1031">
        <v>2.59840525046457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4</v>
      </c>
      <c r="AP1031">
        <v>0</v>
      </c>
      <c r="AQ1031">
        <v>0</v>
      </c>
      <c r="AR1031">
        <v>-0.16605298343347399</v>
      </c>
      <c r="AS1031">
        <v>0</v>
      </c>
      <c r="AT1031">
        <v>0</v>
      </c>
      <c r="AU1031">
        <v>1.8796992481203E-3</v>
      </c>
      <c r="AV1031">
        <v>8.0906148867313898E-4</v>
      </c>
      <c r="AW1031">
        <v>3.3858919142516499E-3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1</v>
      </c>
      <c r="BY1031">
        <v>23</v>
      </c>
      <c r="BZ1031">
        <v>0</v>
      </c>
      <c r="CA1031">
        <v>0</v>
      </c>
      <c r="CB1031">
        <v>0</v>
      </c>
      <c r="CC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C1031">
        <v>0</v>
      </c>
      <c r="DD1031">
        <v>0</v>
      </c>
      <c r="DE1031">
        <v>0</v>
      </c>
      <c r="DF1031">
        <v>0</v>
      </c>
      <c r="DH1031">
        <v>9.6999999999999993</v>
      </c>
      <c r="DI1031">
        <v>9.6999999999999993</v>
      </c>
    </row>
    <row r="1032" spans="1:113" ht="15" customHeight="1" x14ac:dyDescent="0.25">
      <c r="A1032" t="s">
        <v>5122</v>
      </c>
      <c r="B1032" t="s">
        <v>5123</v>
      </c>
      <c r="C1032" t="s">
        <v>5124</v>
      </c>
      <c r="D1032" t="s">
        <v>1684</v>
      </c>
      <c r="E1032" t="s">
        <v>1307</v>
      </c>
      <c r="F1032" t="s">
        <v>5125</v>
      </c>
      <c r="G1032">
        <v>2025</v>
      </c>
      <c r="H1032" t="s">
        <v>1160</v>
      </c>
      <c r="I1032" t="s">
        <v>140</v>
      </c>
      <c r="J1032">
        <v>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Y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S1032">
        <v>0</v>
      </c>
      <c r="AU1032">
        <v>0</v>
      </c>
      <c r="AV1032">
        <v>0</v>
      </c>
      <c r="AW1032">
        <v>0</v>
      </c>
      <c r="AX1032">
        <v>0</v>
      </c>
      <c r="AY1032">
        <v>5</v>
      </c>
      <c r="AZ1032">
        <v>1</v>
      </c>
      <c r="BA1032">
        <v>9</v>
      </c>
      <c r="BB1032">
        <v>1</v>
      </c>
      <c r="BC1032">
        <v>2</v>
      </c>
      <c r="BD1032">
        <v>0</v>
      </c>
      <c r="BE1032">
        <v>0.5</v>
      </c>
      <c r="BF1032">
        <v>4.5</v>
      </c>
      <c r="BG1032">
        <v>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C1032">
        <v>0</v>
      </c>
      <c r="DD1032">
        <v>0</v>
      </c>
      <c r="DE1032">
        <v>0</v>
      </c>
      <c r="DF1032">
        <v>0</v>
      </c>
      <c r="DH1032">
        <v>0</v>
      </c>
      <c r="DI1032">
        <v>0</v>
      </c>
    </row>
    <row r="1033" spans="1:113" ht="15" customHeight="1" x14ac:dyDescent="0.25">
      <c r="A1033" t="s">
        <v>5126</v>
      </c>
      <c r="B1033" t="s">
        <v>5127</v>
      </c>
      <c r="C1033" t="s">
        <v>5128</v>
      </c>
      <c r="D1033" t="s">
        <v>1655</v>
      </c>
      <c r="E1033" t="s">
        <v>1220</v>
      </c>
      <c r="F1033" t="s">
        <v>5129</v>
      </c>
      <c r="G1033">
        <v>2025</v>
      </c>
      <c r="H1033" t="s">
        <v>1160</v>
      </c>
      <c r="I1033" t="s">
        <v>112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Y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S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1</v>
      </c>
      <c r="BU1033">
        <v>5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C1033">
        <v>0</v>
      </c>
      <c r="DD1033">
        <v>0</v>
      </c>
      <c r="DE1033">
        <v>0</v>
      </c>
      <c r="DF1033">
        <v>0</v>
      </c>
      <c r="DH1033">
        <v>0</v>
      </c>
      <c r="DI1033">
        <v>0</v>
      </c>
    </row>
    <row r="1034" spans="1:113" ht="15" customHeight="1" x14ac:dyDescent="0.25">
      <c r="A1034" t="s">
        <v>5130</v>
      </c>
      <c r="B1034" t="s">
        <v>5131</v>
      </c>
      <c r="C1034" t="s">
        <v>846</v>
      </c>
      <c r="D1034" t="s">
        <v>439</v>
      </c>
      <c r="E1034" t="s">
        <v>439</v>
      </c>
      <c r="F1034" t="s">
        <v>5132</v>
      </c>
      <c r="G1034">
        <v>2025</v>
      </c>
      <c r="H1034" t="s">
        <v>1160</v>
      </c>
      <c r="I1034" t="s">
        <v>138</v>
      </c>
      <c r="J1034">
        <v>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Y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H1034">
        <v>0</v>
      </c>
      <c r="AI1034">
        <v>2</v>
      </c>
      <c r="AJ1034">
        <v>3</v>
      </c>
      <c r="AK1034">
        <v>17</v>
      </c>
      <c r="AL1034">
        <v>0</v>
      </c>
      <c r="AM1034">
        <v>0</v>
      </c>
      <c r="AN1034">
        <v>0</v>
      </c>
      <c r="AO1034">
        <v>13</v>
      </c>
      <c r="AP1034">
        <v>5</v>
      </c>
      <c r="AQ1034">
        <v>1</v>
      </c>
      <c r="AR1034">
        <v>1.1455184332444299</v>
      </c>
      <c r="AS1034">
        <v>0</v>
      </c>
      <c r="AT1034">
        <v>1.3076923076923099</v>
      </c>
      <c r="AU1034">
        <v>7.3710073710073704E-3</v>
      </c>
      <c r="AV1034">
        <v>3.7989479836352999E-3</v>
      </c>
      <c r="AW1034">
        <v>1.37157746450558E-2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4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C1034">
        <v>0</v>
      </c>
      <c r="DD1034">
        <v>0</v>
      </c>
      <c r="DE1034">
        <v>0</v>
      </c>
      <c r="DF1034">
        <v>0</v>
      </c>
      <c r="DH1034">
        <v>1.7</v>
      </c>
      <c r="DI1034">
        <v>3.7</v>
      </c>
    </row>
    <row r="1035" spans="1:113" ht="15" customHeight="1" x14ac:dyDescent="0.25">
      <c r="A1035" t="s">
        <v>5133</v>
      </c>
      <c r="B1035" t="s">
        <v>5134</v>
      </c>
      <c r="C1035" t="s">
        <v>860</v>
      </c>
      <c r="D1035" t="s">
        <v>439</v>
      </c>
      <c r="E1035" t="s">
        <v>439</v>
      </c>
      <c r="F1035" t="s">
        <v>5135</v>
      </c>
      <c r="G1035">
        <v>2025</v>
      </c>
      <c r="H1035" t="s">
        <v>1160</v>
      </c>
      <c r="I1035" t="s">
        <v>133</v>
      </c>
      <c r="J1035">
        <v>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Y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H1035">
        <v>0</v>
      </c>
      <c r="AI1035">
        <v>9</v>
      </c>
      <c r="AJ1035">
        <v>15</v>
      </c>
      <c r="AK1035">
        <v>91</v>
      </c>
      <c r="AL1035">
        <v>0</v>
      </c>
      <c r="AM1035">
        <v>0</v>
      </c>
      <c r="AN1035">
        <v>0</v>
      </c>
      <c r="AO1035">
        <v>119</v>
      </c>
      <c r="AP1035">
        <v>39</v>
      </c>
      <c r="AQ1035">
        <v>3</v>
      </c>
      <c r="AR1035">
        <v>-6.5083502657944301</v>
      </c>
      <c r="AS1035">
        <v>0</v>
      </c>
      <c r="AT1035">
        <v>0.76470588235294101</v>
      </c>
      <c r="AU1035">
        <v>3.2467532467532499E-2</v>
      </c>
      <c r="AV1035">
        <v>3.5395597858417602E-2</v>
      </c>
      <c r="AW1035">
        <v>7.3478217202190999E-2</v>
      </c>
      <c r="AX1035">
        <v>0</v>
      </c>
      <c r="AY1035">
        <v>1</v>
      </c>
      <c r="AZ1035">
        <v>0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</v>
      </c>
      <c r="BU1035">
        <v>10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C1035">
        <v>0</v>
      </c>
      <c r="DD1035">
        <v>0</v>
      </c>
      <c r="DE1035">
        <v>0</v>
      </c>
      <c r="DF1035">
        <v>0</v>
      </c>
      <c r="DH1035">
        <v>9.1</v>
      </c>
      <c r="DI1035">
        <v>18.100000000000001</v>
      </c>
    </row>
    <row r="1036" spans="1:113" ht="15" customHeight="1" x14ac:dyDescent="0.25">
      <c r="A1036" t="s">
        <v>5136</v>
      </c>
      <c r="B1036" t="s">
        <v>5137</v>
      </c>
      <c r="C1036" t="s">
        <v>5138</v>
      </c>
      <c r="D1036" t="s">
        <v>1189</v>
      </c>
      <c r="E1036" t="s">
        <v>1190</v>
      </c>
      <c r="F1036" t="s">
        <v>5139</v>
      </c>
      <c r="G1036">
        <v>2025</v>
      </c>
      <c r="H1036" t="s">
        <v>1160</v>
      </c>
      <c r="I1036" t="s">
        <v>118</v>
      </c>
      <c r="J1036">
        <v>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Y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S1036">
        <v>0</v>
      </c>
      <c r="AU1036">
        <v>0</v>
      </c>
      <c r="AV1036">
        <v>0</v>
      </c>
      <c r="AW1036">
        <v>0</v>
      </c>
      <c r="AX1036">
        <v>0</v>
      </c>
      <c r="AY1036">
        <v>5</v>
      </c>
      <c r="AZ1036">
        <v>0</v>
      </c>
      <c r="BA1036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2</v>
      </c>
      <c r="BU1036">
        <v>20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C1036">
        <v>0</v>
      </c>
      <c r="DD1036">
        <v>0</v>
      </c>
      <c r="DE1036">
        <v>0</v>
      </c>
      <c r="DF1036">
        <v>0</v>
      </c>
      <c r="DH1036">
        <v>0</v>
      </c>
      <c r="DI1036">
        <v>0</v>
      </c>
    </row>
    <row r="1037" spans="1:113" ht="15" customHeight="1" x14ac:dyDescent="0.25">
      <c r="A1037" t="s">
        <v>5140</v>
      </c>
      <c r="B1037" t="s">
        <v>5141</v>
      </c>
      <c r="C1037" t="s">
        <v>5142</v>
      </c>
      <c r="D1037" t="s">
        <v>10</v>
      </c>
      <c r="E1037" t="s">
        <v>10</v>
      </c>
      <c r="F1037" t="s">
        <v>5143</v>
      </c>
      <c r="G1037">
        <v>2025</v>
      </c>
      <c r="H1037" t="s">
        <v>1160</v>
      </c>
      <c r="I1037" t="s">
        <v>109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Y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S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1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1</v>
      </c>
      <c r="BY1037">
        <v>28</v>
      </c>
      <c r="BZ1037">
        <v>0</v>
      </c>
      <c r="CA1037">
        <v>0</v>
      </c>
      <c r="CB1037">
        <v>0</v>
      </c>
      <c r="CC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C1037">
        <v>0</v>
      </c>
      <c r="DD1037">
        <v>0</v>
      </c>
      <c r="DE1037">
        <v>0</v>
      </c>
      <c r="DF1037">
        <v>0</v>
      </c>
      <c r="DH1037">
        <v>0</v>
      </c>
      <c r="DI1037">
        <v>0</v>
      </c>
    </row>
    <row r="1038" spans="1:113" ht="15" customHeight="1" x14ac:dyDescent="0.25">
      <c r="A1038" t="s">
        <v>5144</v>
      </c>
      <c r="B1038" t="s">
        <v>5145</v>
      </c>
      <c r="C1038" t="s">
        <v>5146</v>
      </c>
      <c r="D1038" t="s">
        <v>1350</v>
      </c>
      <c r="E1038" t="s">
        <v>1307</v>
      </c>
      <c r="F1038" t="s">
        <v>5147</v>
      </c>
      <c r="G1038">
        <v>2025</v>
      </c>
      <c r="H1038" t="s">
        <v>1160</v>
      </c>
      <c r="I1038" t="s">
        <v>115</v>
      </c>
      <c r="J1038">
        <v>16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Y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S1038">
        <v>0</v>
      </c>
      <c r="AU1038">
        <v>0</v>
      </c>
      <c r="AV1038">
        <v>0</v>
      </c>
      <c r="AW1038">
        <v>0</v>
      </c>
      <c r="AX1038">
        <v>0</v>
      </c>
      <c r="AY1038">
        <v>40</v>
      </c>
      <c r="AZ1038">
        <v>0</v>
      </c>
      <c r="BA1038">
        <v>16</v>
      </c>
      <c r="BB1038">
        <v>5</v>
      </c>
      <c r="BC1038">
        <v>30</v>
      </c>
      <c r="BD1038">
        <v>2</v>
      </c>
      <c r="BE1038">
        <v>4</v>
      </c>
      <c r="BF1038">
        <v>25</v>
      </c>
      <c r="BG1038">
        <v>4</v>
      </c>
      <c r="BH1038">
        <v>2</v>
      </c>
      <c r="BI1038">
        <v>61</v>
      </c>
      <c r="BJ1038">
        <v>9</v>
      </c>
      <c r="BK1038">
        <v>1</v>
      </c>
      <c r="BL1038">
        <v>2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2</v>
      </c>
      <c r="BU1038">
        <v>20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C1038">
        <v>0</v>
      </c>
      <c r="DD1038">
        <v>0</v>
      </c>
      <c r="DE1038">
        <v>0</v>
      </c>
      <c r="DF1038">
        <v>0</v>
      </c>
      <c r="DH1038">
        <v>0</v>
      </c>
      <c r="DI1038">
        <v>0</v>
      </c>
    </row>
    <row r="1039" spans="1:113" ht="15" customHeight="1" x14ac:dyDescent="0.25">
      <c r="A1039" t="s">
        <v>5148</v>
      </c>
      <c r="B1039" t="s">
        <v>5149</v>
      </c>
      <c r="C1039" t="s">
        <v>5150</v>
      </c>
      <c r="D1039" t="s">
        <v>1350</v>
      </c>
      <c r="E1039" t="s">
        <v>1307</v>
      </c>
      <c r="F1039" t="s">
        <v>5151</v>
      </c>
      <c r="G1039">
        <v>2025</v>
      </c>
      <c r="H1039" t="s">
        <v>1160</v>
      </c>
      <c r="I1039" t="s">
        <v>104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Y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S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C1039">
        <v>0</v>
      </c>
      <c r="DD1039">
        <v>0</v>
      </c>
      <c r="DE1039">
        <v>0</v>
      </c>
      <c r="DF1039">
        <v>0</v>
      </c>
      <c r="DH1039">
        <v>0</v>
      </c>
      <c r="DI1039">
        <v>0</v>
      </c>
    </row>
    <row r="1040" spans="1:113" ht="15" customHeight="1" x14ac:dyDescent="0.25">
      <c r="A1040" t="s">
        <v>5152</v>
      </c>
      <c r="B1040" t="s">
        <v>5153</v>
      </c>
      <c r="C1040" t="s">
        <v>5154</v>
      </c>
      <c r="D1040" t="s">
        <v>1219</v>
      </c>
      <c r="E1040" t="s">
        <v>1220</v>
      </c>
      <c r="F1040" t="s">
        <v>5155</v>
      </c>
      <c r="G1040">
        <v>2025</v>
      </c>
      <c r="H1040" t="s">
        <v>1160</v>
      </c>
      <c r="I1040" t="s">
        <v>99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Y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S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2</v>
      </c>
      <c r="BU1040">
        <v>20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C1040">
        <v>0</v>
      </c>
      <c r="DD1040">
        <v>0</v>
      </c>
      <c r="DE1040">
        <v>0</v>
      </c>
      <c r="DF1040">
        <v>0</v>
      </c>
      <c r="DH1040">
        <v>0</v>
      </c>
      <c r="DI1040">
        <v>0</v>
      </c>
    </row>
    <row r="1041" spans="1:113" ht="15" customHeight="1" x14ac:dyDescent="0.25">
      <c r="A1041" t="s">
        <v>5156</v>
      </c>
      <c r="B1041" t="s">
        <v>5157</v>
      </c>
      <c r="C1041" t="s">
        <v>5158</v>
      </c>
      <c r="D1041" t="s">
        <v>1214</v>
      </c>
      <c r="E1041" t="s">
        <v>1169</v>
      </c>
      <c r="F1041" t="s">
        <v>5159</v>
      </c>
      <c r="G1041">
        <v>2025</v>
      </c>
      <c r="H1041" t="s">
        <v>1160</v>
      </c>
      <c r="I1041" t="s">
        <v>120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Y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S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C1041">
        <v>0</v>
      </c>
      <c r="DD1041">
        <v>0</v>
      </c>
      <c r="DE1041">
        <v>0</v>
      </c>
      <c r="DF1041">
        <v>0</v>
      </c>
      <c r="DH1041">
        <v>0</v>
      </c>
      <c r="DI1041">
        <v>0</v>
      </c>
    </row>
    <row r="1042" spans="1:113" ht="15" customHeight="1" x14ac:dyDescent="0.25">
      <c r="A1042" t="s">
        <v>5160</v>
      </c>
      <c r="B1042" t="s">
        <v>4438</v>
      </c>
      <c r="C1042" t="s">
        <v>5161</v>
      </c>
      <c r="D1042" t="s">
        <v>1655</v>
      </c>
      <c r="E1042" t="s">
        <v>1220</v>
      </c>
      <c r="F1042" t="s">
        <v>5162</v>
      </c>
      <c r="G1042">
        <v>2025</v>
      </c>
      <c r="H1042" t="s">
        <v>1160</v>
      </c>
      <c r="I1042" t="s">
        <v>114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Y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S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3</v>
      </c>
      <c r="BU1042">
        <v>25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C1042">
        <v>0</v>
      </c>
      <c r="DD1042">
        <v>0</v>
      </c>
      <c r="DE1042">
        <v>0</v>
      </c>
      <c r="DF1042">
        <v>0</v>
      </c>
      <c r="DH1042">
        <v>0</v>
      </c>
      <c r="DI1042">
        <v>0</v>
      </c>
    </row>
    <row r="1043" spans="1:113" ht="15" customHeight="1" x14ac:dyDescent="0.25">
      <c r="A1043" t="s">
        <v>5163</v>
      </c>
      <c r="B1043" t="s">
        <v>5164</v>
      </c>
      <c r="C1043" t="s">
        <v>5165</v>
      </c>
      <c r="D1043" t="s">
        <v>1219</v>
      </c>
      <c r="E1043" t="s">
        <v>1220</v>
      </c>
      <c r="F1043" t="s">
        <v>5166</v>
      </c>
      <c r="G1043">
        <v>2025</v>
      </c>
      <c r="H1043" t="s">
        <v>1160</v>
      </c>
      <c r="I1043" t="s">
        <v>99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Y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S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3</v>
      </c>
      <c r="BU1043">
        <v>15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C1043">
        <v>0</v>
      </c>
      <c r="DD1043">
        <v>0</v>
      </c>
      <c r="DE1043">
        <v>0</v>
      </c>
      <c r="DF1043">
        <v>0</v>
      </c>
      <c r="DH1043">
        <v>0</v>
      </c>
      <c r="DI1043">
        <v>0</v>
      </c>
    </row>
    <row r="1044" spans="1:113" ht="15" customHeight="1" x14ac:dyDescent="0.25">
      <c r="A1044" t="s">
        <v>5167</v>
      </c>
      <c r="B1044" t="s">
        <v>5168</v>
      </c>
      <c r="C1044" t="s">
        <v>5169</v>
      </c>
      <c r="D1044" t="s">
        <v>1189</v>
      </c>
      <c r="E1044" t="s">
        <v>1190</v>
      </c>
      <c r="F1044" t="s">
        <v>5170</v>
      </c>
      <c r="G1044">
        <v>2025</v>
      </c>
      <c r="H1044" t="s">
        <v>1160</v>
      </c>
      <c r="I1044" t="s">
        <v>101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Y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S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1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C1044">
        <v>0</v>
      </c>
      <c r="DD1044">
        <v>0</v>
      </c>
      <c r="DE1044">
        <v>0</v>
      </c>
      <c r="DF1044">
        <v>0</v>
      </c>
      <c r="DH1044">
        <v>0</v>
      </c>
      <c r="DI1044">
        <v>0</v>
      </c>
    </row>
    <row r="1045" spans="1:113" ht="15" customHeight="1" x14ac:dyDescent="0.25">
      <c r="A1045" t="s">
        <v>5171</v>
      </c>
      <c r="B1045" t="s">
        <v>5172</v>
      </c>
      <c r="C1045" t="s">
        <v>5173</v>
      </c>
      <c r="D1045" t="s">
        <v>1234</v>
      </c>
      <c r="E1045" t="s">
        <v>1234</v>
      </c>
      <c r="F1045" t="s">
        <v>5174</v>
      </c>
      <c r="G1045">
        <v>2025</v>
      </c>
      <c r="H1045" t="s">
        <v>1160</v>
      </c>
      <c r="I1045" t="s">
        <v>139</v>
      </c>
      <c r="J1045">
        <v>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Y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S1045">
        <v>0</v>
      </c>
      <c r="AU1045">
        <v>0</v>
      </c>
      <c r="AV1045">
        <v>0</v>
      </c>
      <c r="AW1045">
        <v>0</v>
      </c>
      <c r="AX1045">
        <v>0</v>
      </c>
      <c r="AY1045">
        <v>4</v>
      </c>
      <c r="AZ1045">
        <v>0</v>
      </c>
      <c r="BA1045">
        <v>2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C1045">
        <v>0</v>
      </c>
      <c r="DD1045">
        <v>0</v>
      </c>
      <c r="DE1045">
        <v>0</v>
      </c>
      <c r="DF1045">
        <v>0</v>
      </c>
      <c r="DH1045">
        <v>0</v>
      </c>
      <c r="DI1045">
        <v>0</v>
      </c>
    </row>
    <row r="1046" spans="1:113" ht="15" customHeight="1" x14ac:dyDescent="0.25">
      <c r="A1046" t="s">
        <v>5175</v>
      </c>
      <c r="B1046" t="s">
        <v>5176</v>
      </c>
      <c r="C1046" t="s">
        <v>5177</v>
      </c>
      <c r="D1046" t="s">
        <v>1234</v>
      </c>
      <c r="E1046" t="s">
        <v>1234</v>
      </c>
      <c r="F1046" t="s">
        <v>5178</v>
      </c>
      <c r="G1046">
        <v>2025</v>
      </c>
      <c r="H1046" t="s">
        <v>1160</v>
      </c>
      <c r="I1046" t="s">
        <v>121</v>
      </c>
      <c r="J1046">
        <v>12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Y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S1046">
        <v>0</v>
      </c>
      <c r="AU1046">
        <v>0</v>
      </c>
      <c r="AV1046">
        <v>0</v>
      </c>
      <c r="AW1046">
        <v>0</v>
      </c>
      <c r="AX1046">
        <v>0</v>
      </c>
      <c r="AY1046">
        <v>11</v>
      </c>
      <c r="AZ1046">
        <v>0</v>
      </c>
      <c r="BA1046">
        <v>8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C1046">
        <v>0</v>
      </c>
      <c r="DD1046">
        <v>0</v>
      </c>
      <c r="DE1046">
        <v>0</v>
      </c>
      <c r="DF1046">
        <v>0</v>
      </c>
      <c r="DH1046">
        <v>0</v>
      </c>
      <c r="DI1046">
        <v>0</v>
      </c>
    </row>
    <row r="1047" spans="1:113" ht="15" customHeight="1" x14ac:dyDescent="0.25">
      <c r="A1047" t="s">
        <v>5179</v>
      </c>
      <c r="B1047" t="s">
        <v>5180</v>
      </c>
      <c r="C1047" t="s">
        <v>5181</v>
      </c>
      <c r="D1047" t="s">
        <v>1684</v>
      </c>
      <c r="E1047" t="s">
        <v>1307</v>
      </c>
      <c r="F1047" t="s">
        <v>5182</v>
      </c>
      <c r="G1047">
        <v>2025</v>
      </c>
      <c r="H1047" t="s">
        <v>1160</v>
      </c>
      <c r="I1047" t="s">
        <v>89</v>
      </c>
      <c r="J1047">
        <v>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Y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S1047">
        <v>0</v>
      </c>
      <c r="AU1047">
        <v>0</v>
      </c>
      <c r="AV1047">
        <v>0</v>
      </c>
      <c r="AW1047">
        <v>0</v>
      </c>
      <c r="AX1047">
        <v>0</v>
      </c>
      <c r="AY1047">
        <v>11</v>
      </c>
      <c r="AZ1047">
        <v>0</v>
      </c>
      <c r="BA1047">
        <v>3</v>
      </c>
      <c r="BB1047">
        <v>2</v>
      </c>
      <c r="BC1047">
        <v>4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3</v>
      </c>
      <c r="BU1047">
        <v>30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C1047">
        <v>0</v>
      </c>
      <c r="DD1047">
        <v>0</v>
      </c>
      <c r="DE1047">
        <v>0</v>
      </c>
      <c r="DF1047">
        <v>0</v>
      </c>
      <c r="DH1047">
        <v>0</v>
      </c>
      <c r="DI1047">
        <v>0</v>
      </c>
    </row>
    <row r="1048" spans="1:113" ht="15" customHeight="1" x14ac:dyDescent="0.25">
      <c r="A1048" t="s">
        <v>5183</v>
      </c>
      <c r="B1048" t="s">
        <v>5184</v>
      </c>
      <c r="C1048" t="s">
        <v>5185</v>
      </c>
      <c r="D1048" t="s">
        <v>1684</v>
      </c>
      <c r="E1048" t="s">
        <v>1307</v>
      </c>
      <c r="F1048" t="s">
        <v>5186</v>
      </c>
      <c r="G1048">
        <v>2025</v>
      </c>
      <c r="H1048" t="s">
        <v>1160</v>
      </c>
      <c r="I1048" t="s">
        <v>139</v>
      </c>
      <c r="J1048">
        <v>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Y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0</v>
      </c>
      <c r="AU1048">
        <v>0</v>
      </c>
      <c r="AV1048">
        <v>0</v>
      </c>
      <c r="AW1048">
        <v>0</v>
      </c>
      <c r="AX1048">
        <v>0</v>
      </c>
      <c r="AY1048">
        <v>7</v>
      </c>
      <c r="AZ1048">
        <v>0</v>
      </c>
      <c r="BA1048">
        <v>2</v>
      </c>
      <c r="BB1048">
        <v>1</v>
      </c>
      <c r="BC1048">
        <v>3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C1048">
        <v>0</v>
      </c>
      <c r="DD1048">
        <v>0</v>
      </c>
      <c r="DE1048">
        <v>0</v>
      </c>
      <c r="DF1048">
        <v>0</v>
      </c>
      <c r="DH1048">
        <v>0</v>
      </c>
      <c r="DI1048">
        <v>0</v>
      </c>
    </row>
    <row r="1049" spans="1:113" ht="15" customHeight="1" x14ac:dyDescent="0.25">
      <c r="A1049" t="s">
        <v>5187</v>
      </c>
      <c r="B1049" t="s">
        <v>5188</v>
      </c>
      <c r="C1049" t="s">
        <v>914</v>
      </c>
      <c r="D1049" t="s">
        <v>439</v>
      </c>
      <c r="E1049" t="s">
        <v>439</v>
      </c>
      <c r="F1049" t="s">
        <v>5189</v>
      </c>
      <c r="G1049">
        <v>2025</v>
      </c>
      <c r="H1049" t="s">
        <v>1160</v>
      </c>
      <c r="I1049" t="s">
        <v>101</v>
      </c>
      <c r="J1049">
        <v>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Y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H1049">
        <v>0</v>
      </c>
      <c r="AI1049">
        <v>7</v>
      </c>
      <c r="AJ1049">
        <v>9</v>
      </c>
      <c r="AK1049">
        <v>52</v>
      </c>
      <c r="AL1049">
        <v>0</v>
      </c>
      <c r="AM1049">
        <v>0</v>
      </c>
      <c r="AN1049">
        <v>0</v>
      </c>
      <c r="AO1049">
        <v>42</v>
      </c>
      <c r="AP1049">
        <v>27</v>
      </c>
      <c r="AQ1049">
        <v>3</v>
      </c>
      <c r="AR1049">
        <v>2.38765157287708</v>
      </c>
      <c r="AS1049">
        <v>0</v>
      </c>
      <c r="AT1049">
        <v>1.2380952380952399</v>
      </c>
      <c r="AU1049">
        <v>1.90677966101695E-2</v>
      </c>
      <c r="AV1049">
        <v>1.2338425381903601E-2</v>
      </c>
      <c r="AW1049">
        <v>3.72385926825868E-2</v>
      </c>
      <c r="AX1049">
        <v>0</v>
      </c>
      <c r="AY1049">
        <v>4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C1049">
        <v>0</v>
      </c>
      <c r="DD1049">
        <v>0</v>
      </c>
      <c r="DE1049">
        <v>0</v>
      </c>
      <c r="DF1049">
        <v>0</v>
      </c>
      <c r="DH1049">
        <v>5.2</v>
      </c>
      <c r="DI1049">
        <v>12.2</v>
      </c>
    </row>
    <row r="1050" spans="1:113" ht="15" customHeight="1" x14ac:dyDescent="0.25">
      <c r="A1050" t="s">
        <v>5190</v>
      </c>
      <c r="B1050" t="s">
        <v>5191</v>
      </c>
      <c r="C1050" t="s">
        <v>5192</v>
      </c>
      <c r="D1050" t="s">
        <v>1219</v>
      </c>
      <c r="E1050" t="s">
        <v>1220</v>
      </c>
      <c r="F1050" t="s">
        <v>5193</v>
      </c>
      <c r="G1050">
        <v>2025</v>
      </c>
      <c r="H1050" t="s">
        <v>1160</v>
      </c>
      <c r="I1050" t="s">
        <v>103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Y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S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1</v>
      </c>
      <c r="BU1050">
        <v>4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C1050">
        <v>0</v>
      </c>
      <c r="DD1050">
        <v>0</v>
      </c>
      <c r="DE1050">
        <v>0</v>
      </c>
      <c r="DF1050">
        <v>0</v>
      </c>
      <c r="DH1050">
        <v>0</v>
      </c>
      <c r="DI1050">
        <v>0</v>
      </c>
    </row>
    <row r="1051" spans="1:113" ht="15" customHeight="1" x14ac:dyDescent="0.25">
      <c r="A1051" t="s">
        <v>5194</v>
      </c>
      <c r="B1051" t="s">
        <v>5195</v>
      </c>
      <c r="C1051" t="s">
        <v>466</v>
      </c>
      <c r="D1051" t="s">
        <v>10</v>
      </c>
      <c r="E1051" t="s">
        <v>10</v>
      </c>
      <c r="F1051" t="s">
        <v>5196</v>
      </c>
      <c r="G1051">
        <v>2025</v>
      </c>
      <c r="H1051" t="s">
        <v>1160</v>
      </c>
      <c r="I1051" t="s">
        <v>93</v>
      </c>
      <c r="J1051">
        <v>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Y1051">
        <v>0</v>
      </c>
      <c r="AA1051">
        <v>1</v>
      </c>
      <c r="AB1051">
        <v>5</v>
      </c>
      <c r="AC1051">
        <v>0</v>
      </c>
      <c r="AD1051">
        <v>0</v>
      </c>
      <c r="AE1051">
        <v>0</v>
      </c>
      <c r="AF1051">
        <v>0</v>
      </c>
      <c r="AG1051">
        <v>0.34703506808728002</v>
      </c>
      <c r="AH1051">
        <v>0</v>
      </c>
      <c r="AI1051">
        <v>3</v>
      </c>
      <c r="AJ1051">
        <v>3</v>
      </c>
      <c r="AK1051">
        <v>27</v>
      </c>
      <c r="AL1051">
        <v>0</v>
      </c>
      <c r="AM1051">
        <v>0</v>
      </c>
      <c r="AN1051">
        <v>0</v>
      </c>
      <c r="AO1051">
        <v>7</v>
      </c>
      <c r="AP1051">
        <v>20</v>
      </c>
      <c r="AQ1051">
        <v>1</v>
      </c>
      <c r="AR1051">
        <v>0.93355353141669195</v>
      </c>
      <c r="AS1051">
        <v>0</v>
      </c>
      <c r="AT1051">
        <v>3.8571428571428599</v>
      </c>
      <c r="AU1051">
        <v>5.78034682080925E-3</v>
      </c>
      <c r="AV1051">
        <v>1.6786570743405301E-3</v>
      </c>
      <c r="AW1051">
        <v>9.8455801832522394E-3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10</v>
      </c>
      <c r="BV1051">
        <v>6</v>
      </c>
      <c r="BW1051">
        <v>54</v>
      </c>
      <c r="BX1051">
        <v>12</v>
      </c>
      <c r="BY1051">
        <v>281</v>
      </c>
      <c r="BZ1051">
        <v>0</v>
      </c>
      <c r="CA1051">
        <v>0</v>
      </c>
      <c r="CB1051">
        <v>0</v>
      </c>
      <c r="CC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C1051">
        <v>0</v>
      </c>
      <c r="DD1051">
        <v>0</v>
      </c>
      <c r="DE1051">
        <v>0</v>
      </c>
      <c r="DF1051">
        <v>0</v>
      </c>
      <c r="DH1051">
        <v>3.2</v>
      </c>
      <c r="DI1051">
        <v>6.2</v>
      </c>
    </row>
    <row r="1052" spans="1:113" ht="15" customHeight="1" x14ac:dyDescent="0.25">
      <c r="A1052" t="s">
        <v>5197</v>
      </c>
      <c r="B1052" t="s">
        <v>3321</v>
      </c>
      <c r="C1052" t="s">
        <v>5198</v>
      </c>
      <c r="D1052" t="s">
        <v>1684</v>
      </c>
      <c r="E1052" t="s">
        <v>1307</v>
      </c>
      <c r="F1052" t="s">
        <v>5199</v>
      </c>
      <c r="G1052">
        <v>2025</v>
      </c>
      <c r="H1052" t="s">
        <v>1160</v>
      </c>
      <c r="I1052" t="s">
        <v>142</v>
      </c>
      <c r="J1052">
        <v>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Y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S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7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15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C1052">
        <v>0</v>
      </c>
      <c r="DD1052">
        <v>0</v>
      </c>
      <c r="DE1052">
        <v>0</v>
      </c>
      <c r="DF1052">
        <v>0</v>
      </c>
      <c r="DH1052">
        <v>0</v>
      </c>
      <c r="DI1052">
        <v>0</v>
      </c>
    </row>
    <row r="1053" spans="1:113" ht="15" customHeight="1" x14ac:dyDescent="0.25">
      <c r="A1053" t="s">
        <v>5200</v>
      </c>
      <c r="B1053" t="s">
        <v>5201</v>
      </c>
      <c r="C1053" t="s">
        <v>5202</v>
      </c>
      <c r="D1053" t="s">
        <v>1209</v>
      </c>
      <c r="E1053" t="s">
        <v>1169</v>
      </c>
      <c r="F1053" t="s">
        <v>5203</v>
      </c>
      <c r="G1053">
        <v>2025</v>
      </c>
      <c r="H1053" t="s">
        <v>1160</v>
      </c>
      <c r="I1053" t="s">
        <v>137</v>
      </c>
      <c r="J1053">
        <v>17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Y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S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C1053">
        <v>0</v>
      </c>
      <c r="DD1053">
        <v>0</v>
      </c>
      <c r="DE1053">
        <v>0</v>
      </c>
      <c r="DF1053">
        <v>0</v>
      </c>
      <c r="DH1053">
        <v>0</v>
      </c>
      <c r="DI1053">
        <v>0</v>
      </c>
    </row>
    <row r="1054" spans="1:113" ht="15" customHeight="1" x14ac:dyDescent="0.25">
      <c r="A1054" t="s">
        <v>5204</v>
      </c>
      <c r="B1054" t="s">
        <v>5205</v>
      </c>
      <c r="C1054" t="s">
        <v>5206</v>
      </c>
      <c r="D1054" t="s">
        <v>1684</v>
      </c>
      <c r="E1054" t="s">
        <v>1307</v>
      </c>
      <c r="F1054" t="s">
        <v>5207</v>
      </c>
      <c r="G1054">
        <v>2025</v>
      </c>
      <c r="H1054" t="s">
        <v>1160</v>
      </c>
      <c r="I1054" t="s">
        <v>89</v>
      </c>
      <c r="J1054">
        <v>17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Y1054">
        <v>0</v>
      </c>
      <c r="AA1054">
        <v>1</v>
      </c>
      <c r="AB1054">
        <v>3</v>
      </c>
      <c r="AC1054">
        <v>0</v>
      </c>
      <c r="AD1054">
        <v>0</v>
      </c>
      <c r="AE1054">
        <v>0</v>
      </c>
      <c r="AF1054">
        <v>0</v>
      </c>
      <c r="AG1054">
        <v>-2.9498673978960102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S1054">
        <v>0</v>
      </c>
      <c r="AU1054">
        <v>0</v>
      </c>
      <c r="AV1054">
        <v>0</v>
      </c>
      <c r="AW1054">
        <v>0</v>
      </c>
      <c r="AX1054">
        <v>0</v>
      </c>
      <c r="AY1054">
        <v>57</v>
      </c>
      <c r="AZ1054">
        <v>1</v>
      </c>
      <c r="BA1054">
        <v>34</v>
      </c>
      <c r="BB1054">
        <v>3</v>
      </c>
      <c r="BC1054">
        <v>4</v>
      </c>
      <c r="BD1054">
        <v>0</v>
      </c>
      <c r="BE1054">
        <v>0</v>
      </c>
      <c r="BF1054">
        <v>0</v>
      </c>
      <c r="BG1054">
        <v>0</v>
      </c>
      <c r="BH1054">
        <v>2</v>
      </c>
      <c r="BI1054">
        <v>0</v>
      </c>
      <c r="BJ1054">
        <v>4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3</v>
      </c>
      <c r="BU1054">
        <v>32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C1054">
        <v>0</v>
      </c>
      <c r="DD1054">
        <v>0</v>
      </c>
      <c r="DE1054">
        <v>0</v>
      </c>
      <c r="DF1054">
        <v>0</v>
      </c>
      <c r="DH1054">
        <v>0.3</v>
      </c>
      <c r="DI1054">
        <v>0.3</v>
      </c>
    </row>
    <row r="1055" spans="1:113" ht="15" customHeight="1" x14ac:dyDescent="0.25">
      <c r="A1055" t="s">
        <v>5208</v>
      </c>
      <c r="B1055" t="s">
        <v>5209</v>
      </c>
      <c r="C1055" t="s">
        <v>5210</v>
      </c>
      <c r="D1055" t="s">
        <v>1350</v>
      </c>
      <c r="E1055" t="s">
        <v>1307</v>
      </c>
      <c r="F1055" t="s">
        <v>5211</v>
      </c>
      <c r="G1055">
        <v>2025</v>
      </c>
      <c r="H1055" t="s">
        <v>1160</v>
      </c>
      <c r="I1055" t="s">
        <v>109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Y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S1055">
        <v>0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</v>
      </c>
      <c r="BA1055">
        <v>5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1</v>
      </c>
      <c r="BS1055">
        <v>1</v>
      </c>
      <c r="BT1055">
        <v>2</v>
      </c>
      <c r="BU1055">
        <v>20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C1055">
        <v>0</v>
      </c>
      <c r="DD1055">
        <v>0</v>
      </c>
      <c r="DE1055">
        <v>0</v>
      </c>
      <c r="DF1055">
        <v>0</v>
      </c>
      <c r="DH1055">
        <v>0</v>
      </c>
      <c r="DI1055">
        <v>0</v>
      </c>
    </row>
    <row r="1056" spans="1:113" ht="15" customHeight="1" x14ac:dyDescent="0.25">
      <c r="A1056" t="s">
        <v>5212</v>
      </c>
      <c r="B1056" t="s">
        <v>5213</v>
      </c>
      <c r="C1056" t="s">
        <v>5214</v>
      </c>
      <c r="D1056" t="s">
        <v>10</v>
      </c>
      <c r="E1056" t="s">
        <v>10</v>
      </c>
      <c r="F1056" t="s">
        <v>5215</v>
      </c>
      <c r="G1056">
        <v>2025</v>
      </c>
      <c r="H1056" t="s">
        <v>1160</v>
      </c>
      <c r="I1056" t="s">
        <v>143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Y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H1056">
        <v>0</v>
      </c>
      <c r="AI1056">
        <v>2</v>
      </c>
      <c r="AJ1056">
        <v>2</v>
      </c>
      <c r="AK1056">
        <v>23</v>
      </c>
      <c r="AL1056">
        <v>0</v>
      </c>
      <c r="AM1056">
        <v>0</v>
      </c>
      <c r="AN1056">
        <v>0</v>
      </c>
      <c r="AO1056">
        <v>18</v>
      </c>
      <c r="AP1056">
        <v>5</v>
      </c>
      <c r="AQ1056">
        <v>1</v>
      </c>
      <c r="AR1056">
        <v>2.5324949176283602</v>
      </c>
      <c r="AS1056">
        <v>0</v>
      </c>
      <c r="AT1056">
        <v>1.2777777777777799</v>
      </c>
      <c r="AU1056">
        <v>4.6296296296296302E-3</v>
      </c>
      <c r="AV1056">
        <v>4.5022511255627803E-3</v>
      </c>
      <c r="AW1056">
        <v>1.0096020232338399E-2</v>
      </c>
      <c r="AX1056">
        <v>0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</v>
      </c>
      <c r="BU1056">
        <v>13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C1056">
        <v>0</v>
      </c>
      <c r="DD1056">
        <v>0</v>
      </c>
      <c r="DE1056">
        <v>0</v>
      </c>
      <c r="DF1056">
        <v>0</v>
      </c>
      <c r="DH1056">
        <v>2.2999999999999998</v>
      </c>
      <c r="DI1056">
        <v>4.3</v>
      </c>
    </row>
    <row r="1057" spans="1:113" ht="15" customHeight="1" x14ac:dyDescent="0.25">
      <c r="A1057" t="s">
        <v>5216</v>
      </c>
      <c r="B1057" t="s">
        <v>5217</v>
      </c>
      <c r="C1057" t="s">
        <v>806</v>
      </c>
      <c r="D1057" t="s">
        <v>431</v>
      </c>
      <c r="E1057" t="s">
        <v>431</v>
      </c>
      <c r="F1057" t="s">
        <v>5218</v>
      </c>
      <c r="G1057">
        <v>2025</v>
      </c>
      <c r="H1057" t="s">
        <v>1160</v>
      </c>
      <c r="I1057" t="s">
        <v>137</v>
      </c>
      <c r="J1057">
        <v>16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Y1057">
        <v>0</v>
      </c>
      <c r="AA1057">
        <v>159</v>
      </c>
      <c r="AB1057">
        <v>758</v>
      </c>
      <c r="AC1057">
        <v>6</v>
      </c>
      <c r="AD1057">
        <v>2</v>
      </c>
      <c r="AE1057">
        <v>1</v>
      </c>
      <c r="AF1057">
        <v>47</v>
      </c>
      <c r="AG1057">
        <v>-5.77345446837717</v>
      </c>
      <c r="AH1057">
        <v>0</v>
      </c>
      <c r="AI1057">
        <v>14</v>
      </c>
      <c r="AJ1057">
        <v>16</v>
      </c>
      <c r="AK1057">
        <v>51</v>
      </c>
      <c r="AL1057">
        <v>0</v>
      </c>
      <c r="AM1057">
        <v>1</v>
      </c>
      <c r="AN1057">
        <v>0</v>
      </c>
      <c r="AO1057">
        <v>-52</v>
      </c>
      <c r="AP1057">
        <v>102</v>
      </c>
      <c r="AQ1057">
        <v>1</v>
      </c>
      <c r="AR1057">
        <v>-4.6077330963695298</v>
      </c>
      <c r="AS1057">
        <v>0</v>
      </c>
      <c r="AT1057">
        <v>-0.98076923076923095</v>
      </c>
      <c r="AU1057">
        <v>3.4188034188034198E-2</v>
      </c>
      <c r="AV1057">
        <v>-1.3840830449827E-2</v>
      </c>
      <c r="AW1057">
        <v>4.1593469967172399E-2</v>
      </c>
      <c r="AX1057">
        <v>0</v>
      </c>
      <c r="AY1057">
        <v>0</v>
      </c>
      <c r="AZ1057">
        <v>0</v>
      </c>
      <c r="BA1057">
        <v>1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C1057">
        <v>0</v>
      </c>
      <c r="DD1057">
        <v>0</v>
      </c>
      <c r="DE1057">
        <v>0</v>
      </c>
      <c r="DF1057">
        <v>0</v>
      </c>
      <c r="DH1057">
        <v>114.9</v>
      </c>
      <c r="DI1057">
        <v>128.9</v>
      </c>
    </row>
    <row r="1058" spans="1:113" ht="15" customHeight="1" x14ac:dyDescent="0.25">
      <c r="A1058" t="s">
        <v>5219</v>
      </c>
      <c r="B1058" t="s">
        <v>5220</v>
      </c>
      <c r="C1058" t="s">
        <v>5221</v>
      </c>
      <c r="D1058" t="s">
        <v>1234</v>
      </c>
      <c r="E1058" t="s">
        <v>1234</v>
      </c>
      <c r="F1058" t="s">
        <v>5222</v>
      </c>
      <c r="G1058">
        <v>2025</v>
      </c>
      <c r="H1058" t="s">
        <v>1160</v>
      </c>
      <c r="I1058" t="s">
        <v>101</v>
      </c>
      <c r="J1058">
        <v>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Y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S1058">
        <v>0</v>
      </c>
      <c r="AU1058">
        <v>0</v>
      </c>
      <c r="AV1058">
        <v>0</v>
      </c>
      <c r="AW1058">
        <v>0</v>
      </c>
      <c r="AX1058">
        <v>0</v>
      </c>
      <c r="AY1058">
        <v>11</v>
      </c>
      <c r="AZ1058">
        <v>0</v>
      </c>
      <c r="BA1058">
        <v>12</v>
      </c>
      <c r="BB1058">
        <v>1</v>
      </c>
      <c r="BC1058">
        <v>1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</v>
      </c>
      <c r="BU1058">
        <v>14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C1058">
        <v>0</v>
      </c>
      <c r="DD1058">
        <v>0</v>
      </c>
      <c r="DE1058">
        <v>0</v>
      </c>
      <c r="DF1058">
        <v>0</v>
      </c>
      <c r="DH1058">
        <v>0</v>
      </c>
      <c r="DI1058">
        <v>0</v>
      </c>
    </row>
    <row r="1059" spans="1:113" ht="15" customHeight="1" x14ac:dyDescent="0.25">
      <c r="A1059" t="s">
        <v>5223</v>
      </c>
      <c r="B1059" t="s">
        <v>5224</v>
      </c>
      <c r="C1059" t="s">
        <v>5225</v>
      </c>
      <c r="D1059" t="s">
        <v>1234</v>
      </c>
      <c r="E1059" t="s">
        <v>1234</v>
      </c>
      <c r="F1059" t="s">
        <v>5226</v>
      </c>
      <c r="G1059">
        <v>2025</v>
      </c>
      <c r="H1059" t="s">
        <v>1160</v>
      </c>
      <c r="I1059" t="s">
        <v>124</v>
      </c>
      <c r="J1059">
        <v>10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Y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S1059">
        <v>0</v>
      </c>
      <c r="AU1059">
        <v>0</v>
      </c>
      <c r="AV1059">
        <v>0</v>
      </c>
      <c r="AW1059">
        <v>0</v>
      </c>
      <c r="AX1059">
        <v>0</v>
      </c>
      <c r="AY1059">
        <v>9</v>
      </c>
      <c r="AZ1059">
        <v>0</v>
      </c>
      <c r="BA1059">
        <v>2</v>
      </c>
      <c r="BB1059">
        <v>0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10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C1059">
        <v>0</v>
      </c>
      <c r="DD1059">
        <v>0</v>
      </c>
      <c r="DE1059">
        <v>0</v>
      </c>
      <c r="DF1059">
        <v>0</v>
      </c>
      <c r="DH1059">
        <v>0</v>
      </c>
      <c r="DI1059">
        <v>0</v>
      </c>
    </row>
    <row r="1060" spans="1:113" ht="15" customHeight="1" x14ac:dyDescent="0.25">
      <c r="A1060" t="s">
        <v>5227</v>
      </c>
      <c r="B1060" t="s">
        <v>5228</v>
      </c>
      <c r="C1060" t="s">
        <v>601</v>
      </c>
      <c r="D1060" t="s">
        <v>439</v>
      </c>
      <c r="E1060" t="s">
        <v>439</v>
      </c>
      <c r="F1060" t="s">
        <v>5229</v>
      </c>
      <c r="G1060">
        <v>2025</v>
      </c>
      <c r="H1060" t="s">
        <v>1160</v>
      </c>
      <c r="I1060" t="s">
        <v>115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Y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H1060">
        <v>0</v>
      </c>
      <c r="AI1060">
        <v>2</v>
      </c>
      <c r="AJ1060">
        <v>4</v>
      </c>
      <c r="AK1060">
        <v>15</v>
      </c>
      <c r="AL1060">
        <v>0</v>
      </c>
      <c r="AM1060">
        <v>0</v>
      </c>
      <c r="AN1060">
        <v>0</v>
      </c>
      <c r="AO1060">
        <v>20</v>
      </c>
      <c r="AP1060">
        <v>4</v>
      </c>
      <c r="AQ1060">
        <v>0</v>
      </c>
      <c r="AR1060">
        <v>-2.3833339421544202</v>
      </c>
      <c r="AS1060">
        <v>0</v>
      </c>
      <c r="AT1060">
        <v>0.75</v>
      </c>
      <c r="AU1060">
        <v>6.8493150684931503E-3</v>
      </c>
      <c r="AV1060">
        <v>4.4563279857397498E-3</v>
      </c>
      <c r="AW1060">
        <v>1.33934021927576E-2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C1060">
        <v>0</v>
      </c>
      <c r="DD1060">
        <v>0</v>
      </c>
      <c r="DE1060">
        <v>0</v>
      </c>
      <c r="DF1060">
        <v>0</v>
      </c>
      <c r="DH1060">
        <v>1.5</v>
      </c>
      <c r="DI1060">
        <v>3.5</v>
      </c>
    </row>
    <row r="1061" spans="1:113" ht="15" customHeight="1" x14ac:dyDescent="0.25">
      <c r="A1061" t="s">
        <v>5230</v>
      </c>
      <c r="B1061" t="s">
        <v>5231</v>
      </c>
      <c r="C1061" t="s">
        <v>5232</v>
      </c>
      <c r="D1061" t="s">
        <v>1168</v>
      </c>
      <c r="E1061" t="s">
        <v>1169</v>
      </c>
      <c r="F1061" t="s">
        <v>5233</v>
      </c>
      <c r="G1061">
        <v>2025</v>
      </c>
      <c r="H1061" t="s">
        <v>1160</v>
      </c>
      <c r="I1061" t="s">
        <v>93</v>
      </c>
      <c r="J1061">
        <v>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Y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S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11</v>
      </c>
      <c r="CA1061">
        <v>14</v>
      </c>
      <c r="CB1061">
        <v>2</v>
      </c>
      <c r="CC1061">
        <v>1</v>
      </c>
      <c r="CD1061">
        <v>54</v>
      </c>
      <c r="CE1061">
        <v>0.78571428571428603</v>
      </c>
      <c r="CF1061">
        <v>0</v>
      </c>
      <c r="CG1061">
        <v>2</v>
      </c>
      <c r="CH1061">
        <v>7</v>
      </c>
      <c r="CI1061">
        <v>1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1</v>
      </c>
      <c r="CP1061">
        <v>1</v>
      </c>
      <c r="CQ1061">
        <v>0</v>
      </c>
      <c r="CR1061" t="s">
        <v>5234</v>
      </c>
      <c r="CS1061" t="s">
        <v>5235</v>
      </c>
      <c r="CT1061">
        <v>37</v>
      </c>
      <c r="CU1061">
        <v>405</v>
      </c>
      <c r="CV1061">
        <v>104</v>
      </c>
      <c r="CW1061">
        <v>37</v>
      </c>
      <c r="CX1061">
        <v>12</v>
      </c>
      <c r="CY1061">
        <v>13</v>
      </c>
      <c r="CZ1061">
        <v>1</v>
      </c>
      <c r="DA1061">
        <v>0</v>
      </c>
      <c r="DB1061">
        <v>0.92307692307692302</v>
      </c>
      <c r="DC1061">
        <v>0</v>
      </c>
      <c r="DD1061">
        <v>0</v>
      </c>
      <c r="DE1061">
        <v>0</v>
      </c>
      <c r="DF1061">
        <v>0</v>
      </c>
      <c r="DH1061">
        <v>0</v>
      </c>
      <c r="DI1061">
        <v>0</v>
      </c>
    </row>
    <row r="1062" spans="1:113" ht="15" customHeight="1" x14ac:dyDescent="0.25">
      <c r="A1062" t="s">
        <v>5236</v>
      </c>
      <c r="B1062" t="s">
        <v>5237</v>
      </c>
      <c r="C1062" t="s">
        <v>5238</v>
      </c>
      <c r="D1062" t="s">
        <v>1234</v>
      </c>
      <c r="E1062" t="s">
        <v>1234</v>
      </c>
      <c r="F1062" t="s">
        <v>5239</v>
      </c>
      <c r="G1062">
        <v>2025</v>
      </c>
      <c r="H1062" t="s">
        <v>1160</v>
      </c>
      <c r="I1062" t="s">
        <v>138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Y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S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</v>
      </c>
      <c r="BU1062">
        <v>15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C1062">
        <v>0</v>
      </c>
      <c r="DD1062">
        <v>0</v>
      </c>
      <c r="DE1062">
        <v>0</v>
      </c>
      <c r="DF1062">
        <v>0</v>
      </c>
      <c r="DH1062">
        <v>0</v>
      </c>
      <c r="DI1062">
        <v>0</v>
      </c>
    </row>
    <row r="1063" spans="1:113" ht="15" customHeight="1" x14ac:dyDescent="0.25">
      <c r="A1063" t="s">
        <v>5240</v>
      </c>
      <c r="B1063" t="s">
        <v>5241</v>
      </c>
      <c r="C1063" t="s">
        <v>953</v>
      </c>
      <c r="D1063" t="s">
        <v>10</v>
      </c>
      <c r="E1063" t="s">
        <v>10</v>
      </c>
      <c r="F1063" t="s">
        <v>5242</v>
      </c>
      <c r="G1063">
        <v>2025</v>
      </c>
      <c r="H1063" t="s">
        <v>1160</v>
      </c>
      <c r="I1063" t="s">
        <v>140</v>
      </c>
      <c r="J1063">
        <v>18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Y1063">
        <v>0</v>
      </c>
      <c r="AA1063">
        <v>9</v>
      </c>
      <c r="AB1063">
        <v>69</v>
      </c>
      <c r="AC1063">
        <v>0</v>
      </c>
      <c r="AD1063">
        <v>0</v>
      </c>
      <c r="AE1063">
        <v>0</v>
      </c>
      <c r="AF1063">
        <v>3</v>
      </c>
      <c r="AG1063">
        <v>0.97493427427252799</v>
      </c>
      <c r="AH1063">
        <v>0</v>
      </c>
      <c r="AI1063">
        <v>59</v>
      </c>
      <c r="AJ1063">
        <v>92</v>
      </c>
      <c r="AK1063">
        <v>687</v>
      </c>
      <c r="AL1063">
        <v>2</v>
      </c>
      <c r="AM1063">
        <v>1</v>
      </c>
      <c r="AN1063">
        <v>1</v>
      </c>
      <c r="AO1063">
        <v>1053</v>
      </c>
      <c r="AP1063">
        <v>177</v>
      </c>
      <c r="AQ1063">
        <v>29</v>
      </c>
      <c r="AR1063">
        <v>-4.2793895422481096</v>
      </c>
      <c r="AS1063">
        <v>0</v>
      </c>
      <c r="AT1063">
        <v>0.65242165242165195</v>
      </c>
      <c r="AU1063">
        <v>0.16283185840708</v>
      </c>
      <c r="AV1063">
        <v>0.21997075412575701</v>
      </c>
      <c r="AW1063">
        <v>0.39822731549864998</v>
      </c>
      <c r="AX1063">
        <v>2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2</v>
      </c>
      <c r="BU1063">
        <v>10</v>
      </c>
      <c r="BV1063">
        <v>23</v>
      </c>
      <c r="BW1063">
        <v>339</v>
      </c>
      <c r="BX1063">
        <v>15</v>
      </c>
      <c r="BY1063">
        <v>447</v>
      </c>
      <c r="BZ1063">
        <v>0</v>
      </c>
      <c r="CA1063">
        <v>0</v>
      </c>
      <c r="CB1063">
        <v>0</v>
      </c>
      <c r="CC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C1063">
        <v>0</v>
      </c>
      <c r="DD1063">
        <v>0</v>
      </c>
      <c r="DE1063">
        <v>0</v>
      </c>
      <c r="DF1063">
        <v>0</v>
      </c>
      <c r="DH1063">
        <v>97.6</v>
      </c>
      <c r="DI1063">
        <v>156.6</v>
      </c>
    </row>
    <row r="1064" spans="1:113" ht="15" customHeight="1" x14ac:dyDescent="0.25">
      <c r="A1064" t="s">
        <v>5243</v>
      </c>
      <c r="B1064" t="s">
        <v>5244</v>
      </c>
      <c r="C1064" t="s">
        <v>5245</v>
      </c>
      <c r="D1064" t="s">
        <v>1209</v>
      </c>
      <c r="E1064" t="s">
        <v>1169</v>
      </c>
      <c r="F1064" t="s">
        <v>5246</v>
      </c>
      <c r="G1064">
        <v>2025</v>
      </c>
      <c r="H1064" t="s">
        <v>1160</v>
      </c>
      <c r="I1064" t="s">
        <v>118</v>
      </c>
      <c r="J1064">
        <v>14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Y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S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C1064">
        <v>0</v>
      </c>
      <c r="DD1064">
        <v>0</v>
      </c>
      <c r="DE1064">
        <v>0</v>
      </c>
      <c r="DF1064">
        <v>0</v>
      </c>
      <c r="DH1064">
        <v>0</v>
      </c>
      <c r="DI1064">
        <v>0</v>
      </c>
    </row>
    <row r="1065" spans="1:113" ht="15" customHeight="1" x14ac:dyDescent="0.25">
      <c r="A1065" t="s">
        <v>5247</v>
      </c>
      <c r="B1065" t="s">
        <v>5248</v>
      </c>
      <c r="C1065" t="s">
        <v>5249</v>
      </c>
      <c r="D1065" t="s">
        <v>1350</v>
      </c>
      <c r="E1065" t="s">
        <v>1307</v>
      </c>
      <c r="F1065" t="s">
        <v>5250</v>
      </c>
      <c r="G1065">
        <v>2025</v>
      </c>
      <c r="H1065" t="s">
        <v>1160</v>
      </c>
      <c r="I1065" t="s">
        <v>142</v>
      </c>
      <c r="J1065">
        <v>15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Y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U1065">
        <v>0</v>
      </c>
      <c r="AV1065">
        <v>0</v>
      </c>
      <c r="AW1065">
        <v>0</v>
      </c>
      <c r="AX1065">
        <v>0</v>
      </c>
      <c r="AY1065">
        <v>38</v>
      </c>
      <c r="AZ1065">
        <v>1</v>
      </c>
      <c r="BA1065">
        <v>16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7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3</v>
      </c>
      <c r="BU1065">
        <v>63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C1065">
        <v>0</v>
      </c>
      <c r="DD1065">
        <v>0</v>
      </c>
      <c r="DE1065">
        <v>0</v>
      </c>
      <c r="DF1065">
        <v>0</v>
      </c>
      <c r="DH1065">
        <v>0</v>
      </c>
      <c r="DI1065">
        <v>0</v>
      </c>
    </row>
    <row r="1066" spans="1:113" ht="15" customHeight="1" x14ac:dyDescent="0.25">
      <c r="A1066" t="s">
        <v>5251</v>
      </c>
      <c r="B1066" t="s">
        <v>5252</v>
      </c>
      <c r="C1066" t="s">
        <v>753</v>
      </c>
      <c r="D1066" t="s">
        <v>431</v>
      </c>
      <c r="E1066" t="s">
        <v>431</v>
      </c>
      <c r="F1066" t="s">
        <v>5253</v>
      </c>
      <c r="G1066">
        <v>2025</v>
      </c>
      <c r="H1066" t="s">
        <v>1160</v>
      </c>
      <c r="I1066" t="s">
        <v>1200</v>
      </c>
      <c r="J1066">
        <v>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Y1066">
        <v>0</v>
      </c>
      <c r="AA1066">
        <v>9</v>
      </c>
      <c r="AB1066">
        <v>46</v>
      </c>
      <c r="AC1066">
        <v>0</v>
      </c>
      <c r="AD1066">
        <v>0</v>
      </c>
      <c r="AE1066">
        <v>0</v>
      </c>
      <c r="AF1066">
        <v>3</v>
      </c>
      <c r="AG1066">
        <v>-1.09322079038247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S1066">
        <v>0</v>
      </c>
      <c r="AU1066">
        <v>0</v>
      </c>
      <c r="AV1066">
        <v>0</v>
      </c>
      <c r="AW1066">
        <v>0</v>
      </c>
      <c r="AX1066">
        <v>0</v>
      </c>
      <c r="AY1066">
        <v>2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16</v>
      </c>
      <c r="BY1066">
        <v>418</v>
      </c>
      <c r="BZ1066">
        <v>0</v>
      </c>
      <c r="CA1066">
        <v>0</v>
      </c>
      <c r="CB1066">
        <v>0</v>
      </c>
      <c r="CC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C1066">
        <v>0</v>
      </c>
      <c r="DD1066">
        <v>0</v>
      </c>
      <c r="DE1066">
        <v>0</v>
      </c>
      <c r="DF1066">
        <v>0</v>
      </c>
      <c r="DH1066">
        <v>4.5999999999999996</v>
      </c>
      <c r="DI1066">
        <v>4.5999999999999996</v>
      </c>
    </row>
    <row r="1067" spans="1:113" ht="15" customHeight="1" x14ac:dyDescent="0.25">
      <c r="A1067" t="s">
        <v>5254</v>
      </c>
      <c r="B1067" t="s">
        <v>5255</v>
      </c>
      <c r="C1067" t="s">
        <v>5256</v>
      </c>
      <c r="D1067" t="s">
        <v>1684</v>
      </c>
      <c r="E1067" t="s">
        <v>1307</v>
      </c>
      <c r="F1067" t="s">
        <v>5257</v>
      </c>
      <c r="G1067">
        <v>2025</v>
      </c>
      <c r="H1067" t="s">
        <v>1160</v>
      </c>
      <c r="I1067" t="s">
        <v>112</v>
      </c>
      <c r="J1067">
        <v>15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Y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S1067">
        <v>0</v>
      </c>
      <c r="AU1067">
        <v>0</v>
      </c>
      <c r="AV1067">
        <v>0</v>
      </c>
      <c r="AW1067">
        <v>0</v>
      </c>
      <c r="AX1067">
        <v>0</v>
      </c>
      <c r="AY1067">
        <v>19</v>
      </c>
      <c r="AZ1067">
        <v>1</v>
      </c>
      <c r="BA1067">
        <v>21</v>
      </c>
      <c r="BB1067">
        <v>1</v>
      </c>
      <c r="BC1067">
        <v>4</v>
      </c>
      <c r="BD1067">
        <v>1</v>
      </c>
      <c r="BE1067">
        <v>0</v>
      </c>
      <c r="BF1067">
        <v>0</v>
      </c>
      <c r="BG1067">
        <v>1</v>
      </c>
      <c r="BH1067">
        <v>1</v>
      </c>
      <c r="BI1067">
        <v>24</v>
      </c>
      <c r="BJ1067">
        <v>3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6</v>
      </c>
      <c r="BU1067">
        <v>52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C1067">
        <v>0</v>
      </c>
      <c r="DD1067">
        <v>0</v>
      </c>
      <c r="DE1067">
        <v>0</v>
      </c>
      <c r="DF1067">
        <v>0</v>
      </c>
      <c r="DH1067">
        <v>0</v>
      </c>
      <c r="DI1067">
        <v>0</v>
      </c>
    </row>
    <row r="1068" spans="1:113" ht="15" customHeight="1" x14ac:dyDescent="0.25">
      <c r="A1068" t="s">
        <v>5258</v>
      </c>
      <c r="B1068" t="s">
        <v>2072</v>
      </c>
      <c r="C1068" t="s">
        <v>578</v>
      </c>
      <c r="D1068" t="s">
        <v>431</v>
      </c>
      <c r="E1068" t="s">
        <v>431</v>
      </c>
      <c r="F1068" t="s">
        <v>5259</v>
      </c>
      <c r="G1068">
        <v>2025</v>
      </c>
      <c r="H1068" t="s">
        <v>1160</v>
      </c>
      <c r="I1068" t="s">
        <v>112</v>
      </c>
      <c r="J1068">
        <v>10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Y1068">
        <v>0</v>
      </c>
      <c r="AA1068">
        <v>52</v>
      </c>
      <c r="AB1068">
        <v>250</v>
      </c>
      <c r="AC1068">
        <v>2</v>
      </c>
      <c r="AD1068">
        <v>0</v>
      </c>
      <c r="AE1068">
        <v>0</v>
      </c>
      <c r="AF1068">
        <v>11</v>
      </c>
      <c r="AG1068">
        <v>0.81339234454208098</v>
      </c>
      <c r="AH1068">
        <v>0</v>
      </c>
      <c r="AI1068">
        <v>2</v>
      </c>
      <c r="AJ1068">
        <v>5</v>
      </c>
      <c r="AK1068">
        <v>16</v>
      </c>
      <c r="AL1068">
        <v>0</v>
      </c>
      <c r="AM1068">
        <v>0</v>
      </c>
      <c r="AN1068">
        <v>0</v>
      </c>
      <c r="AO1068">
        <v>18</v>
      </c>
      <c r="AP1068">
        <v>6</v>
      </c>
      <c r="AQ1068">
        <v>0</v>
      </c>
      <c r="AR1068">
        <v>-4.8119758114335101</v>
      </c>
      <c r="AS1068">
        <v>0</v>
      </c>
      <c r="AT1068">
        <v>0.88888888888888895</v>
      </c>
      <c r="AU1068">
        <v>8.2372322899505798E-3</v>
      </c>
      <c r="AV1068">
        <v>3.5509962517261801E-3</v>
      </c>
      <c r="AW1068">
        <v>1.4841545811134201E-2</v>
      </c>
      <c r="AX1068">
        <v>0</v>
      </c>
      <c r="AY1068">
        <v>2</v>
      </c>
      <c r="AZ1068">
        <v>0</v>
      </c>
      <c r="BA1068">
        <v>5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</v>
      </c>
      <c r="BU1068">
        <v>10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C1068">
        <v>0</v>
      </c>
      <c r="DD1068">
        <v>0</v>
      </c>
      <c r="DE1068">
        <v>0</v>
      </c>
      <c r="DF1068">
        <v>0</v>
      </c>
      <c r="DH1068">
        <v>38.6</v>
      </c>
      <c r="DI1068">
        <v>40.6</v>
      </c>
    </row>
    <row r="1069" spans="1:113" ht="15" customHeight="1" x14ac:dyDescent="0.25">
      <c r="A1069" t="s">
        <v>5260</v>
      </c>
      <c r="B1069" t="s">
        <v>5261</v>
      </c>
      <c r="C1069" t="s">
        <v>5262</v>
      </c>
      <c r="D1069" t="s">
        <v>1684</v>
      </c>
      <c r="E1069" t="s">
        <v>1307</v>
      </c>
      <c r="F1069" t="s">
        <v>5263</v>
      </c>
      <c r="G1069">
        <v>2025</v>
      </c>
      <c r="H1069" t="s">
        <v>1160</v>
      </c>
      <c r="I1069" t="s">
        <v>112</v>
      </c>
      <c r="J1069">
        <v>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Y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S1069">
        <v>0</v>
      </c>
      <c r="AU1069">
        <v>0</v>
      </c>
      <c r="AV1069">
        <v>0</v>
      </c>
      <c r="AW1069">
        <v>0</v>
      </c>
      <c r="AX1069">
        <v>0</v>
      </c>
      <c r="AY1069">
        <v>14</v>
      </c>
      <c r="AZ1069">
        <v>0</v>
      </c>
      <c r="BA1069">
        <v>12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C1069">
        <v>0</v>
      </c>
      <c r="DD1069">
        <v>0</v>
      </c>
      <c r="DE1069">
        <v>0</v>
      </c>
      <c r="DF1069">
        <v>0</v>
      </c>
      <c r="DH1069">
        <v>0</v>
      </c>
      <c r="DI1069">
        <v>0</v>
      </c>
    </row>
    <row r="1070" spans="1:113" ht="15" customHeight="1" x14ac:dyDescent="0.25">
      <c r="A1070" t="s">
        <v>5264</v>
      </c>
      <c r="B1070" t="s">
        <v>5265</v>
      </c>
      <c r="C1070" t="s">
        <v>5266</v>
      </c>
      <c r="D1070" t="s">
        <v>1234</v>
      </c>
      <c r="E1070" t="s">
        <v>1234</v>
      </c>
      <c r="F1070" t="s">
        <v>5267</v>
      </c>
      <c r="G1070">
        <v>2025</v>
      </c>
      <c r="H1070" t="s">
        <v>1160</v>
      </c>
      <c r="I1070" t="s">
        <v>1200</v>
      </c>
      <c r="J1070">
        <v>17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Y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S1070">
        <v>0</v>
      </c>
      <c r="AU1070">
        <v>0</v>
      </c>
      <c r="AV1070">
        <v>0</v>
      </c>
      <c r="AW1070">
        <v>0</v>
      </c>
      <c r="AX1070">
        <v>0</v>
      </c>
      <c r="AY1070">
        <v>62</v>
      </c>
      <c r="AZ1070">
        <v>2</v>
      </c>
      <c r="BA1070">
        <v>68</v>
      </c>
      <c r="BB1070">
        <v>8</v>
      </c>
      <c r="BC1070">
        <v>15</v>
      </c>
      <c r="BD1070">
        <v>4</v>
      </c>
      <c r="BE1070">
        <v>2.5</v>
      </c>
      <c r="BF1070">
        <v>4</v>
      </c>
      <c r="BG1070">
        <v>5</v>
      </c>
      <c r="BH1070">
        <v>1</v>
      </c>
      <c r="BI1070">
        <v>0</v>
      </c>
      <c r="BJ1070">
        <v>6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2</v>
      </c>
      <c r="BR1070">
        <v>2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C1070">
        <v>0</v>
      </c>
      <c r="DD1070">
        <v>0</v>
      </c>
      <c r="DE1070">
        <v>0</v>
      </c>
      <c r="DF1070">
        <v>0</v>
      </c>
      <c r="DH1070">
        <v>0</v>
      </c>
      <c r="DI1070">
        <v>0</v>
      </c>
    </row>
    <row r="1071" spans="1:113" ht="15" customHeight="1" x14ac:dyDescent="0.25">
      <c r="A1071" t="s">
        <v>5268</v>
      </c>
      <c r="B1071" t="s">
        <v>5269</v>
      </c>
      <c r="C1071" t="s">
        <v>5270</v>
      </c>
      <c r="D1071" t="s">
        <v>1350</v>
      </c>
      <c r="E1071" t="s">
        <v>1307</v>
      </c>
      <c r="F1071" t="s">
        <v>5271</v>
      </c>
      <c r="G1071">
        <v>2025</v>
      </c>
      <c r="H1071" t="s">
        <v>1160</v>
      </c>
      <c r="I1071" t="s">
        <v>109</v>
      </c>
      <c r="J1071">
        <v>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Y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S1071">
        <v>0</v>
      </c>
      <c r="AU1071">
        <v>0</v>
      </c>
      <c r="AV1071">
        <v>0</v>
      </c>
      <c r="AW1071">
        <v>0</v>
      </c>
      <c r="AX1071">
        <v>0</v>
      </c>
      <c r="AY1071">
        <v>6</v>
      </c>
      <c r="AZ1071">
        <v>0</v>
      </c>
      <c r="BA1071">
        <v>7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</v>
      </c>
      <c r="BU1071">
        <v>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C1071">
        <v>0</v>
      </c>
      <c r="DD1071">
        <v>0</v>
      </c>
      <c r="DE1071">
        <v>0</v>
      </c>
      <c r="DF1071">
        <v>0</v>
      </c>
      <c r="DH1071">
        <v>0</v>
      </c>
      <c r="DI1071">
        <v>0</v>
      </c>
    </row>
    <row r="1072" spans="1:113" ht="15" customHeight="1" x14ac:dyDescent="0.25">
      <c r="A1072" t="s">
        <v>5272</v>
      </c>
      <c r="B1072" t="s">
        <v>5273</v>
      </c>
      <c r="C1072" t="s">
        <v>1001</v>
      </c>
      <c r="D1072" t="s">
        <v>431</v>
      </c>
      <c r="E1072" t="s">
        <v>431</v>
      </c>
      <c r="F1072" t="s">
        <v>5274</v>
      </c>
      <c r="G1072">
        <v>2025</v>
      </c>
      <c r="H1072" t="s">
        <v>1160</v>
      </c>
      <c r="I1072" t="s">
        <v>142</v>
      </c>
      <c r="J1072">
        <v>16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Y1072">
        <v>0</v>
      </c>
      <c r="AA1072">
        <v>11</v>
      </c>
      <c r="AB1072">
        <v>40</v>
      </c>
      <c r="AC1072">
        <v>0</v>
      </c>
      <c r="AD1072">
        <v>0</v>
      </c>
      <c r="AE1072">
        <v>0</v>
      </c>
      <c r="AF1072">
        <v>4</v>
      </c>
      <c r="AG1072">
        <v>-3.23899546646726</v>
      </c>
      <c r="AH1072">
        <v>0</v>
      </c>
      <c r="AI1072">
        <v>0</v>
      </c>
      <c r="AJ1072">
        <v>2</v>
      </c>
      <c r="AK1072">
        <v>0</v>
      </c>
      <c r="AL1072">
        <v>0</v>
      </c>
      <c r="AM1072">
        <v>0</v>
      </c>
      <c r="AN1072">
        <v>0</v>
      </c>
      <c r="AO1072">
        <v>22</v>
      </c>
      <c r="AP1072">
        <v>0</v>
      </c>
      <c r="AQ1072">
        <v>0</v>
      </c>
      <c r="AR1072">
        <v>-1.4518509877379999</v>
      </c>
      <c r="AS1072">
        <v>0</v>
      </c>
      <c r="AT1072">
        <v>0</v>
      </c>
      <c r="AU1072">
        <v>3.77358490566038E-3</v>
      </c>
      <c r="AV1072">
        <v>5.4808171400099696E-3</v>
      </c>
      <c r="AW1072">
        <v>9.4969493564975391E-3</v>
      </c>
      <c r="AX1072">
        <v>0</v>
      </c>
      <c r="AY1072">
        <v>10</v>
      </c>
      <c r="AZ1072">
        <v>0</v>
      </c>
      <c r="BA1072">
        <v>7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2</v>
      </c>
      <c r="BU1072">
        <v>15</v>
      </c>
      <c r="BV1072">
        <v>0</v>
      </c>
      <c r="BW1072">
        <v>0</v>
      </c>
      <c r="BX1072">
        <v>3</v>
      </c>
      <c r="BY1072">
        <v>81</v>
      </c>
      <c r="BZ1072">
        <v>0</v>
      </c>
      <c r="CA1072">
        <v>0</v>
      </c>
      <c r="CB1072">
        <v>0</v>
      </c>
      <c r="CC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C1072">
        <v>0</v>
      </c>
      <c r="DD1072">
        <v>0</v>
      </c>
      <c r="DE1072">
        <v>0</v>
      </c>
      <c r="DF1072">
        <v>0</v>
      </c>
      <c r="DH1072">
        <v>4</v>
      </c>
      <c r="DI1072">
        <v>4</v>
      </c>
    </row>
    <row r="1073" spans="1:113" ht="15" customHeight="1" x14ac:dyDescent="0.25">
      <c r="A1073" t="s">
        <v>5275</v>
      </c>
      <c r="B1073" t="s">
        <v>5276</v>
      </c>
      <c r="C1073" t="s">
        <v>5277</v>
      </c>
      <c r="D1073" t="s">
        <v>1234</v>
      </c>
      <c r="E1073" t="s">
        <v>1234</v>
      </c>
      <c r="F1073" t="s">
        <v>5278</v>
      </c>
      <c r="G1073">
        <v>2025</v>
      </c>
      <c r="H1073" t="s">
        <v>1160</v>
      </c>
      <c r="I1073" t="s">
        <v>114</v>
      </c>
      <c r="J1073">
        <v>17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Y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S1073">
        <v>0</v>
      </c>
      <c r="AU1073">
        <v>0</v>
      </c>
      <c r="AV1073">
        <v>0</v>
      </c>
      <c r="AW1073">
        <v>0</v>
      </c>
      <c r="AX1073">
        <v>0</v>
      </c>
      <c r="AY1073">
        <v>41</v>
      </c>
      <c r="AZ1073">
        <v>2</v>
      </c>
      <c r="BA1073">
        <v>38</v>
      </c>
      <c r="BB1073">
        <v>8</v>
      </c>
      <c r="BC1073">
        <v>21</v>
      </c>
      <c r="BD1073">
        <v>1</v>
      </c>
      <c r="BE1073">
        <v>1</v>
      </c>
      <c r="BF1073">
        <v>6</v>
      </c>
      <c r="BG1073">
        <v>3</v>
      </c>
      <c r="BH1073">
        <v>0</v>
      </c>
      <c r="BI1073">
        <v>0</v>
      </c>
      <c r="BJ1073">
        <v>4</v>
      </c>
      <c r="BK1073">
        <v>0</v>
      </c>
      <c r="BL1073">
        <v>0</v>
      </c>
      <c r="BM1073">
        <v>0</v>
      </c>
      <c r="BN1073">
        <v>0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2</v>
      </c>
      <c r="BU1073">
        <v>29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C1073">
        <v>0</v>
      </c>
      <c r="DD1073">
        <v>0</v>
      </c>
      <c r="DE1073">
        <v>0</v>
      </c>
      <c r="DF1073">
        <v>0</v>
      </c>
      <c r="DH1073">
        <v>0</v>
      </c>
      <c r="DI1073">
        <v>0</v>
      </c>
    </row>
    <row r="1074" spans="1:113" ht="15" customHeight="1" x14ac:dyDescent="0.25">
      <c r="A1074" t="s">
        <v>5279</v>
      </c>
      <c r="B1074" t="s">
        <v>5280</v>
      </c>
      <c r="C1074" t="s">
        <v>5281</v>
      </c>
      <c r="D1074" t="s">
        <v>1243</v>
      </c>
      <c r="E1074" t="s">
        <v>1190</v>
      </c>
      <c r="F1074" t="s">
        <v>5282</v>
      </c>
      <c r="G1074">
        <v>2025</v>
      </c>
      <c r="H1074" t="s">
        <v>1160</v>
      </c>
      <c r="I1074" t="s">
        <v>141</v>
      </c>
      <c r="J1074">
        <v>14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Y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S1074">
        <v>0</v>
      </c>
      <c r="AU1074">
        <v>0</v>
      </c>
      <c r="AV1074">
        <v>0</v>
      </c>
      <c r="AW1074">
        <v>0</v>
      </c>
      <c r="AX1074">
        <v>0</v>
      </c>
      <c r="AY1074">
        <v>23</v>
      </c>
      <c r="AZ1074">
        <v>0</v>
      </c>
      <c r="BA1074">
        <v>16</v>
      </c>
      <c r="BB1074">
        <v>6</v>
      </c>
      <c r="BC1074">
        <v>25</v>
      </c>
      <c r="BD1074">
        <v>1</v>
      </c>
      <c r="BE1074">
        <v>3</v>
      </c>
      <c r="BF1074">
        <v>18</v>
      </c>
      <c r="BG1074">
        <v>7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</v>
      </c>
      <c r="BU1074">
        <v>5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C1074">
        <v>0</v>
      </c>
      <c r="DD1074">
        <v>0</v>
      </c>
      <c r="DE1074">
        <v>0</v>
      </c>
      <c r="DF1074">
        <v>0</v>
      </c>
      <c r="DH1074">
        <v>0</v>
      </c>
      <c r="DI1074">
        <v>0</v>
      </c>
    </row>
    <row r="1075" spans="1:113" ht="15" customHeight="1" x14ac:dyDescent="0.25">
      <c r="A1075" t="s">
        <v>5283</v>
      </c>
      <c r="B1075" t="s">
        <v>5284</v>
      </c>
      <c r="C1075" t="s">
        <v>5285</v>
      </c>
      <c r="D1075" t="s">
        <v>1234</v>
      </c>
      <c r="E1075" t="s">
        <v>1234</v>
      </c>
      <c r="F1075" t="s">
        <v>5286</v>
      </c>
      <c r="G1075">
        <v>2025</v>
      </c>
      <c r="H1075" t="s">
        <v>1160</v>
      </c>
      <c r="I1075" t="s">
        <v>139</v>
      </c>
      <c r="J1075">
        <v>10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Y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S1075">
        <v>0</v>
      </c>
      <c r="AU1075">
        <v>0</v>
      </c>
      <c r="AV1075">
        <v>0</v>
      </c>
      <c r="AW1075">
        <v>0</v>
      </c>
      <c r="AX1075">
        <v>0</v>
      </c>
      <c r="AY1075">
        <v>12</v>
      </c>
      <c r="AZ1075">
        <v>1</v>
      </c>
      <c r="BA1075">
        <v>12</v>
      </c>
      <c r="BB1075">
        <v>5</v>
      </c>
      <c r="BC1075">
        <v>19</v>
      </c>
      <c r="BD1075">
        <v>0</v>
      </c>
      <c r="BE1075">
        <v>2.5</v>
      </c>
      <c r="BF1075">
        <v>14.5</v>
      </c>
      <c r="BG1075">
        <v>9</v>
      </c>
      <c r="BH1075">
        <v>0</v>
      </c>
      <c r="BI1075">
        <v>0</v>
      </c>
      <c r="BJ1075">
        <v>2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2</v>
      </c>
      <c r="BU1075">
        <v>10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C1075">
        <v>0</v>
      </c>
      <c r="DD1075">
        <v>0</v>
      </c>
      <c r="DE1075">
        <v>0</v>
      </c>
      <c r="DF1075">
        <v>0</v>
      </c>
      <c r="DH1075">
        <v>0</v>
      </c>
      <c r="DI1075">
        <v>0</v>
      </c>
    </row>
    <row r="1076" spans="1:113" ht="15" customHeight="1" x14ac:dyDescent="0.25">
      <c r="A1076" t="s">
        <v>5287</v>
      </c>
      <c r="B1076" t="s">
        <v>5288</v>
      </c>
      <c r="C1076" t="s">
        <v>510</v>
      </c>
      <c r="D1076" t="s">
        <v>10</v>
      </c>
      <c r="E1076" t="s">
        <v>10</v>
      </c>
      <c r="F1076" t="s">
        <v>5289</v>
      </c>
      <c r="G1076">
        <v>2025</v>
      </c>
      <c r="H1076" t="s">
        <v>1160</v>
      </c>
      <c r="I1076" t="s">
        <v>101</v>
      </c>
      <c r="J1076">
        <v>13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Y1076">
        <v>0</v>
      </c>
      <c r="AA1076">
        <v>3</v>
      </c>
      <c r="AB1076">
        <v>-5</v>
      </c>
      <c r="AC1076">
        <v>0</v>
      </c>
      <c r="AD1076">
        <v>0</v>
      </c>
      <c r="AE1076">
        <v>0</v>
      </c>
      <c r="AF1076">
        <v>0</v>
      </c>
      <c r="AG1076">
        <v>-3.0315671158023201</v>
      </c>
      <c r="AH1076">
        <v>0</v>
      </c>
      <c r="AI1076">
        <v>33</v>
      </c>
      <c r="AJ1076">
        <v>48</v>
      </c>
      <c r="AK1076">
        <v>274</v>
      </c>
      <c r="AL1076">
        <v>2</v>
      </c>
      <c r="AM1076">
        <v>0</v>
      </c>
      <c r="AN1076">
        <v>0</v>
      </c>
      <c r="AO1076">
        <v>268</v>
      </c>
      <c r="AP1076">
        <v>140</v>
      </c>
      <c r="AQ1076">
        <v>15</v>
      </c>
      <c r="AR1076">
        <v>-2.3385504403295498</v>
      </c>
      <c r="AS1076">
        <v>0</v>
      </c>
      <c r="AT1076">
        <v>1.02238805970149</v>
      </c>
      <c r="AU1076">
        <v>0.10344827586206901</v>
      </c>
      <c r="AV1076">
        <v>5.9781396386348398E-2</v>
      </c>
      <c r="AW1076">
        <v>0.19701939126354701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</v>
      </c>
      <c r="BU1076">
        <v>10</v>
      </c>
      <c r="BV1076">
        <v>0</v>
      </c>
      <c r="BW1076">
        <v>0</v>
      </c>
      <c r="BX1076">
        <v>7</v>
      </c>
      <c r="BY1076">
        <v>120</v>
      </c>
      <c r="BZ1076">
        <v>0</v>
      </c>
      <c r="CA1076">
        <v>0</v>
      </c>
      <c r="CB1076">
        <v>0</v>
      </c>
      <c r="CC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C1076">
        <v>0</v>
      </c>
      <c r="DD1076">
        <v>0</v>
      </c>
      <c r="DE1076">
        <v>0</v>
      </c>
      <c r="DF1076">
        <v>0</v>
      </c>
      <c r="DH1076">
        <v>38.9</v>
      </c>
      <c r="DI1076">
        <v>71.900000000000006</v>
      </c>
    </row>
    <row r="1077" spans="1:113" ht="15" customHeight="1" x14ac:dyDescent="0.25">
      <c r="A1077" t="s">
        <v>5290</v>
      </c>
      <c r="B1077" t="s">
        <v>5291</v>
      </c>
      <c r="C1077" t="s">
        <v>5292</v>
      </c>
      <c r="D1077" t="s">
        <v>1234</v>
      </c>
      <c r="E1077" t="s">
        <v>1234</v>
      </c>
      <c r="F1077" t="s">
        <v>5293</v>
      </c>
      <c r="G1077">
        <v>2025</v>
      </c>
      <c r="H1077" t="s">
        <v>1160</v>
      </c>
      <c r="I1077" t="s">
        <v>120</v>
      </c>
      <c r="J1077">
        <v>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Y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S1077">
        <v>0</v>
      </c>
      <c r="AU1077">
        <v>0</v>
      </c>
      <c r="AV1077">
        <v>0</v>
      </c>
      <c r="AW1077">
        <v>0</v>
      </c>
      <c r="AX1077">
        <v>0</v>
      </c>
      <c r="AY1077">
        <v>30</v>
      </c>
      <c r="AZ1077">
        <v>0</v>
      </c>
      <c r="BA1077">
        <v>25</v>
      </c>
      <c r="BB1077">
        <v>7</v>
      </c>
      <c r="BC1077">
        <v>44</v>
      </c>
      <c r="BD1077">
        <v>2</v>
      </c>
      <c r="BE1077">
        <v>4</v>
      </c>
      <c r="BF1077">
        <v>33</v>
      </c>
      <c r="BG1077">
        <v>6</v>
      </c>
      <c r="BH1077">
        <v>0</v>
      </c>
      <c r="BI1077">
        <v>0</v>
      </c>
      <c r="BJ1077">
        <v>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2</v>
      </c>
      <c r="BU1077">
        <v>10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C1077">
        <v>0</v>
      </c>
      <c r="DD1077">
        <v>0</v>
      </c>
      <c r="DE1077">
        <v>0</v>
      </c>
      <c r="DF1077">
        <v>0</v>
      </c>
      <c r="DH1077">
        <v>0</v>
      </c>
      <c r="DI1077">
        <v>0</v>
      </c>
    </row>
    <row r="1078" spans="1:113" ht="15" customHeight="1" x14ac:dyDescent="0.25">
      <c r="A1078" t="s">
        <v>5294</v>
      </c>
      <c r="B1078" t="s">
        <v>5295</v>
      </c>
      <c r="C1078" t="s">
        <v>5296</v>
      </c>
      <c r="D1078" t="s">
        <v>1684</v>
      </c>
      <c r="E1078" t="s">
        <v>1307</v>
      </c>
      <c r="F1078" t="s">
        <v>5297</v>
      </c>
      <c r="G1078">
        <v>2025</v>
      </c>
      <c r="H1078" t="s">
        <v>1160</v>
      </c>
      <c r="I1078" t="s">
        <v>124</v>
      </c>
      <c r="J1078">
        <v>17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Y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S1078">
        <v>0</v>
      </c>
      <c r="AU1078">
        <v>0</v>
      </c>
      <c r="AV1078">
        <v>0</v>
      </c>
      <c r="AW1078">
        <v>0</v>
      </c>
      <c r="AX1078">
        <v>0</v>
      </c>
      <c r="AY1078">
        <v>70</v>
      </c>
      <c r="AZ1078">
        <v>2</v>
      </c>
      <c r="BA1078">
        <v>48</v>
      </c>
      <c r="BB1078">
        <v>5</v>
      </c>
      <c r="BC1078">
        <v>16</v>
      </c>
      <c r="BD1078">
        <v>1</v>
      </c>
      <c r="BE1078">
        <v>2.5</v>
      </c>
      <c r="BF1078">
        <v>11.5</v>
      </c>
      <c r="BG1078">
        <v>6</v>
      </c>
      <c r="BH1078">
        <v>1</v>
      </c>
      <c r="BI1078">
        <v>0</v>
      </c>
      <c r="BJ1078">
        <v>5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2</v>
      </c>
      <c r="BU1078">
        <v>20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C1078">
        <v>0</v>
      </c>
      <c r="DD1078">
        <v>0</v>
      </c>
      <c r="DE1078">
        <v>0</v>
      </c>
      <c r="DF1078">
        <v>0</v>
      </c>
      <c r="DH1078">
        <v>0</v>
      </c>
      <c r="DI1078">
        <v>0</v>
      </c>
    </row>
    <row r="1079" spans="1:113" ht="15" customHeight="1" x14ac:dyDescent="0.25">
      <c r="A1079" t="s">
        <v>5298</v>
      </c>
      <c r="B1079" t="s">
        <v>5299</v>
      </c>
      <c r="C1079" t="s">
        <v>5300</v>
      </c>
      <c r="D1079" t="s">
        <v>431</v>
      </c>
      <c r="E1079" t="s">
        <v>431</v>
      </c>
      <c r="F1079" t="s">
        <v>5301</v>
      </c>
      <c r="G1079">
        <v>2025</v>
      </c>
      <c r="H1079" t="s">
        <v>1160</v>
      </c>
      <c r="I1079" t="s">
        <v>131</v>
      </c>
      <c r="J1079">
        <v>11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Y1079">
        <v>0</v>
      </c>
      <c r="AA1079">
        <v>17</v>
      </c>
      <c r="AB1079">
        <v>47</v>
      </c>
      <c r="AC1079">
        <v>0</v>
      </c>
      <c r="AD1079">
        <v>0</v>
      </c>
      <c r="AE1079">
        <v>0</v>
      </c>
      <c r="AF1079">
        <v>4</v>
      </c>
      <c r="AG1079">
        <v>-2.8872831859043799</v>
      </c>
      <c r="AH1079">
        <v>0</v>
      </c>
      <c r="AI1079">
        <v>4</v>
      </c>
      <c r="AJ1079">
        <v>4</v>
      </c>
      <c r="AK1079">
        <v>13</v>
      </c>
      <c r="AL1079">
        <v>0</v>
      </c>
      <c r="AM1079">
        <v>0</v>
      </c>
      <c r="AN1079">
        <v>0</v>
      </c>
      <c r="AO1079">
        <v>-3</v>
      </c>
      <c r="AP1079">
        <v>16</v>
      </c>
      <c r="AQ1079">
        <v>0</v>
      </c>
      <c r="AR1079">
        <v>-1.5134393116459299</v>
      </c>
      <c r="AS1079">
        <v>0</v>
      </c>
      <c r="AT1079">
        <v>-4.3333333333333304</v>
      </c>
      <c r="AU1079">
        <v>7.3529411764705899E-3</v>
      </c>
      <c r="AV1079">
        <v>-6.5992080950285996E-4</v>
      </c>
      <c r="AW1079">
        <v>1.05674671980539E-2</v>
      </c>
      <c r="AX1079">
        <v>0</v>
      </c>
      <c r="AY1079">
        <v>5</v>
      </c>
      <c r="AZ1079">
        <v>0</v>
      </c>
      <c r="BA1079">
        <v>6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8</v>
      </c>
      <c r="BY1079">
        <v>197</v>
      </c>
      <c r="BZ1079">
        <v>0</v>
      </c>
      <c r="CA1079">
        <v>0</v>
      </c>
      <c r="CB1079">
        <v>0</v>
      </c>
      <c r="CC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C1079">
        <v>0</v>
      </c>
      <c r="DD1079">
        <v>0</v>
      </c>
      <c r="DE1079">
        <v>0</v>
      </c>
      <c r="DF1079">
        <v>0</v>
      </c>
      <c r="DH1079">
        <v>6</v>
      </c>
      <c r="DI1079">
        <v>10</v>
      </c>
    </row>
    <row r="1080" spans="1:113" ht="15" customHeight="1" x14ac:dyDescent="0.25">
      <c r="A1080" t="s">
        <v>5302</v>
      </c>
      <c r="B1080" t="s">
        <v>5303</v>
      </c>
      <c r="C1080" t="s">
        <v>5304</v>
      </c>
      <c r="D1080" t="s">
        <v>1234</v>
      </c>
      <c r="E1080" t="s">
        <v>1234</v>
      </c>
      <c r="F1080" t="s">
        <v>5305</v>
      </c>
      <c r="G1080">
        <v>2025</v>
      </c>
      <c r="H1080" t="s">
        <v>1160</v>
      </c>
      <c r="I1080" t="s">
        <v>97</v>
      </c>
      <c r="J1080">
        <v>14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Y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U1080">
        <v>0</v>
      </c>
      <c r="AV1080">
        <v>0</v>
      </c>
      <c r="AW1080">
        <v>0</v>
      </c>
      <c r="AX1080">
        <v>0</v>
      </c>
      <c r="AY1080">
        <v>8</v>
      </c>
      <c r="AZ1080">
        <v>1</v>
      </c>
      <c r="BA1080">
        <v>9</v>
      </c>
      <c r="BB1080">
        <v>1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5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C1080">
        <v>0</v>
      </c>
      <c r="DD1080">
        <v>0</v>
      </c>
      <c r="DE1080">
        <v>0</v>
      </c>
      <c r="DF1080">
        <v>0</v>
      </c>
      <c r="DH1080">
        <v>0</v>
      </c>
      <c r="DI1080">
        <v>0</v>
      </c>
    </row>
    <row r="1081" spans="1:113" ht="15" customHeight="1" x14ac:dyDescent="0.25">
      <c r="A1081" t="s">
        <v>5306</v>
      </c>
      <c r="B1081" t="s">
        <v>5307</v>
      </c>
      <c r="C1081" t="s">
        <v>725</v>
      </c>
      <c r="D1081" t="s">
        <v>439</v>
      </c>
      <c r="E1081" t="s">
        <v>439</v>
      </c>
      <c r="F1081" t="s">
        <v>5308</v>
      </c>
      <c r="G1081">
        <v>2025</v>
      </c>
      <c r="H1081" t="s">
        <v>1160</v>
      </c>
      <c r="I1081" t="s">
        <v>131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Y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H1081">
        <v>0</v>
      </c>
      <c r="AI1081">
        <v>2</v>
      </c>
      <c r="AJ1081">
        <v>4</v>
      </c>
      <c r="AK1081">
        <v>19</v>
      </c>
      <c r="AL1081">
        <v>0</v>
      </c>
      <c r="AM1081">
        <v>0</v>
      </c>
      <c r="AN1081">
        <v>0</v>
      </c>
      <c r="AO1081">
        <v>22</v>
      </c>
      <c r="AP1081">
        <v>21</v>
      </c>
      <c r="AQ1081">
        <v>1</v>
      </c>
      <c r="AR1081">
        <v>-0.88927282445365596</v>
      </c>
      <c r="AS1081">
        <v>0</v>
      </c>
      <c r="AT1081">
        <v>0.86363636363636398</v>
      </c>
      <c r="AU1081">
        <v>7.3529411764705899E-3</v>
      </c>
      <c r="AV1081">
        <v>4.8394192696876396E-3</v>
      </c>
      <c r="AW1081">
        <v>1.44170052534872E-2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</v>
      </c>
      <c r="BU1081">
        <v>5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C1081">
        <v>0</v>
      </c>
      <c r="DD1081">
        <v>0</v>
      </c>
      <c r="DE1081">
        <v>0</v>
      </c>
      <c r="DF1081">
        <v>0</v>
      </c>
      <c r="DH1081">
        <v>1.9</v>
      </c>
      <c r="DI1081">
        <v>3.9</v>
      </c>
    </row>
    <row r="1082" spans="1:113" ht="15" customHeight="1" x14ac:dyDescent="0.25">
      <c r="A1082" t="s">
        <v>5309</v>
      </c>
      <c r="B1082" t="s">
        <v>5310</v>
      </c>
      <c r="C1082" t="s">
        <v>5311</v>
      </c>
      <c r="D1082" t="s">
        <v>1350</v>
      </c>
      <c r="E1082" t="s">
        <v>1307</v>
      </c>
      <c r="F1082" t="s">
        <v>5312</v>
      </c>
      <c r="G1082">
        <v>2025</v>
      </c>
      <c r="H1082" t="s">
        <v>1160</v>
      </c>
      <c r="I1082" t="s">
        <v>121</v>
      </c>
      <c r="J1082">
        <v>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Y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S1082">
        <v>0</v>
      </c>
      <c r="AU1082">
        <v>0</v>
      </c>
      <c r="AV1082">
        <v>0</v>
      </c>
      <c r="AW1082">
        <v>0</v>
      </c>
      <c r="AX1082">
        <v>0</v>
      </c>
      <c r="AY1082">
        <v>7</v>
      </c>
      <c r="AZ1082">
        <v>0</v>
      </c>
      <c r="BA1082">
        <v>5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2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10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C1082">
        <v>0</v>
      </c>
      <c r="DD1082">
        <v>0</v>
      </c>
      <c r="DE1082">
        <v>0</v>
      </c>
      <c r="DF1082">
        <v>0</v>
      </c>
      <c r="DH1082">
        <v>0</v>
      </c>
      <c r="DI1082">
        <v>0</v>
      </c>
    </row>
    <row r="1083" spans="1:113" ht="15" customHeight="1" x14ac:dyDescent="0.25">
      <c r="A1083" t="s">
        <v>5313</v>
      </c>
      <c r="B1083" t="s">
        <v>5314</v>
      </c>
      <c r="C1083" t="s">
        <v>5315</v>
      </c>
      <c r="D1083" t="s">
        <v>1243</v>
      </c>
      <c r="E1083" t="s">
        <v>1190</v>
      </c>
      <c r="F1083" t="s">
        <v>5316</v>
      </c>
      <c r="G1083">
        <v>2025</v>
      </c>
      <c r="H1083" t="s">
        <v>1160</v>
      </c>
      <c r="I1083" t="s">
        <v>126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Y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S1083">
        <v>0</v>
      </c>
      <c r="AU1083">
        <v>0</v>
      </c>
      <c r="AV1083">
        <v>0</v>
      </c>
      <c r="AW1083">
        <v>0</v>
      </c>
      <c r="AX1083">
        <v>0</v>
      </c>
      <c r="AY1083">
        <v>2</v>
      </c>
      <c r="AZ1083">
        <v>0</v>
      </c>
      <c r="BA1083">
        <v>2</v>
      </c>
      <c r="BB1083">
        <v>0</v>
      </c>
      <c r="BC1083">
        <v>0</v>
      </c>
      <c r="BD1083">
        <v>0</v>
      </c>
      <c r="BE1083">
        <v>0.5</v>
      </c>
      <c r="BF1083">
        <v>3.5</v>
      </c>
      <c r="BG1083">
        <v>1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C1083">
        <v>0</v>
      </c>
      <c r="DD1083">
        <v>0</v>
      </c>
      <c r="DE1083">
        <v>0</v>
      </c>
      <c r="DF1083">
        <v>0</v>
      </c>
      <c r="DH1083">
        <v>0</v>
      </c>
      <c r="DI1083">
        <v>0</v>
      </c>
    </row>
    <row r="1084" spans="1:113" ht="15" customHeight="1" x14ac:dyDescent="0.25">
      <c r="A1084" t="s">
        <v>5317</v>
      </c>
      <c r="B1084" t="s">
        <v>1193</v>
      </c>
      <c r="C1084" t="s">
        <v>5318</v>
      </c>
      <c r="D1084" t="s">
        <v>1234</v>
      </c>
      <c r="E1084" t="s">
        <v>1234</v>
      </c>
      <c r="F1084" t="s">
        <v>5319</v>
      </c>
      <c r="G1084">
        <v>2025</v>
      </c>
      <c r="H1084" t="s">
        <v>1160</v>
      </c>
      <c r="I1084" t="s">
        <v>101</v>
      </c>
      <c r="J1084">
        <v>14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Y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S1084">
        <v>0</v>
      </c>
      <c r="AU1084">
        <v>0</v>
      </c>
      <c r="AV1084">
        <v>0</v>
      </c>
      <c r="AW1084">
        <v>0</v>
      </c>
      <c r="AX1084">
        <v>0</v>
      </c>
      <c r="AY1084">
        <v>21</v>
      </c>
      <c r="AZ1084">
        <v>1</v>
      </c>
      <c r="BA1084">
        <v>21</v>
      </c>
      <c r="BB1084">
        <v>5</v>
      </c>
      <c r="BC1084">
        <v>26</v>
      </c>
      <c r="BD1084">
        <v>0</v>
      </c>
      <c r="BE1084">
        <v>3</v>
      </c>
      <c r="BF1084">
        <v>23</v>
      </c>
      <c r="BG1084">
        <v>6</v>
      </c>
      <c r="BH1084">
        <v>0</v>
      </c>
      <c r="BI1084">
        <v>0</v>
      </c>
      <c r="BJ1084">
        <v>2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</v>
      </c>
      <c r="BU1084">
        <v>15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C1084">
        <v>0</v>
      </c>
      <c r="DD1084">
        <v>0</v>
      </c>
      <c r="DE1084">
        <v>0</v>
      </c>
      <c r="DF1084">
        <v>0</v>
      </c>
      <c r="DH1084">
        <v>0</v>
      </c>
      <c r="DI1084">
        <v>0</v>
      </c>
    </row>
    <row r="1085" spans="1:113" ht="15" customHeight="1" x14ac:dyDescent="0.25">
      <c r="A1085" t="s">
        <v>5320</v>
      </c>
      <c r="B1085" t="s">
        <v>5321</v>
      </c>
      <c r="C1085" t="s">
        <v>682</v>
      </c>
      <c r="D1085" t="s">
        <v>10</v>
      </c>
      <c r="E1085" t="s">
        <v>10</v>
      </c>
      <c r="F1085" t="s">
        <v>5322</v>
      </c>
      <c r="G1085">
        <v>2025</v>
      </c>
      <c r="H1085" t="s">
        <v>1160</v>
      </c>
      <c r="I1085" t="s">
        <v>124</v>
      </c>
      <c r="J1085">
        <v>15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Y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H1085">
        <v>0</v>
      </c>
      <c r="AI1085">
        <v>47</v>
      </c>
      <c r="AJ1085">
        <v>84</v>
      </c>
      <c r="AK1085">
        <v>1003</v>
      </c>
      <c r="AL1085">
        <v>6</v>
      </c>
      <c r="AM1085">
        <v>0</v>
      </c>
      <c r="AN1085">
        <v>0</v>
      </c>
      <c r="AO1085">
        <v>1593</v>
      </c>
      <c r="AP1085">
        <v>174</v>
      </c>
      <c r="AQ1085">
        <v>41</v>
      </c>
      <c r="AR1085">
        <v>55.779113058435797</v>
      </c>
      <c r="AS1085">
        <v>0</v>
      </c>
      <c r="AT1085">
        <v>0.62962962962962998</v>
      </c>
      <c r="AU1085">
        <v>0.15849056603773601</v>
      </c>
      <c r="AV1085">
        <v>0.363698630136986</v>
      </c>
      <c r="AW1085">
        <v>0.49232489015249398</v>
      </c>
      <c r="AX1085">
        <v>0</v>
      </c>
      <c r="AY1085">
        <v>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4</v>
      </c>
      <c r="BU1085">
        <v>30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C1085">
        <v>0</v>
      </c>
      <c r="DD1085">
        <v>0</v>
      </c>
      <c r="DE1085">
        <v>0</v>
      </c>
      <c r="DF1085">
        <v>0</v>
      </c>
      <c r="DH1085">
        <v>136.30000000000001</v>
      </c>
      <c r="DI1085">
        <v>183.3</v>
      </c>
    </row>
    <row r="1086" spans="1:113" ht="15" customHeight="1" x14ac:dyDescent="0.25">
      <c r="A1086" t="s">
        <v>5323</v>
      </c>
      <c r="B1086" t="s">
        <v>5324</v>
      </c>
      <c r="C1086" t="s">
        <v>5325</v>
      </c>
      <c r="D1086" t="s">
        <v>1189</v>
      </c>
      <c r="E1086" t="s">
        <v>1190</v>
      </c>
      <c r="F1086" t="s">
        <v>5326</v>
      </c>
      <c r="G1086">
        <v>2025</v>
      </c>
      <c r="H1086" t="s">
        <v>1160</v>
      </c>
      <c r="I1086" t="s">
        <v>112</v>
      </c>
      <c r="J1086">
        <v>16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Y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S1086">
        <v>0</v>
      </c>
      <c r="AU1086">
        <v>0</v>
      </c>
      <c r="AV1086">
        <v>0</v>
      </c>
      <c r="AW1086">
        <v>0</v>
      </c>
      <c r="AX1086">
        <v>0</v>
      </c>
      <c r="AY1086">
        <v>21</v>
      </c>
      <c r="AZ1086">
        <v>2</v>
      </c>
      <c r="BA1086">
        <v>14</v>
      </c>
      <c r="BB1086">
        <v>7</v>
      </c>
      <c r="BC1086">
        <v>25</v>
      </c>
      <c r="BD1086">
        <v>1</v>
      </c>
      <c r="BE1086">
        <v>1</v>
      </c>
      <c r="BF1086">
        <v>9</v>
      </c>
      <c r="BG1086">
        <v>4</v>
      </c>
      <c r="BH1086">
        <v>0</v>
      </c>
      <c r="BI1086">
        <v>0</v>
      </c>
      <c r="BJ1086">
        <v>2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</v>
      </c>
      <c r="BR1086">
        <v>1</v>
      </c>
      <c r="BS1086">
        <v>0</v>
      </c>
      <c r="BT1086">
        <v>4</v>
      </c>
      <c r="BU1086">
        <v>24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C1086">
        <v>0</v>
      </c>
      <c r="DD1086">
        <v>0</v>
      </c>
      <c r="DE1086">
        <v>0</v>
      </c>
      <c r="DF1086">
        <v>0</v>
      </c>
      <c r="DH1086">
        <v>0</v>
      </c>
      <c r="DI1086">
        <v>0</v>
      </c>
    </row>
    <row r="1087" spans="1:113" ht="15" customHeight="1" x14ac:dyDescent="0.25">
      <c r="A1087" t="s">
        <v>5327</v>
      </c>
      <c r="B1087" t="s">
        <v>5328</v>
      </c>
      <c r="C1087" t="s">
        <v>789</v>
      </c>
      <c r="D1087" t="s">
        <v>10</v>
      </c>
      <c r="E1087" t="s">
        <v>10</v>
      </c>
      <c r="F1087" t="s">
        <v>5329</v>
      </c>
      <c r="G1087">
        <v>2025</v>
      </c>
      <c r="H1087" t="s">
        <v>1160</v>
      </c>
      <c r="I1087" t="s">
        <v>112</v>
      </c>
      <c r="J1087">
        <v>12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Y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H1087">
        <v>0</v>
      </c>
      <c r="AI1087">
        <v>18</v>
      </c>
      <c r="AJ1087">
        <v>34</v>
      </c>
      <c r="AK1087">
        <v>203</v>
      </c>
      <c r="AL1087">
        <v>1</v>
      </c>
      <c r="AM1087">
        <v>0</v>
      </c>
      <c r="AN1087">
        <v>0</v>
      </c>
      <c r="AO1087">
        <v>408</v>
      </c>
      <c r="AP1087">
        <v>46</v>
      </c>
      <c r="AQ1087">
        <v>12</v>
      </c>
      <c r="AR1087">
        <v>4.91103192177426</v>
      </c>
      <c r="AS1087">
        <v>1</v>
      </c>
      <c r="AT1087">
        <v>0.49754901960784298</v>
      </c>
      <c r="AU1087">
        <v>5.60131795716639E-2</v>
      </c>
      <c r="AV1087">
        <v>8.0489248372460104E-2</v>
      </c>
      <c r="AW1087">
        <v>0.140362243218218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2</v>
      </c>
      <c r="BU1087">
        <v>15</v>
      </c>
      <c r="BV1087">
        <v>0</v>
      </c>
      <c r="BW1087">
        <v>0</v>
      </c>
      <c r="BX1087">
        <v>5</v>
      </c>
      <c r="BY1087">
        <v>105</v>
      </c>
      <c r="BZ1087">
        <v>0</v>
      </c>
      <c r="CA1087">
        <v>0</v>
      </c>
      <c r="CB1087">
        <v>0</v>
      </c>
      <c r="CC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C1087">
        <v>0</v>
      </c>
      <c r="DD1087">
        <v>0</v>
      </c>
      <c r="DE1087">
        <v>0</v>
      </c>
      <c r="DF1087">
        <v>0</v>
      </c>
      <c r="DH1087">
        <v>28.3</v>
      </c>
      <c r="DI1087">
        <v>46.3</v>
      </c>
    </row>
    <row r="1088" spans="1:113" ht="15" customHeight="1" x14ac:dyDescent="0.25">
      <c r="A1088" t="s">
        <v>5330</v>
      </c>
      <c r="B1088" t="s">
        <v>5331</v>
      </c>
      <c r="C1088" t="s">
        <v>5332</v>
      </c>
      <c r="D1088" t="s">
        <v>1684</v>
      </c>
      <c r="E1088" t="s">
        <v>1307</v>
      </c>
      <c r="F1088" t="s">
        <v>5333</v>
      </c>
      <c r="G1088">
        <v>2025</v>
      </c>
      <c r="H1088" t="s">
        <v>1160</v>
      </c>
      <c r="I1088" t="s">
        <v>111</v>
      </c>
      <c r="J1088">
        <v>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Y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S1088">
        <v>0</v>
      </c>
      <c r="AU1088">
        <v>0</v>
      </c>
      <c r="AV1088">
        <v>0</v>
      </c>
      <c r="AW1088">
        <v>0</v>
      </c>
      <c r="AX1088">
        <v>0</v>
      </c>
      <c r="AY1088">
        <v>14</v>
      </c>
      <c r="AZ1088">
        <v>0</v>
      </c>
      <c r="BA1088">
        <v>4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3</v>
      </c>
      <c r="BI1088">
        <v>1</v>
      </c>
      <c r="BJ1088">
        <v>4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15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C1088">
        <v>0</v>
      </c>
      <c r="DD1088">
        <v>0</v>
      </c>
      <c r="DE1088">
        <v>0</v>
      </c>
      <c r="DF1088">
        <v>0</v>
      </c>
      <c r="DH1088">
        <v>0</v>
      </c>
      <c r="DI1088">
        <v>0</v>
      </c>
    </row>
    <row r="1089" spans="1:113" ht="15" customHeight="1" x14ac:dyDescent="0.25">
      <c r="A1089" t="s">
        <v>5334</v>
      </c>
      <c r="B1089" t="s">
        <v>5335</v>
      </c>
      <c r="C1089" t="s">
        <v>5336</v>
      </c>
      <c r="D1089" t="s">
        <v>1168</v>
      </c>
      <c r="E1089" t="s">
        <v>1169</v>
      </c>
      <c r="F1089" t="s">
        <v>5337</v>
      </c>
      <c r="G1089">
        <v>2025</v>
      </c>
      <c r="H1089" t="s">
        <v>1160</v>
      </c>
      <c r="I1089" t="s">
        <v>112</v>
      </c>
      <c r="J1089">
        <v>17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Y1089">
        <v>0</v>
      </c>
      <c r="AA1089">
        <v>1</v>
      </c>
      <c r="AB1089">
        <v>6</v>
      </c>
      <c r="AC1089">
        <v>0</v>
      </c>
      <c r="AD1089">
        <v>0</v>
      </c>
      <c r="AE1089">
        <v>0</v>
      </c>
      <c r="AF1089">
        <v>1</v>
      </c>
      <c r="AG1089">
        <v>2.7246627084677999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S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4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36</v>
      </c>
      <c r="CA1089">
        <v>42</v>
      </c>
      <c r="CB1089">
        <v>6</v>
      </c>
      <c r="CC1089">
        <v>0</v>
      </c>
      <c r="CD1089">
        <v>64</v>
      </c>
      <c r="CE1089">
        <v>0.85714285714285698</v>
      </c>
      <c r="CF1089">
        <v>0</v>
      </c>
      <c r="CG1089">
        <v>10</v>
      </c>
      <c r="CH1089">
        <v>5</v>
      </c>
      <c r="CI1089">
        <v>10</v>
      </c>
      <c r="CJ1089">
        <v>8</v>
      </c>
      <c r="CK1089">
        <v>3</v>
      </c>
      <c r="CL1089">
        <v>0</v>
      </c>
      <c r="CM1089">
        <v>0</v>
      </c>
      <c r="CN1089">
        <v>0</v>
      </c>
      <c r="CO1089">
        <v>0</v>
      </c>
      <c r="CP1089">
        <v>5</v>
      </c>
      <c r="CQ1089">
        <v>1</v>
      </c>
      <c r="CR1089" t="s">
        <v>5338</v>
      </c>
      <c r="CS1089" t="s">
        <v>5339</v>
      </c>
      <c r="CU1089">
        <v>1474</v>
      </c>
      <c r="CV1089">
        <v>344</v>
      </c>
      <c r="CW1089">
        <v>0</v>
      </c>
      <c r="CX1089">
        <v>47</v>
      </c>
      <c r="CY1089">
        <v>48</v>
      </c>
      <c r="CZ1089">
        <v>1</v>
      </c>
      <c r="DA1089">
        <v>0</v>
      </c>
      <c r="DB1089">
        <v>0.97916666666666696</v>
      </c>
      <c r="DC1089">
        <v>2</v>
      </c>
      <c r="DD1089">
        <v>2</v>
      </c>
      <c r="DE1089">
        <v>0</v>
      </c>
      <c r="DF1089">
        <v>0</v>
      </c>
      <c r="DG1089" t="s">
        <v>5340</v>
      </c>
      <c r="DH1089">
        <v>0.6</v>
      </c>
      <c r="DI1089">
        <v>0.6</v>
      </c>
    </row>
    <row r="1090" spans="1:113" ht="15" customHeight="1" x14ac:dyDescent="0.25">
      <c r="A1090" t="s">
        <v>5341</v>
      </c>
      <c r="B1090" t="s">
        <v>5342</v>
      </c>
      <c r="C1090" t="s">
        <v>5343</v>
      </c>
      <c r="D1090" t="s">
        <v>1189</v>
      </c>
      <c r="E1090" t="s">
        <v>1190</v>
      </c>
      <c r="F1090" t="s">
        <v>5344</v>
      </c>
      <c r="G1090">
        <v>2025</v>
      </c>
      <c r="H1090" t="s">
        <v>1160</v>
      </c>
      <c r="I1090" t="s">
        <v>114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Y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2</v>
      </c>
      <c r="BB1090">
        <v>1</v>
      </c>
      <c r="BC1090">
        <v>13</v>
      </c>
      <c r="BD1090">
        <v>0</v>
      </c>
      <c r="BE1090">
        <v>0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</v>
      </c>
      <c r="BU1090">
        <v>15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C1090">
        <v>0</v>
      </c>
      <c r="DD1090">
        <v>0</v>
      </c>
      <c r="DE1090">
        <v>0</v>
      </c>
      <c r="DF1090">
        <v>0</v>
      </c>
      <c r="DH1090">
        <v>0</v>
      </c>
      <c r="DI1090">
        <v>0</v>
      </c>
    </row>
    <row r="1091" spans="1:113" ht="15" customHeight="1" x14ac:dyDescent="0.25">
      <c r="A1091" t="s">
        <v>5345</v>
      </c>
      <c r="B1091" t="s">
        <v>5346</v>
      </c>
      <c r="C1091" t="s">
        <v>897</v>
      </c>
      <c r="D1091" t="s">
        <v>10</v>
      </c>
      <c r="E1091" t="s">
        <v>10</v>
      </c>
      <c r="F1091" t="s">
        <v>5347</v>
      </c>
      <c r="G1091">
        <v>2025</v>
      </c>
      <c r="H1091" t="s">
        <v>1160</v>
      </c>
      <c r="I1091" t="s">
        <v>101</v>
      </c>
      <c r="J1091">
        <v>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Y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H1091">
        <v>0</v>
      </c>
      <c r="AI1091">
        <v>36</v>
      </c>
      <c r="AJ1091">
        <v>59</v>
      </c>
      <c r="AK1091">
        <v>395</v>
      </c>
      <c r="AL1091">
        <v>4</v>
      </c>
      <c r="AM1091">
        <v>1</v>
      </c>
      <c r="AN1091">
        <v>0</v>
      </c>
      <c r="AO1091">
        <v>535</v>
      </c>
      <c r="AP1091">
        <v>100</v>
      </c>
      <c r="AQ1091">
        <v>18</v>
      </c>
      <c r="AR1091">
        <v>-2.0651280481536198</v>
      </c>
      <c r="AS1091">
        <v>0</v>
      </c>
      <c r="AT1091">
        <v>0.73831775700934599</v>
      </c>
      <c r="AU1091">
        <v>0.125</v>
      </c>
      <c r="AV1091">
        <v>0.15716803760282</v>
      </c>
      <c r="AW1091">
        <v>0.29751762632197398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1</v>
      </c>
      <c r="BQ1091">
        <v>0</v>
      </c>
      <c r="BR1091">
        <v>0</v>
      </c>
      <c r="BS1091">
        <v>0</v>
      </c>
      <c r="BT1091">
        <v>1</v>
      </c>
      <c r="BU1091">
        <v>10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C1091">
        <v>0</v>
      </c>
      <c r="DD1091">
        <v>0</v>
      </c>
      <c r="DE1091">
        <v>0</v>
      </c>
      <c r="DF1091">
        <v>0</v>
      </c>
      <c r="DH1091">
        <v>63.5</v>
      </c>
      <c r="DI1091">
        <v>99.5</v>
      </c>
    </row>
    <row r="1092" spans="1:113" ht="15" customHeight="1" x14ac:dyDescent="0.25">
      <c r="A1092" t="s">
        <v>5348</v>
      </c>
      <c r="B1092" t="s">
        <v>5349</v>
      </c>
      <c r="C1092" t="s">
        <v>456</v>
      </c>
      <c r="D1092" t="s">
        <v>10</v>
      </c>
      <c r="E1092" t="s">
        <v>10</v>
      </c>
      <c r="F1092" t="s">
        <v>5350</v>
      </c>
      <c r="G1092">
        <v>2025</v>
      </c>
      <c r="H1092" t="s">
        <v>1160</v>
      </c>
      <c r="I1092" t="s">
        <v>120</v>
      </c>
      <c r="J1092">
        <v>15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Y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H1092">
        <v>0</v>
      </c>
      <c r="AI1092">
        <v>18</v>
      </c>
      <c r="AJ1092">
        <v>36</v>
      </c>
      <c r="AK1092">
        <v>262</v>
      </c>
      <c r="AL1092">
        <v>1</v>
      </c>
      <c r="AM1092">
        <v>0</v>
      </c>
      <c r="AN1092">
        <v>0</v>
      </c>
      <c r="AO1092">
        <v>555</v>
      </c>
      <c r="AP1092">
        <v>50</v>
      </c>
      <c r="AQ1092">
        <v>10</v>
      </c>
      <c r="AR1092">
        <v>-15.057267140948801</v>
      </c>
      <c r="AS1092">
        <v>0</v>
      </c>
      <c r="AT1092">
        <v>0.47207207207207202</v>
      </c>
      <c r="AU1092">
        <v>7.7586206896551699E-2</v>
      </c>
      <c r="AV1092">
        <v>0.123801026098595</v>
      </c>
      <c r="AW1092">
        <v>0.20304002861384399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5</v>
      </c>
      <c r="BW1092">
        <v>48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C1092">
        <v>0</v>
      </c>
      <c r="DD1092">
        <v>0</v>
      </c>
      <c r="DE1092">
        <v>0</v>
      </c>
      <c r="DF1092">
        <v>0</v>
      </c>
      <c r="DH1092">
        <v>32.200000000000003</v>
      </c>
      <c r="DI1092">
        <v>50.2</v>
      </c>
    </row>
    <row r="1093" spans="1:113" ht="15" customHeight="1" x14ac:dyDescent="0.25">
      <c r="A1093" t="s">
        <v>5351</v>
      </c>
      <c r="B1093" t="s">
        <v>5352</v>
      </c>
      <c r="C1093" t="s">
        <v>1022</v>
      </c>
      <c r="D1093" t="s">
        <v>10</v>
      </c>
      <c r="E1093" t="s">
        <v>10</v>
      </c>
      <c r="F1093" t="s">
        <v>5353</v>
      </c>
      <c r="G1093">
        <v>2025</v>
      </c>
      <c r="H1093" t="s">
        <v>1160</v>
      </c>
      <c r="I1093" t="s">
        <v>143</v>
      </c>
      <c r="J1093">
        <v>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-0.49842422152869398</v>
      </c>
      <c r="Y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H1093">
        <v>0</v>
      </c>
      <c r="AI1093">
        <v>10</v>
      </c>
      <c r="AJ1093">
        <v>22</v>
      </c>
      <c r="AK1093">
        <v>130</v>
      </c>
      <c r="AL1093">
        <v>1</v>
      </c>
      <c r="AM1093">
        <v>0</v>
      </c>
      <c r="AN1093">
        <v>0</v>
      </c>
      <c r="AO1093">
        <v>296</v>
      </c>
      <c r="AP1093">
        <v>34</v>
      </c>
      <c r="AQ1093">
        <v>7</v>
      </c>
      <c r="AR1093">
        <v>-8.8142604257666708</v>
      </c>
      <c r="AS1093">
        <v>0</v>
      </c>
      <c r="AT1093">
        <v>0.43918918918918898</v>
      </c>
      <c r="AU1093">
        <v>5.0925925925925902E-2</v>
      </c>
      <c r="AV1093">
        <v>7.4037018509254607E-2</v>
      </c>
      <c r="AW1093">
        <v>0.12821480184536699</v>
      </c>
      <c r="AX1093">
        <v>0</v>
      </c>
      <c r="AY1093">
        <v>1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</v>
      </c>
      <c r="BU1093">
        <v>10</v>
      </c>
      <c r="BV1093">
        <v>0</v>
      </c>
      <c r="BW1093">
        <v>0</v>
      </c>
      <c r="BX1093">
        <v>1</v>
      </c>
      <c r="BY1093">
        <v>22</v>
      </c>
      <c r="BZ1093">
        <v>0</v>
      </c>
      <c r="CA1093">
        <v>0</v>
      </c>
      <c r="CB1093">
        <v>0</v>
      </c>
      <c r="CC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C1093">
        <v>0</v>
      </c>
      <c r="DD1093">
        <v>0</v>
      </c>
      <c r="DE1093">
        <v>0</v>
      </c>
      <c r="DF1093">
        <v>0</v>
      </c>
      <c r="DH1093">
        <v>19</v>
      </c>
      <c r="DI1093">
        <v>29</v>
      </c>
    </row>
    <row r="1094" spans="1:113" ht="15" customHeight="1" x14ac:dyDescent="0.25">
      <c r="A1094" t="s">
        <v>5354</v>
      </c>
      <c r="B1094" t="s">
        <v>5355</v>
      </c>
      <c r="C1094" t="s">
        <v>5356</v>
      </c>
      <c r="D1094" t="s">
        <v>1350</v>
      </c>
      <c r="E1094" t="s">
        <v>1307</v>
      </c>
      <c r="F1094" t="s">
        <v>5357</v>
      </c>
      <c r="G1094">
        <v>2025</v>
      </c>
      <c r="H1094" t="s">
        <v>1160</v>
      </c>
      <c r="I1094" t="s">
        <v>107</v>
      </c>
      <c r="J1094">
        <v>16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Y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S1094">
        <v>0</v>
      </c>
      <c r="AU1094">
        <v>0</v>
      </c>
      <c r="AV1094">
        <v>0</v>
      </c>
      <c r="AW1094">
        <v>0</v>
      </c>
      <c r="AX1094">
        <v>0</v>
      </c>
      <c r="AY1094">
        <v>56</v>
      </c>
      <c r="AZ1094">
        <v>1</v>
      </c>
      <c r="BA1094">
        <v>31</v>
      </c>
      <c r="BB1094">
        <v>2</v>
      </c>
      <c r="BC1094">
        <v>5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11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4</v>
      </c>
      <c r="BU1094">
        <v>55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C1094">
        <v>0</v>
      </c>
      <c r="DD1094">
        <v>0</v>
      </c>
      <c r="DE1094">
        <v>0</v>
      </c>
      <c r="DF1094">
        <v>0</v>
      </c>
      <c r="DH1094">
        <v>0</v>
      </c>
      <c r="DI1094">
        <v>0</v>
      </c>
    </row>
    <row r="1095" spans="1:113" ht="15" customHeight="1" x14ac:dyDescent="0.25">
      <c r="A1095" t="s">
        <v>5358</v>
      </c>
      <c r="B1095" t="s">
        <v>5359</v>
      </c>
      <c r="C1095" t="s">
        <v>446</v>
      </c>
      <c r="D1095" t="s">
        <v>439</v>
      </c>
      <c r="E1095" t="s">
        <v>439</v>
      </c>
      <c r="F1095" t="s">
        <v>5360</v>
      </c>
      <c r="G1095">
        <v>2025</v>
      </c>
      <c r="H1095" t="s">
        <v>1160</v>
      </c>
      <c r="I1095" t="s">
        <v>90</v>
      </c>
      <c r="J1095">
        <v>17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Y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H1095">
        <v>0</v>
      </c>
      <c r="AI1095">
        <v>126</v>
      </c>
      <c r="AJ1095">
        <v>169</v>
      </c>
      <c r="AK1095">
        <v>1239</v>
      </c>
      <c r="AL1095">
        <v>11</v>
      </c>
      <c r="AM1095">
        <v>0</v>
      </c>
      <c r="AN1095">
        <v>0</v>
      </c>
      <c r="AO1095">
        <v>1126</v>
      </c>
      <c r="AP1095">
        <v>583</v>
      </c>
      <c r="AQ1095">
        <v>63</v>
      </c>
      <c r="AR1095">
        <v>72.716366890273093</v>
      </c>
      <c r="AS1095">
        <v>0</v>
      </c>
      <c r="AT1095">
        <v>1.1003552397868599</v>
      </c>
      <c r="AU1095">
        <v>0.27390599675850902</v>
      </c>
      <c r="AV1095">
        <v>0.24163090128755399</v>
      </c>
      <c r="AW1095">
        <v>0.580000626039051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5</v>
      </c>
      <c r="BU1095">
        <v>55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C1095">
        <v>0</v>
      </c>
      <c r="DD1095">
        <v>0</v>
      </c>
      <c r="DE1095">
        <v>0</v>
      </c>
      <c r="DF1095">
        <v>0</v>
      </c>
      <c r="DH1095">
        <v>189.9</v>
      </c>
      <c r="DI1095">
        <v>315.89999999999998</v>
      </c>
    </row>
    <row r="1096" spans="1:113" ht="15" customHeight="1" x14ac:dyDescent="0.25">
      <c r="A1096" t="s">
        <v>5361</v>
      </c>
      <c r="B1096" t="s">
        <v>5362</v>
      </c>
      <c r="C1096" t="s">
        <v>948</v>
      </c>
      <c r="D1096" t="s">
        <v>431</v>
      </c>
      <c r="E1096" t="s">
        <v>431</v>
      </c>
      <c r="F1096" t="s">
        <v>5363</v>
      </c>
      <c r="G1096">
        <v>2025</v>
      </c>
      <c r="H1096" t="s">
        <v>1160</v>
      </c>
      <c r="I1096" t="s">
        <v>140</v>
      </c>
      <c r="J1096">
        <v>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Y1096">
        <v>0</v>
      </c>
      <c r="AA1096">
        <v>4</v>
      </c>
      <c r="AB1096">
        <v>32</v>
      </c>
      <c r="AC1096">
        <v>0</v>
      </c>
      <c r="AD1096">
        <v>0</v>
      </c>
      <c r="AE1096">
        <v>0</v>
      </c>
      <c r="AF1096">
        <v>1</v>
      </c>
      <c r="AG1096">
        <v>1.15214592474513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S1096">
        <v>0</v>
      </c>
      <c r="AU1096">
        <v>0</v>
      </c>
      <c r="AV1096">
        <v>0</v>
      </c>
      <c r="AW1096">
        <v>0</v>
      </c>
      <c r="AX1096">
        <v>0</v>
      </c>
      <c r="AY1096">
        <v>1</v>
      </c>
      <c r="AZ1096">
        <v>0</v>
      </c>
      <c r="BA1096">
        <v>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8</v>
      </c>
      <c r="BY1096">
        <v>183</v>
      </c>
      <c r="BZ1096">
        <v>0</v>
      </c>
      <c r="CA1096">
        <v>0</v>
      </c>
      <c r="CB1096">
        <v>0</v>
      </c>
      <c r="CC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C1096">
        <v>0</v>
      </c>
      <c r="DD1096">
        <v>0</v>
      </c>
      <c r="DE1096">
        <v>0</v>
      </c>
      <c r="DF1096">
        <v>0</v>
      </c>
      <c r="DH1096">
        <v>3.2</v>
      </c>
      <c r="DI1096">
        <v>3.2</v>
      </c>
    </row>
    <row r="1097" spans="1:113" ht="15" customHeight="1" x14ac:dyDescent="0.25">
      <c r="A1097" t="s">
        <v>5364</v>
      </c>
      <c r="B1097" t="s">
        <v>5365</v>
      </c>
      <c r="C1097" t="s">
        <v>5366</v>
      </c>
      <c r="D1097" t="s">
        <v>431</v>
      </c>
      <c r="E1097" t="s">
        <v>431</v>
      </c>
      <c r="F1097" t="s">
        <v>5367</v>
      </c>
      <c r="G1097">
        <v>2025</v>
      </c>
      <c r="H1097" t="s">
        <v>1160</v>
      </c>
      <c r="I1097" t="s">
        <v>141</v>
      </c>
      <c r="J1097">
        <v>17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Y1097">
        <v>0</v>
      </c>
      <c r="AA1097">
        <v>92</v>
      </c>
      <c r="AB1097">
        <v>400</v>
      </c>
      <c r="AC1097">
        <v>2</v>
      </c>
      <c r="AD1097">
        <v>0</v>
      </c>
      <c r="AE1097">
        <v>0</v>
      </c>
      <c r="AF1097">
        <v>20</v>
      </c>
      <c r="AG1097">
        <v>-0.71961626869651996</v>
      </c>
      <c r="AH1097">
        <v>0</v>
      </c>
      <c r="AI1097">
        <v>8</v>
      </c>
      <c r="AJ1097">
        <v>12</v>
      </c>
      <c r="AK1097">
        <v>25</v>
      </c>
      <c r="AL1097">
        <v>0</v>
      </c>
      <c r="AM1097">
        <v>0</v>
      </c>
      <c r="AN1097">
        <v>0</v>
      </c>
      <c r="AO1097">
        <v>0</v>
      </c>
      <c r="AP1097">
        <v>35</v>
      </c>
      <c r="AQ1097">
        <v>1</v>
      </c>
      <c r="AR1097">
        <v>-4.0627144039608503</v>
      </c>
      <c r="AS1097">
        <v>0</v>
      </c>
      <c r="AT1097">
        <v>0</v>
      </c>
      <c r="AU1097">
        <v>2.1818181818181799E-2</v>
      </c>
      <c r="AV1097">
        <v>0</v>
      </c>
      <c r="AW1097">
        <v>3.2727272727272702E-2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13</v>
      </c>
      <c r="BY1097">
        <v>378</v>
      </c>
      <c r="BZ1097">
        <v>0</v>
      </c>
      <c r="CA1097">
        <v>0</v>
      </c>
      <c r="CB1097">
        <v>0</v>
      </c>
      <c r="CC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C1097">
        <v>0</v>
      </c>
      <c r="DD1097">
        <v>0</v>
      </c>
      <c r="DE1097">
        <v>0</v>
      </c>
      <c r="DF1097">
        <v>0</v>
      </c>
      <c r="DH1097">
        <v>54.5</v>
      </c>
      <c r="DI1097">
        <v>62.5</v>
      </c>
    </row>
    <row r="1098" spans="1:113" ht="15" customHeight="1" x14ac:dyDescent="0.25">
      <c r="A1098" t="s">
        <v>5368</v>
      </c>
      <c r="B1098" t="s">
        <v>5369</v>
      </c>
      <c r="C1098" t="s">
        <v>5370</v>
      </c>
      <c r="D1098" t="s">
        <v>1684</v>
      </c>
      <c r="E1098" t="s">
        <v>1307</v>
      </c>
      <c r="F1098" t="s">
        <v>5371</v>
      </c>
      <c r="G1098">
        <v>2025</v>
      </c>
      <c r="H1098" t="s">
        <v>1160</v>
      </c>
      <c r="I1098" t="s">
        <v>107</v>
      </c>
      <c r="J1098">
        <v>14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Y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S1098">
        <v>0</v>
      </c>
      <c r="AU1098">
        <v>0</v>
      </c>
      <c r="AV1098">
        <v>0</v>
      </c>
      <c r="AW1098">
        <v>0</v>
      </c>
      <c r="AX1098">
        <v>0</v>
      </c>
      <c r="AY1098">
        <v>10</v>
      </c>
      <c r="AZ1098">
        <v>0</v>
      </c>
      <c r="BA1098">
        <v>13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1</v>
      </c>
      <c r="BU1098">
        <v>10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C1098">
        <v>0</v>
      </c>
      <c r="DD1098">
        <v>0</v>
      </c>
      <c r="DE1098">
        <v>0</v>
      </c>
      <c r="DF1098">
        <v>0</v>
      </c>
      <c r="DH1098">
        <v>0</v>
      </c>
      <c r="DI1098">
        <v>0</v>
      </c>
    </row>
    <row r="1099" spans="1:113" ht="15" customHeight="1" x14ac:dyDescent="0.25">
      <c r="A1099" t="s">
        <v>5372</v>
      </c>
      <c r="B1099" t="s">
        <v>5373</v>
      </c>
      <c r="C1099" t="s">
        <v>5374</v>
      </c>
      <c r="D1099" t="s">
        <v>1350</v>
      </c>
      <c r="E1099" t="s">
        <v>1307</v>
      </c>
      <c r="F1099" t="s">
        <v>5375</v>
      </c>
      <c r="G1099">
        <v>2025</v>
      </c>
      <c r="H1099" t="s">
        <v>1160</v>
      </c>
      <c r="I1099" t="s">
        <v>107</v>
      </c>
      <c r="J1099">
        <v>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Y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S1099">
        <v>0</v>
      </c>
      <c r="AU1099">
        <v>0</v>
      </c>
      <c r="AV1099">
        <v>0</v>
      </c>
      <c r="AW1099">
        <v>0</v>
      </c>
      <c r="AX1099">
        <v>0</v>
      </c>
      <c r="AY1099">
        <v>12</v>
      </c>
      <c r="AZ1099">
        <v>0</v>
      </c>
      <c r="BA1099">
        <v>9</v>
      </c>
      <c r="BB1099">
        <v>1</v>
      </c>
      <c r="BC1099">
        <v>4</v>
      </c>
      <c r="BD1099">
        <v>0</v>
      </c>
      <c r="BE1099">
        <v>0</v>
      </c>
      <c r="BF1099">
        <v>0</v>
      </c>
      <c r="BG1099">
        <v>1</v>
      </c>
      <c r="BH1099">
        <v>0</v>
      </c>
      <c r="BI1099">
        <v>0</v>
      </c>
      <c r="BJ1099">
        <v>5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4</v>
      </c>
      <c r="BU1099">
        <v>26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C1099">
        <v>0</v>
      </c>
      <c r="DD1099">
        <v>0</v>
      </c>
      <c r="DE1099">
        <v>0</v>
      </c>
      <c r="DF1099">
        <v>0</v>
      </c>
      <c r="DH1099">
        <v>0</v>
      </c>
      <c r="DI1099">
        <v>0</v>
      </c>
    </row>
    <row r="1100" spans="1:113" ht="15" customHeight="1" x14ac:dyDescent="0.25">
      <c r="A1100" t="s">
        <v>5376</v>
      </c>
      <c r="B1100" t="s">
        <v>2740</v>
      </c>
      <c r="C1100" t="s">
        <v>898</v>
      </c>
      <c r="D1100" t="s">
        <v>439</v>
      </c>
      <c r="E1100" t="s">
        <v>439</v>
      </c>
      <c r="F1100" t="s">
        <v>5377</v>
      </c>
      <c r="G1100">
        <v>2025</v>
      </c>
      <c r="H1100" t="s">
        <v>1160</v>
      </c>
      <c r="I1100" t="s">
        <v>101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Y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H1100">
        <v>0</v>
      </c>
      <c r="AI1100">
        <v>1</v>
      </c>
      <c r="AJ1100">
        <v>3</v>
      </c>
      <c r="AK1100">
        <v>4</v>
      </c>
      <c r="AL1100">
        <v>0</v>
      </c>
      <c r="AM1100">
        <v>0</v>
      </c>
      <c r="AN1100">
        <v>0</v>
      </c>
      <c r="AO1100">
        <v>6</v>
      </c>
      <c r="AP1100">
        <v>1</v>
      </c>
      <c r="AQ1100">
        <v>0</v>
      </c>
      <c r="AR1100">
        <v>-2.5458273683325401</v>
      </c>
      <c r="AS1100">
        <v>0</v>
      </c>
      <c r="AT1100">
        <v>0.66666666666666696</v>
      </c>
      <c r="AU1100">
        <v>6.3559322033898301E-3</v>
      </c>
      <c r="AV1100">
        <v>1.7626321974148101E-3</v>
      </c>
      <c r="AW1100">
        <v>1.07677408432751E-2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C1100">
        <v>0</v>
      </c>
      <c r="DD1100">
        <v>0</v>
      </c>
      <c r="DE1100">
        <v>0</v>
      </c>
      <c r="DF1100">
        <v>0</v>
      </c>
      <c r="DH1100">
        <v>0.4</v>
      </c>
      <c r="DI1100">
        <v>1.4</v>
      </c>
    </row>
    <row r="1101" spans="1:113" ht="15" customHeight="1" x14ac:dyDescent="0.25">
      <c r="A1101" t="s">
        <v>5378</v>
      </c>
      <c r="B1101" t="s">
        <v>4063</v>
      </c>
      <c r="C1101" t="s">
        <v>5379</v>
      </c>
      <c r="D1101" t="s">
        <v>1243</v>
      </c>
      <c r="E1101" t="s">
        <v>1190</v>
      </c>
      <c r="F1101" t="s">
        <v>5380</v>
      </c>
      <c r="G1101">
        <v>2025</v>
      </c>
      <c r="H1101" t="s">
        <v>1160</v>
      </c>
      <c r="I1101" t="s">
        <v>97</v>
      </c>
      <c r="J1101">
        <v>16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Y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S1101">
        <v>0</v>
      </c>
      <c r="AU1101">
        <v>0</v>
      </c>
      <c r="AV1101">
        <v>0</v>
      </c>
      <c r="AW1101">
        <v>0</v>
      </c>
      <c r="AX1101">
        <v>0</v>
      </c>
      <c r="AY1101">
        <v>17</v>
      </c>
      <c r="AZ1101">
        <v>3</v>
      </c>
      <c r="BA1101">
        <v>27</v>
      </c>
      <c r="BB1101">
        <v>9</v>
      </c>
      <c r="BC1101">
        <v>25</v>
      </c>
      <c r="BD1101">
        <v>1</v>
      </c>
      <c r="BE1101">
        <v>5</v>
      </c>
      <c r="BF1101">
        <v>22.5</v>
      </c>
      <c r="BG1101">
        <v>9</v>
      </c>
      <c r="BH1101">
        <v>0</v>
      </c>
      <c r="BI1101">
        <v>0</v>
      </c>
      <c r="BJ1101">
        <v>2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1</v>
      </c>
      <c r="BR1101">
        <v>1</v>
      </c>
      <c r="BS1101">
        <v>0</v>
      </c>
      <c r="BT1101">
        <v>1</v>
      </c>
      <c r="BU1101">
        <v>7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C1101">
        <v>0</v>
      </c>
      <c r="DD1101">
        <v>0</v>
      </c>
      <c r="DE1101">
        <v>0</v>
      </c>
      <c r="DF1101">
        <v>0</v>
      </c>
      <c r="DH1101">
        <v>0</v>
      </c>
      <c r="DI1101">
        <v>0</v>
      </c>
    </row>
    <row r="1102" spans="1:113" ht="15" customHeight="1" x14ac:dyDescent="0.25">
      <c r="A1102" t="s">
        <v>5381</v>
      </c>
      <c r="B1102" t="s">
        <v>5382</v>
      </c>
      <c r="C1102" t="s">
        <v>5383</v>
      </c>
      <c r="D1102" t="s">
        <v>1219</v>
      </c>
      <c r="E1102" t="s">
        <v>1220</v>
      </c>
      <c r="F1102" t="s">
        <v>5384</v>
      </c>
      <c r="G1102">
        <v>2025</v>
      </c>
      <c r="H1102" t="s">
        <v>1160</v>
      </c>
      <c r="I1102" t="s">
        <v>124</v>
      </c>
      <c r="J1102">
        <v>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Y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2</v>
      </c>
      <c r="AP1102">
        <v>0</v>
      </c>
      <c r="AQ1102">
        <v>0</v>
      </c>
      <c r="AR1102">
        <v>-0.36578686919529002</v>
      </c>
      <c r="AS1102">
        <v>0</v>
      </c>
      <c r="AT1102">
        <v>0</v>
      </c>
      <c r="AU1102">
        <v>1.88679245283019E-3</v>
      </c>
      <c r="AV1102">
        <v>4.5662100456620998E-4</v>
      </c>
      <c r="AW1102">
        <v>3.14982338244163E-3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7</v>
      </c>
      <c r="BU1102">
        <v>55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C1102">
        <v>0</v>
      </c>
      <c r="DD1102">
        <v>0</v>
      </c>
      <c r="DE1102">
        <v>0</v>
      </c>
      <c r="DF1102">
        <v>0</v>
      </c>
      <c r="DH1102">
        <v>0</v>
      </c>
      <c r="DI1102">
        <v>0</v>
      </c>
    </row>
    <row r="1103" spans="1:113" ht="15" customHeight="1" x14ac:dyDescent="0.25">
      <c r="A1103" t="s">
        <v>5385</v>
      </c>
      <c r="B1103" t="s">
        <v>5386</v>
      </c>
      <c r="C1103" t="s">
        <v>5387</v>
      </c>
      <c r="D1103" t="s">
        <v>1350</v>
      </c>
      <c r="E1103" t="s">
        <v>1307</v>
      </c>
      <c r="F1103" t="s">
        <v>5388</v>
      </c>
      <c r="G1103">
        <v>2025</v>
      </c>
      <c r="H1103" t="s">
        <v>1160</v>
      </c>
      <c r="I1103" t="s">
        <v>139</v>
      </c>
      <c r="J1103">
        <v>14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Y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S1103">
        <v>0</v>
      </c>
      <c r="AU1103">
        <v>0</v>
      </c>
      <c r="AV1103">
        <v>0</v>
      </c>
      <c r="AW1103">
        <v>0</v>
      </c>
      <c r="AX1103">
        <v>0</v>
      </c>
      <c r="AY1103">
        <v>25</v>
      </c>
      <c r="AZ1103">
        <v>2</v>
      </c>
      <c r="BA1103">
        <v>11</v>
      </c>
      <c r="BB1103">
        <v>3</v>
      </c>
      <c r="BC1103">
        <v>5</v>
      </c>
      <c r="BD1103">
        <v>1</v>
      </c>
      <c r="BE1103">
        <v>0</v>
      </c>
      <c r="BF1103">
        <v>0</v>
      </c>
      <c r="BG1103">
        <v>0</v>
      </c>
      <c r="BH1103">
        <v>1</v>
      </c>
      <c r="BI1103">
        <v>68</v>
      </c>
      <c r="BJ1103">
        <v>11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2</v>
      </c>
      <c r="BU1103">
        <v>22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C1103">
        <v>0</v>
      </c>
      <c r="DD1103">
        <v>0</v>
      </c>
      <c r="DE1103">
        <v>0</v>
      </c>
      <c r="DF1103">
        <v>0</v>
      </c>
      <c r="DH1103">
        <v>0</v>
      </c>
      <c r="DI1103">
        <v>0</v>
      </c>
    </row>
    <row r="1104" spans="1:113" ht="15" customHeight="1" x14ac:dyDescent="0.25">
      <c r="A1104" t="s">
        <v>5389</v>
      </c>
      <c r="B1104" t="s">
        <v>5390</v>
      </c>
      <c r="C1104" t="s">
        <v>5391</v>
      </c>
      <c r="D1104" t="s">
        <v>1189</v>
      </c>
      <c r="E1104" t="s">
        <v>1190</v>
      </c>
      <c r="F1104" t="s">
        <v>5392</v>
      </c>
      <c r="G1104">
        <v>2025</v>
      </c>
      <c r="H1104" t="s">
        <v>1160</v>
      </c>
      <c r="I1104" t="s">
        <v>103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Y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S1104">
        <v>0</v>
      </c>
      <c r="AU1104">
        <v>0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C1104">
        <v>0</v>
      </c>
      <c r="DD1104">
        <v>0</v>
      </c>
      <c r="DE1104">
        <v>0</v>
      </c>
      <c r="DF1104">
        <v>0</v>
      </c>
      <c r="DH1104">
        <v>0</v>
      </c>
      <c r="DI1104">
        <v>0</v>
      </c>
    </row>
    <row r="1105" spans="1:113" ht="15" customHeight="1" x14ac:dyDescent="0.25">
      <c r="A1105" t="s">
        <v>5393</v>
      </c>
      <c r="B1105" t="s">
        <v>5394</v>
      </c>
      <c r="C1105" t="s">
        <v>5395</v>
      </c>
      <c r="D1105" t="s">
        <v>1234</v>
      </c>
      <c r="E1105" t="s">
        <v>1234</v>
      </c>
      <c r="F1105" t="s">
        <v>5396</v>
      </c>
      <c r="G1105">
        <v>2025</v>
      </c>
      <c r="H1105" t="s">
        <v>1160</v>
      </c>
      <c r="I1105" t="s">
        <v>115</v>
      </c>
      <c r="J1105">
        <v>17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Y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S1105">
        <v>0</v>
      </c>
      <c r="AU1105">
        <v>0</v>
      </c>
      <c r="AV1105">
        <v>0</v>
      </c>
      <c r="AW1105">
        <v>0</v>
      </c>
      <c r="AX1105">
        <v>0</v>
      </c>
      <c r="AY1105">
        <v>13</v>
      </c>
      <c r="AZ1105">
        <v>0</v>
      </c>
      <c r="BA1105">
        <v>28</v>
      </c>
      <c r="BB1105">
        <v>3</v>
      </c>
      <c r="BC1105">
        <v>28</v>
      </c>
      <c r="BD1105">
        <v>0</v>
      </c>
      <c r="BE1105">
        <v>4</v>
      </c>
      <c r="BF1105">
        <v>34.5</v>
      </c>
      <c r="BG1105">
        <v>9</v>
      </c>
      <c r="BH1105">
        <v>2</v>
      </c>
      <c r="BI1105">
        <v>59</v>
      </c>
      <c r="BJ1105">
        <v>3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2</v>
      </c>
      <c r="BU1105">
        <v>25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C1105">
        <v>0</v>
      </c>
      <c r="DD1105">
        <v>0</v>
      </c>
      <c r="DE1105">
        <v>0</v>
      </c>
      <c r="DF1105">
        <v>0</v>
      </c>
      <c r="DH1105">
        <v>0</v>
      </c>
      <c r="DI1105">
        <v>0</v>
      </c>
    </row>
    <row r="1106" spans="1:113" ht="15" customHeight="1" x14ac:dyDescent="0.25">
      <c r="A1106" t="s">
        <v>5397</v>
      </c>
      <c r="B1106" t="s">
        <v>5398</v>
      </c>
      <c r="C1106" t="s">
        <v>590</v>
      </c>
      <c r="D1106" t="s">
        <v>10</v>
      </c>
      <c r="E1106" t="s">
        <v>10</v>
      </c>
      <c r="F1106" t="s">
        <v>5399</v>
      </c>
      <c r="G1106">
        <v>2025</v>
      </c>
      <c r="H1106" t="s">
        <v>1160</v>
      </c>
      <c r="I1106" t="s">
        <v>112</v>
      </c>
      <c r="J1106">
        <v>15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Y1106">
        <v>0</v>
      </c>
      <c r="AA1106">
        <v>17</v>
      </c>
      <c r="AB1106">
        <v>89</v>
      </c>
      <c r="AC1106">
        <v>0</v>
      </c>
      <c r="AD1106">
        <v>1</v>
      </c>
      <c r="AE1106">
        <v>1</v>
      </c>
      <c r="AF1106">
        <v>4</v>
      </c>
      <c r="AG1106">
        <v>-3.1744808063958798</v>
      </c>
      <c r="AH1106">
        <v>0</v>
      </c>
      <c r="AI1106">
        <v>26</v>
      </c>
      <c r="AJ1106">
        <v>38</v>
      </c>
      <c r="AK1106">
        <v>396</v>
      </c>
      <c r="AL1106">
        <v>2</v>
      </c>
      <c r="AM1106">
        <v>0</v>
      </c>
      <c r="AN1106">
        <v>0</v>
      </c>
      <c r="AO1106">
        <v>339</v>
      </c>
      <c r="AP1106">
        <v>214</v>
      </c>
      <c r="AQ1106">
        <v>16</v>
      </c>
      <c r="AR1106">
        <v>16.7210022878972</v>
      </c>
      <c r="AS1106">
        <v>0</v>
      </c>
      <c r="AT1106">
        <v>1.16814159292035</v>
      </c>
      <c r="AU1106">
        <v>6.2602965403624394E-2</v>
      </c>
      <c r="AV1106">
        <v>6.6877096074176398E-2</v>
      </c>
      <c r="AW1106">
        <v>0.14071841535735999</v>
      </c>
      <c r="AX1106">
        <v>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1</v>
      </c>
      <c r="BU1106">
        <v>5</v>
      </c>
      <c r="BV1106">
        <v>9</v>
      </c>
      <c r="BW1106">
        <v>55</v>
      </c>
      <c r="BX1106">
        <v>69</v>
      </c>
      <c r="BY1106">
        <v>1814</v>
      </c>
      <c r="BZ1106">
        <v>0</v>
      </c>
      <c r="CA1106">
        <v>0</v>
      </c>
      <c r="CB1106">
        <v>0</v>
      </c>
      <c r="CC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C1106">
        <v>0</v>
      </c>
      <c r="DD1106">
        <v>0</v>
      </c>
      <c r="DE1106">
        <v>0</v>
      </c>
      <c r="DF1106">
        <v>0</v>
      </c>
      <c r="DH1106">
        <v>58.5</v>
      </c>
      <c r="DI1106">
        <v>84.5</v>
      </c>
    </row>
    <row r="1107" spans="1:113" ht="15" customHeight="1" x14ac:dyDescent="0.25">
      <c r="A1107" t="s">
        <v>5400</v>
      </c>
      <c r="B1107" t="s">
        <v>5401</v>
      </c>
      <c r="C1107" t="s">
        <v>5402</v>
      </c>
      <c r="D1107" t="s">
        <v>1243</v>
      </c>
      <c r="E1107" t="s">
        <v>1190</v>
      </c>
      <c r="F1107" t="s">
        <v>5403</v>
      </c>
      <c r="G1107">
        <v>2025</v>
      </c>
      <c r="H1107" t="s">
        <v>1160</v>
      </c>
      <c r="I1107" t="s">
        <v>90</v>
      </c>
      <c r="J1107">
        <v>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Y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S1107">
        <v>0</v>
      </c>
      <c r="AU1107">
        <v>0</v>
      </c>
      <c r="AV1107">
        <v>0</v>
      </c>
      <c r="AW1107">
        <v>0</v>
      </c>
      <c r="AX1107">
        <v>0</v>
      </c>
      <c r="AY1107">
        <v>5</v>
      </c>
      <c r="AZ1107">
        <v>0</v>
      </c>
      <c r="BA1107">
        <v>8</v>
      </c>
      <c r="BB1107">
        <v>0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C1107">
        <v>0</v>
      </c>
      <c r="DD1107">
        <v>0</v>
      </c>
      <c r="DE1107">
        <v>0</v>
      </c>
      <c r="DF1107">
        <v>0</v>
      </c>
      <c r="DH1107">
        <v>0</v>
      </c>
      <c r="DI1107">
        <v>0</v>
      </c>
    </row>
    <row r="1108" spans="1:113" ht="15" customHeight="1" x14ac:dyDescent="0.25">
      <c r="A1108" t="s">
        <v>5404</v>
      </c>
      <c r="B1108" t="s">
        <v>5405</v>
      </c>
      <c r="C1108" t="s">
        <v>892</v>
      </c>
      <c r="D1108" t="s">
        <v>439</v>
      </c>
      <c r="E1108" t="s">
        <v>439</v>
      </c>
      <c r="F1108" t="s">
        <v>5406</v>
      </c>
      <c r="G1108">
        <v>2025</v>
      </c>
      <c r="H1108" t="s">
        <v>1160</v>
      </c>
      <c r="I1108" t="s">
        <v>101</v>
      </c>
      <c r="J1108">
        <v>14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Y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H1108">
        <v>0</v>
      </c>
      <c r="AI1108">
        <v>23</v>
      </c>
      <c r="AJ1108">
        <v>29</v>
      </c>
      <c r="AK1108">
        <v>179</v>
      </c>
      <c r="AL1108">
        <v>1</v>
      </c>
      <c r="AM1108">
        <v>0</v>
      </c>
      <c r="AN1108">
        <v>0</v>
      </c>
      <c r="AO1108">
        <v>102</v>
      </c>
      <c r="AP1108">
        <v>99</v>
      </c>
      <c r="AQ1108">
        <v>8</v>
      </c>
      <c r="AR1108">
        <v>4.54611501499312</v>
      </c>
      <c r="AS1108">
        <v>0</v>
      </c>
      <c r="AT1108">
        <v>1.7549019607843099</v>
      </c>
      <c r="AU1108">
        <v>6.1440677966101698E-2</v>
      </c>
      <c r="AV1108">
        <v>2.9964747356051698E-2</v>
      </c>
      <c r="AW1108">
        <v>0.11313634009838899</v>
      </c>
      <c r="AX1108">
        <v>0</v>
      </c>
      <c r="AY1108">
        <v>0</v>
      </c>
      <c r="AZ1108">
        <v>0</v>
      </c>
      <c r="BA1108">
        <v>2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3</v>
      </c>
      <c r="BU1108">
        <v>20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C1108">
        <v>0</v>
      </c>
      <c r="DD1108">
        <v>0</v>
      </c>
      <c r="DE1108">
        <v>0</v>
      </c>
      <c r="DF1108">
        <v>0</v>
      </c>
      <c r="DH1108">
        <v>23.9</v>
      </c>
      <c r="DI1108">
        <v>46.9</v>
      </c>
    </row>
    <row r="1109" spans="1:113" ht="15" customHeight="1" x14ac:dyDescent="0.25">
      <c r="A1109" t="s">
        <v>5407</v>
      </c>
      <c r="B1109" t="s">
        <v>5408</v>
      </c>
      <c r="C1109" t="s">
        <v>5409</v>
      </c>
      <c r="D1109" t="s">
        <v>1234</v>
      </c>
      <c r="E1109" t="s">
        <v>1234</v>
      </c>
      <c r="F1109" t="s">
        <v>5410</v>
      </c>
      <c r="G1109">
        <v>2025</v>
      </c>
      <c r="H1109" t="s">
        <v>1160</v>
      </c>
      <c r="I1109" t="s">
        <v>93</v>
      </c>
      <c r="J1109">
        <v>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Y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S1109">
        <v>0</v>
      </c>
      <c r="AU1109">
        <v>0</v>
      </c>
      <c r="AV1109">
        <v>0</v>
      </c>
      <c r="AW1109">
        <v>0</v>
      </c>
      <c r="AX1109">
        <v>0</v>
      </c>
      <c r="AY1109">
        <v>2</v>
      </c>
      <c r="AZ1109">
        <v>0</v>
      </c>
      <c r="BA1109">
        <v>6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6</v>
      </c>
      <c r="BJ1109">
        <v>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C1109">
        <v>0</v>
      </c>
      <c r="DD1109">
        <v>0</v>
      </c>
      <c r="DE1109">
        <v>0</v>
      </c>
      <c r="DF1109">
        <v>0</v>
      </c>
      <c r="DH1109">
        <v>0</v>
      </c>
      <c r="DI1109">
        <v>0</v>
      </c>
    </row>
    <row r="1110" spans="1:113" ht="15" customHeight="1" x14ac:dyDescent="0.25">
      <c r="A1110" t="s">
        <v>5411</v>
      </c>
      <c r="B1110" t="s">
        <v>5412</v>
      </c>
      <c r="C1110" t="s">
        <v>1038</v>
      </c>
      <c r="D1110" t="s">
        <v>439</v>
      </c>
      <c r="E1110" t="s">
        <v>439</v>
      </c>
      <c r="F1110" t="s">
        <v>5413</v>
      </c>
      <c r="G1110">
        <v>2025</v>
      </c>
      <c r="H1110" t="s">
        <v>1160</v>
      </c>
      <c r="I1110" t="s">
        <v>142</v>
      </c>
      <c r="J1110">
        <v>17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Y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H1110">
        <v>0</v>
      </c>
      <c r="AI1110">
        <v>56</v>
      </c>
      <c r="AJ1110">
        <v>79</v>
      </c>
      <c r="AK1110">
        <v>560</v>
      </c>
      <c r="AL1110">
        <v>2</v>
      </c>
      <c r="AM1110">
        <v>0</v>
      </c>
      <c r="AN1110">
        <v>0</v>
      </c>
      <c r="AO1110">
        <v>366</v>
      </c>
      <c r="AP1110">
        <v>342</v>
      </c>
      <c r="AQ1110">
        <v>24</v>
      </c>
      <c r="AR1110">
        <v>12.6711040627125</v>
      </c>
      <c r="AS1110">
        <v>0</v>
      </c>
      <c r="AT1110">
        <v>1.53005464480874</v>
      </c>
      <c r="AU1110">
        <v>0.14905660377358501</v>
      </c>
      <c r="AV1110">
        <v>9.1180866965620305E-2</v>
      </c>
      <c r="AW1110">
        <v>0.28741151253631197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3</v>
      </c>
      <c r="BU1110">
        <v>20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C1110">
        <v>0</v>
      </c>
      <c r="DD1110">
        <v>0</v>
      </c>
      <c r="DE1110">
        <v>0</v>
      </c>
      <c r="DF1110">
        <v>0</v>
      </c>
      <c r="DH1110">
        <v>68</v>
      </c>
      <c r="DI1110">
        <v>124</v>
      </c>
    </row>
    <row r="1111" spans="1:113" ht="15" customHeight="1" x14ac:dyDescent="0.25">
      <c r="A1111" t="s">
        <v>5414</v>
      </c>
      <c r="B1111" t="s">
        <v>5415</v>
      </c>
      <c r="C1111" t="s">
        <v>5416</v>
      </c>
      <c r="D1111" t="s">
        <v>1234</v>
      </c>
      <c r="E1111" t="s">
        <v>1234</v>
      </c>
      <c r="F1111" t="s">
        <v>5417</v>
      </c>
      <c r="G1111">
        <v>2025</v>
      </c>
      <c r="H1111" t="s">
        <v>1160</v>
      </c>
      <c r="I1111" t="s">
        <v>114</v>
      </c>
      <c r="J1111">
        <v>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Y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S1111">
        <v>0</v>
      </c>
      <c r="AU1111">
        <v>0</v>
      </c>
      <c r="AV1111">
        <v>0</v>
      </c>
      <c r="AW1111">
        <v>0</v>
      </c>
      <c r="AX1111">
        <v>0</v>
      </c>
      <c r="AY1111">
        <v>4</v>
      </c>
      <c r="AZ1111">
        <v>0</v>
      </c>
      <c r="BA1111">
        <v>5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C1111">
        <v>0</v>
      </c>
      <c r="DD1111">
        <v>0</v>
      </c>
      <c r="DE1111">
        <v>0</v>
      </c>
      <c r="DF1111">
        <v>0</v>
      </c>
      <c r="DH1111">
        <v>0</v>
      </c>
      <c r="DI1111">
        <v>0</v>
      </c>
    </row>
    <row r="1112" spans="1:113" ht="15" customHeight="1" x14ac:dyDescent="0.25">
      <c r="A1112" t="s">
        <v>5418</v>
      </c>
      <c r="B1112" t="s">
        <v>5419</v>
      </c>
      <c r="C1112" t="s">
        <v>5420</v>
      </c>
      <c r="D1112" t="s">
        <v>1219</v>
      </c>
      <c r="E1112" t="s">
        <v>1220</v>
      </c>
      <c r="F1112" t="s">
        <v>5421</v>
      </c>
      <c r="G1112">
        <v>2025</v>
      </c>
      <c r="H1112" t="s">
        <v>1160</v>
      </c>
      <c r="I1112" t="s">
        <v>140</v>
      </c>
      <c r="J1112">
        <v>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Y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>
        <v>0</v>
      </c>
      <c r="AU1112">
        <v>0</v>
      </c>
      <c r="AV1112">
        <v>0</v>
      </c>
      <c r="AW1112">
        <v>0</v>
      </c>
      <c r="AX1112">
        <v>0</v>
      </c>
      <c r="AY1112">
        <v>2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3</v>
      </c>
      <c r="BU1112">
        <v>20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C1112">
        <v>0</v>
      </c>
      <c r="DD1112">
        <v>0</v>
      </c>
      <c r="DE1112">
        <v>0</v>
      </c>
      <c r="DF1112">
        <v>0</v>
      </c>
      <c r="DH1112">
        <v>0</v>
      </c>
      <c r="DI1112">
        <v>0</v>
      </c>
    </row>
    <row r="1113" spans="1:113" ht="15" customHeight="1" x14ac:dyDescent="0.25">
      <c r="A1113" t="s">
        <v>5422</v>
      </c>
      <c r="B1113" t="s">
        <v>5423</v>
      </c>
      <c r="C1113" t="s">
        <v>5424</v>
      </c>
      <c r="D1113" t="s">
        <v>1234</v>
      </c>
      <c r="E1113" t="s">
        <v>1234</v>
      </c>
      <c r="F1113" t="s">
        <v>5425</v>
      </c>
      <c r="G1113">
        <v>2025</v>
      </c>
      <c r="H1113" t="s">
        <v>1160</v>
      </c>
      <c r="I1113" t="s">
        <v>90</v>
      </c>
      <c r="J1113">
        <v>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Y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>
        <v>0</v>
      </c>
      <c r="AU1113">
        <v>0</v>
      </c>
      <c r="AV1113">
        <v>0</v>
      </c>
      <c r="AW1113">
        <v>0</v>
      </c>
      <c r="AX1113">
        <v>0</v>
      </c>
      <c r="AY1113">
        <v>4</v>
      </c>
      <c r="AZ1113">
        <v>0</v>
      </c>
      <c r="BA1113">
        <v>4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C1113">
        <v>0</v>
      </c>
      <c r="DD1113">
        <v>0</v>
      </c>
      <c r="DE1113">
        <v>0</v>
      </c>
      <c r="DF1113">
        <v>0</v>
      </c>
      <c r="DH1113">
        <v>0</v>
      </c>
      <c r="DI1113">
        <v>0</v>
      </c>
    </row>
    <row r="1114" spans="1:113" ht="15" customHeight="1" x14ac:dyDescent="0.25">
      <c r="A1114" t="s">
        <v>5426</v>
      </c>
      <c r="B1114" t="s">
        <v>5427</v>
      </c>
      <c r="C1114" t="s">
        <v>5428</v>
      </c>
      <c r="D1114" t="s">
        <v>1655</v>
      </c>
      <c r="E1114" t="s">
        <v>1220</v>
      </c>
      <c r="F1114" t="s">
        <v>5429</v>
      </c>
      <c r="G1114">
        <v>2025</v>
      </c>
      <c r="H1114" t="s">
        <v>1160</v>
      </c>
      <c r="I1114" t="s">
        <v>138</v>
      </c>
      <c r="J1114">
        <v>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Y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S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3</v>
      </c>
      <c r="BU1114">
        <v>15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C1114">
        <v>0</v>
      </c>
      <c r="DD1114">
        <v>0</v>
      </c>
      <c r="DE1114">
        <v>0</v>
      </c>
      <c r="DF1114">
        <v>0</v>
      </c>
      <c r="DH1114">
        <v>0</v>
      </c>
      <c r="DI1114">
        <v>0</v>
      </c>
    </row>
    <row r="1115" spans="1:113" ht="15" customHeight="1" x14ac:dyDescent="0.25">
      <c r="A1115" t="s">
        <v>5430</v>
      </c>
      <c r="B1115" t="s">
        <v>5431</v>
      </c>
      <c r="C1115" t="s">
        <v>5432</v>
      </c>
      <c r="D1115" t="s">
        <v>1189</v>
      </c>
      <c r="E1115" t="s">
        <v>1190</v>
      </c>
      <c r="F1115" t="s">
        <v>5433</v>
      </c>
      <c r="G1115">
        <v>2025</v>
      </c>
      <c r="H1115" t="s">
        <v>1160</v>
      </c>
      <c r="I1115" t="s">
        <v>109</v>
      </c>
      <c r="J1115">
        <v>12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Y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S1115">
        <v>0</v>
      </c>
      <c r="AU1115">
        <v>0</v>
      </c>
      <c r="AV1115">
        <v>0</v>
      </c>
      <c r="AW1115">
        <v>0</v>
      </c>
      <c r="AX1115">
        <v>0</v>
      </c>
      <c r="AY1115">
        <v>7</v>
      </c>
      <c r="AZ1115">
        <v>0</v>
      </c>
      <c r="BA1115">
        <v>21</v>
      </c>
      <c r="BB1115">
        <v>1</v>
      </c>
      <c r="BC1115">
        <v>2</v>
      </c>
      <c r="BD1115">
        <v>0</v>
      </c>
      <c r="BE1115">
        <v>2.5</v>
      </c>
      <c r="BF1115">
        <v>15.5</v>
      </c>
      <c r="BG1115">
        <v>7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3</v>
      </c>
      <c r="BU1115">
        <v>25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C1115">
        <v>0</v>
      </c>
      <c r="DD1115">
        <v>0</v>
      </c>
      <c r="DE1115">
        <v>0</v>
      </c>
      <c r="DF1115">
        <v>0</v>
      </c>
      <c r="DH1115">
        <v>0</v>
      </c>
      <c r="DI1115">
        <v>0</v>
      </c>
    </row>
    <row r="1116" spans="1:113" ht="15" customHeight="1" x14ac:dyDescent="0.25">
      <c r="A1116" t="s">
        <v>5434</v>
      </c>
      <c r="B1116" t="s">
        <v>5435</v>
      </c>
      <c r="C1116" t="s">
        <v>815</v>
      </c>
      <c r="D1116" t="s">
        <v>10</v>
      </c>
      <c r="E1116" t="s">
        <v>10</v>
      </c>
      <c r="F1116" t="s">
        <v>5436</v>
      </c>
      <c r="G1116">
        <v>2025</v>
      </c>
      <c r="H1116" t="s">
        <v>1160</v>
      </c>
      <c r="I1116" t="s">
        <v>118</v>
      </c>
      <c r="J1116">
        <v>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Y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H1116">
        <v>0</v>
      </c>
      <c r="AI1116">
        <v>55</v>
      </c>
      <c r="AJ1116">
        <v>85</v>
      </c>
      <c r="AK1116">
        <v>724</v>
      </c>
      <c r="AL1116">
        <v>6</v>
      </c>
      <c r="AM1116">
        <v>1</v>
      </c>
      <c r="AN1116">
        <v>0</v>
      </c>
      <c r="AO1116">
        <v>1085</v>
      </c>
      <c r="AP1116">
        <v>163</v>
      </c>
      <c r="AQ1116">
        <v>41</v>
      </c>
      <c r="AR1116">
        <v>34.645472560090099</v>
      </c>
      <c r="AS1116">
        <v>1</v>
      </c>
      <c r="AT1116">
        <v>0.66728110599078305</v>
      </c>
      <c r="AU1116">
        <v>0.184782608695652</v>
      </c>
      <c r="AV1116">
        <v>0.25332710716787299</v>
      </c>
      <c r="AW1116">
        <v>0.45450288806098899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1</v>
      </c>
      <c r="BU1116">
        <v>10</v>
      </c>
      <c r="BV1116">
        <v>15</v>
      </c>
      <c r="BW1116">
        <v>94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C1116">
        <v>0</v>
      </c>
      <c r="DD1116">
        <v>0</v>
      </c>
      <c r="DE1116">
        <v>0</v>
      </c>
      <c r="DF1116">
        <v>0</v>
      </c>
      <c r="DH1116">
        <v>110.4</v>
      </c>
      <c r="DI1116">
        <v>165.4</v>
      </c>
    </row>
    <row r="1117" spans="1:113" ht="15" customHeight="1" x14ac:dyDescent="0.25">
      <c r="A1117" t="s">
        <v>5437</v>
      </c>
      <c r="B1117" t="s">
        <v>5438</v>
      </c>
      <c r="C1117" t="s">
        <v>5439</v>
      </c>
      <c r="D1117" t="s">
        <v>1297</v>
      </c>
      <c r="E1117" t="s">
        <v>1220</v>
      </c>
      <c r="F1117" t="s">
        <v>5440</v>
      </c>
      <c r="G1117">
        <v>2025</v>
      </c>
      <c r="H1117" t="s">
        <v>1160</v>
      </c>
      <c r="I1117" t="s">
        <v>118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Y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S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C1117">
        <v>0</v>
      </c>
      <c r="DD1117">
        <v>0</v>
      </c>
      <c r="DE1117">
        <v>0</v>
      </c>
      <c r="DF1117">
        <v>0</v>
      </c>
      <c r="DH1117">
        <v>0</v>
      </c>
      <c r="DI1117">
        <v>0</v>
      </c>
    </row>
    <row r="1118" spans="1:113" ht="15" customHeight="1" x14ac:dyDescent="0.25">
      <c r="A1118" t="s">
        <v>5441</v>
      </c>
      <c r="B1118" t="s">
        <v>5442</v>
      </c>
      <c r="C1118" t="s">
        <v>5443</v>
      </c>
      <c r="D1118" t="s">
        <v>1297</v>
      </c>
      <c r="E1118" t="s">
        <v>1220</v>
      </c>
      <c r="F1118" t="s">
        <v>5444</v>
      </c>
      <c r="G1118">
        <v>2025</v>
      </c>
      <c r="H1118" t="s">
        <v>1160</v>
      </c>
      <c r="I1118" t="s">
        <v>131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Y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3</v>
      </c>
      <c r="BU1118">
        <v>25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C1118">
        <v>0</v>
      </c>
      <c r="DD1118">
        <v>0</v>
      </c>
      <c r="DE1118">
        <v>0</v>
      </c>
      <c r="DF1118">
        <v>0</v>
      </c>
      <c r="DH1118">
        <v>0</v>
      </c>
      <c r="DI1118">
        <v>0</v>
      </c>
    </row>
    <row r="1119" spans="1:113" ht="15" customHeight="1" x14ac:dyDescent="0.25">
      <c r="A1119" t="s">
        <v>5445</v>
      </c>
      <c r="B1119" t="s">
        <v>5446</v>
      </c>
      <c r="C1119" t="s">
        <v>5447</v>
      </c>
      <c r="D1119" t="s">
        <v>1234</v>
      </c>
      <c r="E1119" t="s">
        <v>1234</v>
      </c>
      <c r="F1119" t="s">
        <v>5448</v>
      </c>
      <c r="G1119">
        <v>2025</v>
      </c>
      <c r="H1119" t="s">
        <v>1160</v>
      </c>
      <c r="I1119" t="s">
        <v>123</v>
      </c>
      <c r="J1119">
        <v>14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Y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>
        <v>0</v>
      </c>
      <c r="AU1119">
        <v>0</v>
      </c>
      <c r="AV1119">
        <v>0</v>
      </c>
      <c r="AW1119">
        <v>0</v>
      </c>
      <c r="AX1119">
        <v>0</v>
      </c>
      <c r="AY1119">
        <v>25</v>
      </c>
      <c r="AZ1119">
        <v>0</v>
      </c>
      <c r="BA1119">
        <v>33</v>
      </c>
      <c r="BB1119">
        <v>2</v>
      </c>
      <c r="BC1119">
        <v>8</v>
      </c>
      <c r="BD1119">
        <v>0</v>
      </c>
      <c r="BE1119">
        <v>2</v>
      </c>
      <c r="BF1119">
        <v>6.5</v>
      </c>
      <c r="BG1119">
        <v>5</v>
      </c>
      <c r="BH1119">
        <v>1</v>
      </c>
      <c r="BI1119">
        <v>0</v>
      </c>
      <c r="BJ1119">
        <v>2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C1119">
        <v>0</v>
      </c>
      <c r="DD1119">
        <v>0</v>
      </c>
      <c r="DE1119">
        <v>0</v>
      </c>
      <c r="DF1119">
        <v>0</v>
      </c>
      <c r="DH1119">
        <v>0</v>
      </c>
      <c r="DI1119">
        <v>0</v>
      </c>
    </row>
    <row r="1120" spans="1:113" ht="15" customHeight="1" x14ac:dyDescent="0.25">
      <c r="A1120" t="s">
        <v>5449</v>
      </c>
      <c r="B1120" t="s">
        <v>5450</v>
      </c>
      <c r="C1120" t="s">
        <v>5451</v>
      </c>
      <c r="D1120" t="s">
        <v>1219</v>
      </c>
      <c r="E1120" t="s">
        <v>1220</v>
      </c>
      <c r="F1120" t="s">
        <v>5452</v>
      </c>
      <c r="G1120">
        <v>2025</v>
      </c>
      <c r="H1120" t="s">
        <v>1160</v>
      </c>
      <c r="I1120" t="s">
        <v>140</v>
      </c>
      <c r="J1120">
        <v>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Y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S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5</v>
      </c>
      <c r="BU1120">
        <v>28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C1120">
        <v>0</v>
      </c>
      <c r="DD1120">
        <v>0</v>
      </c>
      <c r="DE1120">
        <v>0</v>
      </c>
      <c r="DF1120">
        <v>0</v>
      </c>
      <c r="DH1120">
        <v>0</v>
      </c>
      <c r="DI1120">
        <v>0</v>
      </c>
    </row>
    <row r="1121" spans="1:113" ht="15" customHeight="1" x14ac:dyDescent="0.25">
      <c r="A1121" t="s">
        <v>5453</v>
      </c>
      <c r="B1121" t="s">
        <v>5454</v>
      </c>
      <c r="C1121" t="s">
        <v>5455</v>
      </c>
      <c r="D1121" t="s">
        <v>1234</v>
      </c>
      <c r="E1121" t="s">
        <v>1234</v>
      </c>
      <c r="F1121" t="s">
        <v>5456</v>
      </c>
      <c r="G1121">
        <v>2025</v>
      </c>
      <c r="H1121" t="s">
        <v>1160</v>
      </c>
      <c r="I1121" t="s">
        <v>121</v>
      </c>
      <c r="J1121">
        <v>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Y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S1121">
        <v>0</v>
      </c>
      <c r="AU1121">
        <v>0</v>
      </c>
      <c r="AV1121">
        <v>0</v>
      </c>
      <c r="AW1121">
        <v>0</v>
      </c>
      <c r="AX1121">
        <v>0</v>
      </c>
      <c r="AY1121">
        <v>5</v>
      </c>
      <c r="AZ1121">
        <v>0</v>
      </c>
      <c r="BA1121">
        <v>6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1</v>
      </c>
      <c r="BU1121">
        <v>15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C1121">
        <v>0</v>
      </c>
      <c r="DD1121">
        <v>0</v>
      </c>
      <c r="DE1121">
        <v>0</v>
      </c>
      <c r="DF1121">
        <v>0</v>
      </c>
      <c r="DH1121">
        <v>0</v>
      </c>
      <c r="DI1121">
        <v>0</v>
      </c>
    </row>
    <row r="1122" spans="1:113" ht="15" customHeight="1" x14ac:dyDescent="0.25">
      <c r="A1122" t="s">
        <v>5457</v>
      </c>
      <c r="B1122" t="s">
        <v>5458</v>
      </c>
      <c r="C1122" t="s">
        <v>5459</v>
      </c>
      <c r="D1122" t="s">
        <v>1655</v>
      </c>
      <c r="E1122" t="s">
        <v>1220</v>
      </c>
      <c r="F1122" t="s">
        <v>5460</v>
      </c>
      <c r="G1122">
        <v>2025</v>
      </c>
      <c r="H1122" t="s">
        <v>1160</v>
      </c>
      <c r="I1122" t="s">
        <v>97</v>
      </c>
      <c r="J1122">
        <v>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Y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>
        <v>0</v>
      </c>
      <c r="AU1122">
        <v>0</v>
      </c>
      <c r="AV1122">
        <v>0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3</v>
      </c>
      <c r="BU1122">
        <v>30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C1122">
        <v>0</v>
      </c>
      <c r="DD1122">
        <v>0</v>
      </c>
      <c r="DE1122">
        <v>0</v>
      </c>
      <c r="DF1122">
        <v>0</v>
      </c>
      <c r="DH1122">
        <v>0</v>
      </c>
      <c r="DI1122">
        <v>0</v>
      </c>
    </row>
    <row r="1123" spans="1:113" ht="15" customHeight="1" x14ac:dyDescent="0.25">
      <c r="A1123" t="s">
        <v>5461</v>
      </c>
      <c r="B1123" t="s">
        <v>2473</v>
      </c>
      <c r="C1123" t="s">
        <v>5462</v>
      </c>
      <c r="D1123" t="s">
        <v>1189</v>
      </c>
      <c r="E1123" t="s">
        <v>1190</v>
      </c>
      <c r="F1123" t="s">
        <v>5463</v>
      </c>
      <c r="G1123">
        <v>2025</v>
      </c>
      <c r="H1123" t="s">
        <v>1160</v>
      </c>
      <c r="I1123" t="s">
        <v>143</v>
      </c>
      <c r="J1123">
        <v>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Y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>
        <v>0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0</v>
      </c>
      <c r="BA1123">
        <v>2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1</v>
      </c>
      <c r="BU1123">
        <v>5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C1123">
        <v>0</v>
      </c>
      <c r="DD1123">
        <v>0</v>
      </c>
      <c r="DE1123">
        <v>0</v>
      </c>
      <c r="DF1123">
        <v>0</v>
      </c>
      <c r="DH1123">
        <v>0</v>
      </c>
      <c r="DI1123">
        <v>0</v>
      </c>
    </row>
    <row r="1124" spans="1:113" ht="15" customHeight="1" x14ac:dyDescent="0.25">
      <c r="A1124" t="s">
        <v>5464</v>
      </c>
      <c r="B1124" t="s">
        <v>5465</v>
      </c>
      <c r="C1124" t="s">
        <v>5466</v>
      </c>
      <c r="D1124" t="s">
        <v>1219</v>
      </c>
      <c r="E1124" t="s">
        <v>1220</v>
      </c>
      <c r="F1124" t="s">
        <v>5467</v>
      </c>
      <c r="G1124">
        <v>2025</v>
      </c>
      <c r="H1124" t="s">
        <v>1160</v>
      </c>
      <c r="I1124" t="s">
        <v>141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Y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S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5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C1124">
        <v>0</v>
      </c>
      <c r="DD1124">
        <v>0</v>
      </c>
      <c r="DE1124">
        <v>0</v>
      </c>
      <c r="DF1124">
        <v>0</v>
      </c>
      <c r="DH1124">
        <v>0</v>
      </c>
      <c r="DI1124">
        <v>0</v>
      </c>
    </row>
    <row r="1125" spans="1:113" ht="15" customHeight="1" x14ac:dyDescent="0.25">
      <c r="A1125" t="s">
        <v>5468</v>
      </c>
      <c r="B1125" t="s">
        <v>5469</v>
      </c>
      <c r="C1125" t="s">
        <v>5470</v>
      </c>
      <c r="D1125" t="s">
        <v>1350</v>
      </c>
      <c r="E1125" t="s">
        <v>1307</v>
      </c>
      <c r="F1125" t="s">
        <v>5471</v>
      </c>
      <c r="G1125">
        <v>2025</v>
      </c>
      <c r="H1125" t="s">
        <v>1160</v>
      </c>
      <c r="I1125" t="s">
        <v>101</v>
      </c>
      <c r="J1125">
        <v>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Y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S1125">
        <v>0</v>
      </c>
      <c r="AU1125">
        <v>0</v>
      </c>
      <c r="AV1125">
        <v>0</v>
      </c>
      <c r="AW1125">
        <v>0</v>
      </c>
      <c r="AX1125">
        <v>0</v>
      </c>
      <c r="AY1125">
        <v>6</v>
      </c>
      <c r="AZ1125">
        <v>0</v>
      </c>
      <c r="BA1125">
        <v>5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2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C1125">
        <v>0</v>
      </c>
      <c r="DD1125">
        <v>0</v>
      </c>
      <c r="DE1125">
        <v>0</v>
      </c>
      <c r="DF1125">
        <v>0</v>
      </c>
      <c r="DH1125">
        <v>0</v>
      </c>
      <c r="DI1125">
        <v>0</v>
      </c>
    </row>
    <row r="1126" spans="1:113" ht="15" customHeight="1" x14ac:dyDescent="0.25">
      <c r="A1126" t="s">
        <v>5472</v>
      </c>
      <c r="B1126" t="s">
        <v>5141</v>
      </c>
      <c r="C1126" t="s">
        <v>5473</v>
      </c>
      <c r="D1126" t="s">
        <v>1243</v>
      </c>
      <c r="E1126" t="s">
        <v>1190</v>
      </c>
      <c r="F1126" t="s">
        <v>5474</v>
      </c>
      <c r="G1126">
        <v>2025</v>
      </c>
      <c r="H1126" t="s">
        <v>1160</v>
      </c>
      <c r="I1126" t="s">
        <v>141</v>
      </c>
      <c r="J1126">
        <v>15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Y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S1126">
        <v>0</v>
      </c>
      <c r="AU1126">
        <v>0</v>
      </c>
      <c r="AV1126">
        <v>0</v>
      </c>
      <c r="AW1126">
        <v>0</v>
      </c>
      <c r="AX1126">
        <v>0</v>
      </c>
      <c r="AY1126">
        <v>10</v>
      </c>
      <c r="AZ1126">
        <v>0</v>
      </c>
      <c r="BA1126">
        <v>18</v>
      </c>
      <c r="BB1126">
        <v>4</v>
      </c>
      <c r="BC1126">
        <v>12</v>
      </c>
      <c r="BD1126">
        <v>0</v>
      </c>
      <c r="BE1126">
        <v>0.5</v>
      </c>
      <c r="BF1126">
        <v>2.5</v>
      </c>
      <c r="BG1126">
        <v>2</v>
      </c>
      <c r="BH1126">
        <v>0</v>
      </c>
      <c r="BI1126">
        <v>0</v>
      </c>
      <c r="BJ1126">
        <v>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C1126">
        <v>0</v>
      </c>
      <c r="DD1126">
        <v>0</v>
      </c>
      <c r="DE1126">
        <v>0</v>
      </c>
      <c r="DF1126">
        <v>0</v>
      </c>
      <c r="DH1126">
        <v>0</v>
      </c>
      <c r="DI1126">
        <v>0</v>
      </c>
    </row>
    <row r="1127" spans="1:113" ht="15" customHeight="1" x14ac:dyDescent="0.25">
      <c r="A1127" t="s">
        <v>5475</v>
      </c>
      <c r="B1127" t="s">
        <v>5476</v>
      </c>
      <c r="C1127" t="s">
        <v>5477</v>
      </c>
      <c r="D1127" t="s">
        <v>1158</v>
      </c>
      <c r="E1127" t="s">
        <v>1158</v>
      </c>
      <c r="F1127" t="s">
        <v>5478</v>
      </c>
      <c r="G1127">
        <v>2025</v>
      </c>
      <c r="H1127" t="s">
        <v>1160</v>
      </c>
      <c r="I1127" t="s">
        <v>141</v>
      </c>
      <c r="J1127">
        <v>9</v>
      </c>
      <c r="K1127">
        <v>197</v>
      </c>
      <c r="L1127">
        <v>284</v>
      </c>
      <c r="M1127">
        <v>2167</v>
      </c>
      <c r="N1127">
        <v>20</v>
      </c>
      <c r="O1127">
        <v>10</v>
      </c>
      <c r="P1127">
        <v>11</v>
      </c>
      <c r="Q1127">
        <v>-53</v>
      </c>
      <c r="R1127">
        <v>3</v>
      </c>
      <c r="S1127">
        <v>2</v>
      </c>
      <c r="T1127">
        <v>2158</v>
      </c>
      <c r="U1127">
        <v>849</v>
      </c>
      <c r="V1127">
        <v>130</v>
      </c>
      <c r="W1127">
        <v>63.129939116820601</v>
      </c>
      <c r="X1127">
        <v>7.2285008561961801</v>
      </c>
      <c r="Y1127">
        <v>1</v>
      </c>
      <c r="Z1127">
        <v>1.00417052826691</v>
      </c>
      <c r="AA1127">
        <v>33</v>
      </c>
      <c r="AB1127">
        <v>147</v>
      </c>
      <c r="AC1127">
        <v>3</v>
      </c>
      <c r="AD1127">
        <v>0</v>
      </c>
      <c r="AE1127">
        <v>0</v>
      </c>
      <c r="AF1127">
        <v>16</v>
      </c>
      <c r="AG1127">
        <v>16.192089706484701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S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C1127">
        <v>0</v>
      </c>
      <c r="DD1127">
        <v>0</v>
      </c>
      <c r="DE1127">
        <v>0</v>
      </c>
      <c r="DF1127">
        <v>0</v>
      </c>
      <c r="DH1127">
        <v>177.38</v>
      </c>
      <c r="DI1127">
        <v>177.38</v>
      </c>
    </row>
    <row r="1128" spans="1:113" ht="15" customHeight="1" x14ac:dyDescent="0.25">
      <c r="A1128" t="s">
        <v>5479</v>
      </c>
      <c r="B1128" t="s">
        <v>5480</v>
      </c>
      <c r="C1128" t="s">
        <v>5481</v>
      </c>
      <c r="D1128" t="s">
        <v>1219</v>
      </c>
      <c r="E1128" t="s">
        <v>1220</v>
      </c>
      <c r="F1128" t="s">
        <v>5482</v>
      </c>
      <c r="G1128">
        <v>2025</v>
      </c>
      <c r="H1128" t="s">
        <v>1160</v>
      </c>
      <c r="I1128" t="s">
        <v>126</v>
      </c>
      <c r="J1128">
        <v>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Y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S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6</v>
      </c>
      <c r="BU1128">
        <v>36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C1128">
        <v>0</v>
      </c>
      <c r="DD1128">
        <v>0</v>
      </c>
      <c r="DE1128">
        <v>0</v>
      </c>
      <c r="DF1128">
        <v>0</v>
      </c>
      <c r="DH1128">
        <v>0</v>
      </c>
      <c r="DI1128">
        <v>0</v>
      </c>
    </row>
    <row r="1129" spans="1:113" ht="15" customHeight="1" x14ac:dyDescent="0.25">
      <c r="A1129" t="s">
        <v>5483</v>
      </c>
      <c r="B1129" t="s">
        <v>5484</v>
      </c>
      <c r="C1129" t="s">
        <v>857</v>
      </c>
      <c r="D1129" t="s">
        <v>10</v>
      </c>
      <c r="E1129" t="s">
        <v>10</v>
      </c>
      <c r="F1129" t="s">
        <v>5485</v>
      </c>
      <c r="G1129">
        <v>2025</v>
      </c>
      <c r="H1129" t="s">
        <v>1160</v>
      </c>
      <c r="I1129" t="s">
        <v>103</v>
      </c>
      <c r="J1129">
        <v>14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Y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H1129">
        <v>0</v>
      </c>
      <c r="AI1129">
        <v>31</v>
      </c>
      <c r="AJ1129">
        <v>55</v>
      </c>
      <c r="AK1129">
        <v>372</v>
      </c>
      <c r="AL1129">
        <v>3</v>
      </c>
      <c r="AM1129">
        <v>0</v>
      </c>
      <c r="AN1129">
        <v>0</v>
      </c>
      <c r="AO1129">
        <v>605</v>
      </c>
      <c r="AP1129">
        <v>128</v>
      </c>
      <c r="AQ1129">
        <v>15</v>
      </c>
      <c r="AR1129">
        <v>-4.1407796758778002</v>
      </c>
      <c r="AS1129">
        <v>0</v>
      </c>
      <c r="AT1129">
        <v>0.61487603305785099</v>
      </c>
      <c r="AU1129">
        <v>0.10536398467433</v>
      </c>
      <c r="AV1129">
        <v>0.18445121951219501</v>
      </c>
      <c r="AW1129">
        <v>0.28716183067003098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2</v>
      </c>
      <c r="BU1129">
        <v>9</v>
      </c>
      <c r="BV1129">
        <v>15</v>
      </c>
      <c r="BW1129">
        <v>101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C1129">
        <v>0</v>
      </c>
      <c r="DD1129">
        <v>0</v>
      </c>
      <c r="DE1129">
        <v>0</v>
      </c>
      <c r="DF1129">
        <v>0</v>
      </c>
      <c r="DH1129">
        <v>55.2</v>
      </c>
      <c r="DI1129">
        <v>86.2</v>
      </c>
    </row>
    <row r="1130" spans="1:113" ht="15" customHeight="1" x14ac:dyDescent="0.25">
      <c r="A1130" t="s">
        <v>5486</v>
      </c>
      <c r="B1130" t="s">
        <v>5487</v>
      </c>
      <c r="C1130" t="s">
        <v>870</v>
      </c>
      <c r="D1130" t="s">
        <v>439</v>
      </c>
      <c r="E1130" t="s">
        <v>439</v>
      </c>
      <c r="F1130" t="s">
        <v>5488</v>
      </c>
      <c r="G1130">
        <v>2025</v>
      </c>
      <c r="H1130" t="s">
        <v>1160</v>
      </c>
      <c r="I1130" t="s">
        <v>97</v>
      </c>
      <c r="J1130">
        <v>12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Y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H1130">
        <v>0</v>
      </c>
      <c r="AI1130">
        <v>27</v>
      </c>
      <c r="AJ1130">
        <v>36</v>
      </c>
      <c r="AK1130">
        <v>307</v>
      </c>
      <c r="AL1130">
        <v>1</v>
      </c>
      <c r="AM1130">
        <v>2</v>
      </c>
      <c r="AN1130">
        <v>1</v>
      </c>
      <c r="AO1130">
        <v>287</v>
      </c>
      <c r="AP1130">
        <v>117</v>
      </c>
      <c r="AQ1130">
        <v>12</v>
      </c>
      <c r="AR1130">
        <v>5.3954202674485296</v>
      </c>
      <c r="AS1130">
        <v>0</v>
      </c>
      <c r="AT1130">
        <v>1.0696864111498301</v>
      </c>
      <c r="AU1130">
        <v>8.8452088452088504E-2</v>
      </c>
      <c r="AV1130">
        <v>8.3869082407948603E-2</v>
      </c>
      <c r="AW1130">
        <v>0.19138649036369701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4</v>
      </c>
      <c r="BU1130">
        <v>29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C1130">
        <v>0</v>
      </c>
      <c r="DD1130">
        <v>0</v>
      </c>
      <c r="DE1130">
        <v>0</v>
      </c>
      <c r="DF1130">
        <v>0</v>
      </c>
      <c r="DH1130">
        <v>34.700000000000003</v>
      </c>
      <c r="DI1130">
        <v>61.7</v>
      </c>
    </row>
    <row r="1131" spans="1:113" ht="15" customHeight="1" x14ac:dyDescent="0.25">
      <c r="A1131" t="s">
        <v>5489</v>
      </c>
      <c r="B1131" t="s">
        <v>5490</v>
      </c>
      <c r="C1131" t="s">
        <v>5491</v>
      </c>
      <c r="D1131" t="s">
        <v>1350</v>
      </c>
      <c r="E1131" t="s">
        <v>1307</v>
      </c>
      <c r="F1131" t="s">
        <v>5492</v>
      </c>
      <c r="G1131">
        <v>2025</v>
      </c>
      <c r="H1131" t="s">
        <v>1160</v>
      </c>
      <c r="I1131" t="s">
        <v>1200</v>
      </c>
      <c r="J1131">
        <v>17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Y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S1131">
        <v>0</v>
      </c>
      <c r="AU1131">
        <v>0</v>
      </c>
      <c r="AV1131">
        <v>0</v>
      </c>
      <c r="AW1131">
        <v>0</v>
      </c>
      <c r="AX1131">
        <v>0</v>
      </c>
      <c r="AY1131">
        <v>29</v>
      </c>
      <c r="AZ1131">
        <v>1</v>
      </c>
      <c r="BA1131">
        <v>10</v>
      </c>
      <c r="BB1131">
        <v>1</v>
      </c>
      <c r="BC1131">
        <v>3</v>
      </c>
      <c r="BD1131">
        <v>0</v>
      </c>
      <c r="BE1131">
        <v>0</v>
      </c>
      <c r="BF1131">
        <v>0</v>
      </c>
      <c r="BG1131">
        <v>0</v>
      </c>
      <c r="BH1131">
        <v>3</v>
      </c>
      <c r="BI1131">
        <v>60</v>
      </c>
      <c r="BJ1131">
        <v>7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1</v>
      </c>
      <c r="BR1131">
        <v>1</v>
      </c>
      <c r="BS1131">
        <v>0</v>
      </c>
      <c r="BT1131">
        <v>1</v>
      </c>
      <c r="BU1131">
        <v>14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C1131">
        <v>0</v>
      </c>
      <c r="DD1131">
        <v>0</v>
      </c>
      <c r="DE1131">
        <v>0</v>
      </c>
      <c r="DF1131">
        <v>0</v>
      </c>
      <c r="DH1131">
        <v>0</v>
      </c>
      <c r="DI1131">
        <v>0</v>
      </c>
    </row>
    <row r="1132" spans="1:113" ht="15" customHeight="1" x14ac:dyDescent="0.25">
      <c r="A1132" t="s">
        <v>5493</v>
      </c>
      <c r="B1132" t="s">
        <v>5494</v>
      </c>
      <c r="C1132" t="s">
        <v>758</v>
      </c>
      <c r="D1132" t="s">
        <v>431</v>
      </c>
      <c r="E1132" t="s">
        <v>431</v>
      </c>
      <c r="F1132" t="s">
        <v>5495</v>
      </c>
      <c r="G1132">
        <v>2025</v>
      </c>
      <c r="H1132" t="s">
        <v>1160</v>
      </c>
      <c r="I1132" t="s">
        <v>1200</v>
      </c>
      <c r="J1132">
        <v>17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Y1132">
        <v>0</v>
      </c>
      <c r="AA1132">
        <v>259</v>
      </c>
      <c r="AB1132">
        <v>1252</v>
      </c>
      <c r="AC1132">
        <v>10</v>
      </c>
      <c r="AD1132">
        <v>2</v>
      </c>
      <c r="AE1132">
        <v>2</v>
      </c>
      <c r="AF1132">
        <v>76</v>
      </c>
      <c r="AG1132">
        <v>4.9275993898939499</v>
      </c>
      <c r="AH1132">
        <v>0</v>
      </c>
      <c r="AI1132">
        <v>36</v>
      </c>
      <c r="AJ1132">
        <v>50</v>
      </c>
      <c r="AK1132">
        <v>281</v>
      </c>
      <c r="AL1132">
        <v>3</v>
      </c>
      <c r="AM1132">
        <v>0</v>
      </c>
      <c r="AN1132">
        <v>0</v>
      </c>
      <c r="AO1132">
        <v>125</v>
      </c>
      <c r="AP1132">
        <v>155</v>
      </c>
      <c r="AQ1132">
        <v>12</v>
      </c>
      <c r="AR1132">
        <v>8.5386749854758808</v>
      </c>
      <c r="AS1132">
        <v>0</v>
      </c>
      <c r="AT1132">
        <v>2.2480000000000002</v>
      </c>
      <c r="AU1132">
        <v>8.6058519793459604E-2</v>
      </c>
      <c r="AV1132">
        <v>2.30287398673545E-2</v>
      </c>
      <c r="AW1132">
        <v>0.14520789759733699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8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C1132">
        <v>0</v>
      </c>
      <c r="DD1132">
        <v>0</v>
      </c>
      <c r="DE1132">
        <v>0</v>
      </c>
      <c r="DF1132">
        <v>0</v>
      </c>
      <c r="DH1132">
        <v>227.3</v>
      </c>
      <c r="DI1132">
        <v>263.3</v>
      </c>
    </row>
    <row r="1133" spans="1:113" ht="15" customHeight="1" x14ac:dyDescent="0.25">
      <c r="A1133" t="s">
        <v>5496</v>
      </c>
      <c r="B1133" t="s">
        <v>5497</v>
      </c>
      <c r="C1133" t="s">
        <v>5498</v>
      </c>
      <c r="D1133" t="s">
        <v>1684</v>
      </c>
      <c r="E1133" t="s">
        <v>1307</v>
      </c>
      <c r="F1133" t="s">
        <v>5499</v>
      </c>
      <c r="G1133">
        <v>2025</v>
      </c>
      <c r="H1133" t="s">
        <v>1160</v>
      </c>
      <c r="I1133" t="s">
        <v>1200</v>
      </c>
      <c r="J1133">
        <v>10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Y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S1133">
        <v>0</v>
      </c>
      <c r="AU1133">
        <v>0</v>
      </c>
      <c r="AV1133">
        <v>0</v>
      </c>
      <c r="AW1133">
        <v>0</v>
      </c>
      <c r="AX1133">
        <v>0</v>
      </c>
      <c r="AY1133">
        <v>35</v>
      </c>
      <c r="AZ1133">
        <v>2</v>
      </c>
      <c r="BA1133">
        <v>24</v>
      </c>
      <c r="BB1133">
        <v>2</v>
      </c>
      <c r="BC1133">
        <v>18</v>
      </c>
      <c r="BD1133">
        <v>1</v>
      </c>
      <c r="BE1133">
        <v>1</v>
      </c>
      <c r="BF1133">
        <v>13</v>
      </c>
      <c r="BG1133">
        <v>2</v>
      </c>
      <c r="BH1133">
        <v>1</v>
      </c>
      <c r="BI1133">
        <v>0</v>
      </c>
      <c r="BJ1133">
        <v>10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1</v>
      </c>
      <c r="BR1133">
        <v>1</v>
      </c>
      <c r="BS1133">
        <v>0</v>
      </c>
      <c r="BT1133">
        <v>3</v>
      </c>
      <c r="BU1133">
        <v>9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C1133">
        <v>0</v>
      </c>
      <c r="DD1133">
        <v>0</v>
      </c>
      <c r="DE1133">
        <v>0</v>
      </c>
      <c r="DF1133">
        <v>0</v>
      </c>
      <c r="DH1133">
        <v>0</v>
      </c>
      <c r="DI1133">
        <v>0</v>
      </c>
    </row>
    <row r="1134" spans="1:113" ht="15" customHeight="1" x14ac:dyDescent="0.25">
      <c r="A1134" t="s">
        <v>5500</v>
      </c>
      <c r="B1134" t="s">
        <v>5501</v>
      </c>
      <c r="C1134" t="s">
        <v>5502</v>
      </c>
      <c r="D1134" t="s">
        <v>1350</v>
      </c>
      <c r="E1134" t="s">
        <v>1307</v>
      </c>
      <c r="F1134" t="s">
        <v>5503</v>
      </c>
      <c r="G1134">
        <v>2025</v>
      </c>
      <c r="H1134" t="s">
        <v>1160</v>
      </c>
      <c r="I1134" t="s">
        <v>1200</v>
      </c>
      <c r="J1134">
        <v>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Y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S1134">
        <v>0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2</v>
      </c>
      <c r="BA1134">
        <v>3</v>
      </c>
      <c r="BB1134">
        <v>1</v>
      </c>
      <c r="BC1134">
        <v>4</v>
      </c>
      <c r="BD1134">
        <v>0</v>
      </c>
      <c r="BE1134">
        <v>0</v>
      </c>
      <c r="BF1134">
        <v>0</v>
      </c>
      <c r="BG1134">
        <v>0</v>
      </c>
      <c r="BH1134">
        <v>2</v>
      </c>
      <c r="BI1134">
        <v>0</v>
      </c>
      <c r="BJ1134">
        <v>5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</v>
      </c>
      <c r="BU1134">
        <v>7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C1134">
        <v>0</v>
      </c>
      <c r="DD1134">
        <v>0</v>
      </c>
      <c r="DE1134">
        <v>0</v>
      </c>
      <c r="DF1134">
        <v>0</v>
      </c>
      <c r="DH1134">
        <v>0</v>
      </c>
      <c r="DI1134">
        <v>0</v>
      </c>
    </row>
    <row r="1135" spans="1:113" ht="15" customHeight="1" x14ac:dyDescent="0.25">
      <c r="A1135" t="s">
        <v>5504</v>
      </c>
      <c r="B1135" t="s">
        <v>5505</v>
      </c>
      <c r="C1135" t="s">
        <v>5506</v>
      </c>
      <c r="D1135" t="s">
        <v>1189</v>
      </c>
      <c r="E1135" t="s">
        <v>1190</v>
      </c>
      <c r="F1135" t="s">
        <v>5507</v>
      </c>
      <c r="G1135">
        <v>2025</v>
      </c>
      <c r="H1135" t="s">
        <v>1160</v>
      </c>
      <c r="I1135" t="s">
        <v>104</v>
      </c>
      <c r="J1135">
        <v>13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Y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S1135">
        <v>0</v>
      </c>
      <c r="AU1135">
        <v>0</v>
      </c>
      <c r="AV1135">
        <v>0</v>
      </c>
      <c r="AW1135">
        <v>0</v>
      </c>
      <c r="AX1135">
        <v>0</v>
      </c>
      <c r="AY1135">
        <v>7</v>
      </c>
      <c r="AZ1135">
        <v>0</v>
      </c>
      <c r="BA1135">
        <v>15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2</v>
      </c>
      <c r="BU1135">
        <v>15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C1135">
        <v>0</v>
      </c>
      <c r="DD1135">
        <v>0</v>
      </c>
      <c r="DE1135">
        <v>0</v>
      </c>
      <c r="DF1135">
        <v>0</v>
      </c>
      <c r="DH1135">
        <v>0</v>
      </c>
      <c r="DI1135">
        <v>0</v>
      </c>
    </row>
    <row r="1136" spans="1:113" ht="15" customHeight="1" x14ac:dyDescent="0.25">
      <c r="A1136" t="s">
        <v>5508</v>
      </c>
      <c r="B1136" t="s">
        <v>5509</v>
      </c>
      <c r="C1136" t="s">
        <v>5510</v>
      </c>
      <c r="D1136" t="s">
        <v>1684</v>
      </c>
      <c r="E1136" t="s">
        <v>1307</v>
      </c>
      <c r="F1136" t="s">
        <v>5511</v>
      </c>
      <c r="G1136">
        <v>2025</v>
      </c>
      <c r="H1136" t="s">
        <v>1160</v>
      </c>
      <c r="I1136" t="s">
        <v>97</v>
      </c>
      <c r="J1136">
        <v>16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Y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S1136">
        <v>0</v>
      </c>
      <c r="AU1136">
        <v>0</v>
      </c>
      <c r="AV1136">
        <v>0</v>
      </c>
      <c r="AW1136">
        <v>0</v>
      </c>
      <c r="AX1136">
        <v>0</v>
      </c>
      <c r="AY1136">
        <v>59</v>
      </c>
      <c r="AZ1136">
        <v>0</v>
      </c>
      <c r="BA1136">
        <v>46</v>
      </c>
      <c r="BB1136">
        <v>7</v>
      </c>
      <c r="BC1136">
        <v>27</v>
      </c>
      <c r="BD1136">
        <v>2</v>
      </c>
      <c r="BE1136">
        <v>1</v>
      </c>
      <c r="BF1136">
        <v>13</v>
      </c>
      <c r="BG1136">
        <v>4</v>
      </c>
      <c r="BH1136">
        <v>0</v>
      </c>
      <c r="BI1136">
        <v>0</v>
      </c>
      <c r="BJ1136">
        <v>9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4</v>
      </c>
      <c r="BU1136">
        <v>30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C1136">
        <v>0</v>
      </c>
      <c r="DD1136">
        <v>0</v>
      </c>
      <c r="DE1136">
        <v>0</v>
      </c>
      <c r="DF1136">
        <v>0</v>
      </c>
      <c r="DH1136">
        <v>0</v>
      </c>
      <c r="DI1136">
        <v>0</v>
      </c>
    </row>
    <row r="1137" spans="1:113" ht="15" customHeight="1" x14ac:dyDescent="0.25">
      <c r="A1137" t="s">
        <v>5512</v>
      </c>
      <c r="B1137" t="s">
        <v>1725</v>
      </c>
      <c r="C1137" t="s">
        <v>5513</v>
      </c>
      <c r="D1137" t="s">
        <v>1350</v>
      </c>
      <c r="E1137" t="s">
        <v>1307</v>
      </c>
      <c r="F1137" t="s">
        <v>5514</v>
      </c>
      <c r="G1137">
        <v>2025</v>
      </c>
      <c r="H1137" t="s">
        <v>1160</v>
      </c>
      <c r="I1137" t="s">
        <v>133</v>
      </c>
      <c r="J1137">
        <v>17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Y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S1137">
        <v>0</v>
      </c>
      <c r="AU1137">
        <v>0</v>
      </c>
      <c r="AV1137">
        <v>0</v>
      </c>
      <c r="AW1137">
        <v>0</v>
      </c>
      <c r="AX1137">
        <v>0</v>
      </c>
      <c r="AY1137">
        <v>49</v>
      </c>
      <c r="AZ1137">
        <v>0</v>
      </c>
      <c r="BA1137">
        <v>28</v>
      </c>
      <c r="BB1137">
        <v>4</v>
      </c>
      <c r="BC1137">
        <v>13</v>
      </c>
      <c r="BD1137">
        <v>2</v>
      </c>
      <c r="BE1137">
        <v>0</v>
      </c>
      <c r="BF1137">
        <v>0</v>
      </c>
      <c r="BG1137">
        <v>0</v>
      </c>
      <c r="BH1137">
        <v>1</v>
      </c>
      <c r="BI1137">
        <v>7</v>
      </c>
      <c r="BJ1137">
        <v>6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8</v>
      </c>
      <c r="BU1137">
        <v>80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C1137">
        <v>0</v>
      </c>
      <c r="DD1137">
        <v>0</v>
      </c>
      <c r="DE1137">
        <v>0</v>
      </c>
      <c r="DF1137">
        <v>0</v>
      </c>
      <c r="DH1137">
        <v>0</v>
      </c>
      <c r="DI1137">
        <v>0</v>
      </c>
    </row>
    <row r="1138" spans="1:113" ht="15" customHeight="1" x14ac:dyDescent="0.25">
      <c r="A1138" t="s">
        <v>5515</v>
      </c>
      <c r="B1138" t="s">
        <v>5516</v>
      </c>
      <c r="C1138" t="s">
        <v>5517</v>
      </c>
      <c r="D1138" t="s">
        <v>431</v>
      </c>
      <c r="E1138" t="s">
        <v>431</v>
      </c>
      <c r="F1138" t="s">
        <v>5518</v>
      </c>
      <c r="G1138">
        <v>2025</v>
      </c>
      <c r="H1138" t="s">
        <v>1160</v>
      </c>
      <c r="I1138" t="s">
        <v>89</v>
      </c>
      <c r="J1138">
        <v>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Y1138">
        <v>0</v>
      </c>
      <c r="AA1138">
        <v>12</v>
      </c>
      <c r="AB1138">
        <v>32</v>
      </c>
      <c r="AC1138">
        <v>0</v>
      </c>
      <c r="AD1138">
        <v>0</v>
      </c>
      <c r="AE1138">
        <v>0</v>
      </c>
      <c r="AF1138">
        <v>1</v>
      </c>
      <c r="AG1138">
        <v>-7.5715342174517</v>
      </c>
      <c r="AH1138">
        <v>0</v>
      </c>
      <c r="AI1138">
        <v>4</v>
      </c>
      <c r="AJ1138">
        <v>6</v>
      </c>
      <c r="AK1138">
        <v>24</v>
      </c>
      <c r="AL1138">
        <v>0</v>
      </c>
      <c r="AM1138">
        <v>0</v>
      </c>
      <c r="AN1138">
        <v>0</v>
      </c>
      <c r="AO1138">
        <v>-3</v>
      </c>
      <c r="AP1138">
        <v>24</v>
      </c>
      <c r="AQ1138">
        <v>0</v>
      </c>
      <c r="AR1138">
        <v>-1.8568793826481</v>
      </c>
      <c r="AS1138">
        <v>0</v>
      </c>
      <c r="AT1138">
        <v>-8</v>
      </c>
      <c r="AU1138">
        <v>1.21457489878543E-2</v>
      </c>
      <c r="AV1138">
        <v>-9.3516209476309203E-4</v>
      </c>
      <c r="AW1138">
        <v>1.7564010015447201E-2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11</v>
      </c>
      <c r="BY1138">
        <v>294</v>
      </c>
      <c r="BZ1138">
        <v>0</v>
      </c>
      <c r="CA1138">
        <v>0</v>
      </c>
      <c r="CB1138">
        <v>0</v>
      </c>
      <c r="CC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C1138">
        <v>0</v>
      </c>
      <c r="DD1138">
        <v>0</v>
      </c>
      <c r="DE1138">
        <v>0</v>
      </c>
      <c r="DF1138">
        <v>0</v>
      </c>
      <c r="DH1138">
        <v>5.6</v>
      </c>
      <c r="DI1138">
        <v>9.6</v>
      </c>
    </row>
    <row r="1139" spans="1:113" ht="15" customHeight="1" x14ac:dyDescent="0.25">
      <c r="A1139" t="s">
        <v>5519</v>
      </c>
      <c r="B1139" t="s">
        <v>5520</v>
      </c>
      <c r="C1139" t="s">
        <v>580</v>
      </c>
      <c r="D1139" t="s">
        <v>439</v>
      </c>
      <c r="E1139" t="s">
        <v>439</v>
      </c>
      <c r="F1139" t="s">
        <v>5521</v>
      </c>
      <c r="G1139">
        <v>2025</v>
      </c>
      <c r="H1139" t="s">
        <v>1160</v>
      </c>
      <c r="I1139" t="s">
        <v>112</v>
      </c>
      <c r="J1139">
        <v>17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Y1139">
        <v>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-0.69436265062540803</v>
      </c>
      <c r="AH1139">
        <v>0</v>
      </c>
      <c r="AI1139">
        <v>82</v>
      </c>
      <c r="AJ1139">
        <v>102</v>
      </c>
      <c r="AK1139">
        <v>600</v>
      </c>
      <c r="AL1139">
        <v>8</v>
      </c>
      <c r="AM1139">
        <v>3</v>
      </c>
      <c r="AN1139">
        <v>2</v>
      </c>
      <c r="AO1139">
        <v>475</v>
      </c>
      <c r="AP1139">
        <v>307</v>
      </c>
      <c r="AQ1139">
        <v>31</v>
      </c>
      <c r="AR1139">
        <v>19.060186915450998</v>
      </c>
      <c r="AS1139">
        <v>1</v>
      </c>
      <c r="AT1139">
        <v>1.26315789473684</v>
      </c>
      <c r="AU1139">
        <v>0.168039538714992</v>
      </c>
      <c r="AV1139">
        <v>9.3706845531663002E-2</v>
      </c>
      <c r="AW1139">
        <v>0.31765409994465199</v>
      </c>
      <c r="AX1139">
        <v>0</v>
      </c>
      <c r="AY1139">
        <v>2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3</v>
      </c>
      <c r="BU1139">
        <v>25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C1139">
        <v>0</v>
      </c>
      <c r="DD1139">
        <v>0</v>
      </c>
      <c r="DE1139">
        <v>0</v>
      </c>
      <c r="DF1139">
        <v>0</v>
      </c>
      <c r="DH1139">
        <v>106.1</v>
      </c>
      <c r="DI1139">
        <v>188.1</v>
      </c>
    </row>
    <row r="1140" spans="1:113" ht="15" customHeight="1" x14ac:dyDescent="0.25">
      <c r="A1140" t="s">
        <v>5522</v>
      </c>
      <c r="B1140" t="s">
        <v>3255</v>
      </c>
      <c r="C1140" t="s">
        <v>5523</v>
      </c>
      <c r="D1140" t="s">
        <v>1350</v>
      </c>
      <c r="E1140" t="s">
        <v>1307</v>
      </c>
      <c r="F1140" t="s">
        <v>5524</v>
      </c>
      <c r="G1140">
        <v>2025</v>
      </c>
      <c r="H1140" t="s">
        <v>1160</v>
      </c>
      <c r="I1140" t="s">
        <v>123</v>
      </c>
      <c r="J1140">
        <v>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Y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S1140">
        <v>0</v>
      </c>
      <c r="AU1140">
        <v>0</v>
      </c>
      <c r="AV1140">
        <v>0</v>
      </c>
      <c r="AW1140">
        <v>0</v>
      </c>
      <c r="AX1140">
        <v>0</v>
      </c>
      <c r="AY1140">
        <v>4</v>
      </c>
      <c r="AZ1140">
        <v>0</v>
      </c>
      <c r="BA1140">
        <v>2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3</v>
      </c>
      <c r="BU1140">
        <v>31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C1140">
        <v>0</v>
      </c>
      <c r="DD1140">
        <v>0</v>
      </c>
      <c r="DE1140">
        <v>0</v>
      </c>
      <c r="DF1140">
        <v>0</v>
      </c>
      <c r="DH1140">
        <v>0</v>
      </c>
      <c r="DI1140">
        <v>0</v>
      </c>
    </row>
    <row r="1141" spans="1:113" ht="15" customHeight="1" x14ac:dyDescent="0.25">
      <c r="A1141" t="s">
        <v>5525</v>
      </c>
      <c r="B1141" t="s">
        <v>5526</v>
      </c>
      <c r="C1141" t="s">
        <v>733</v>
      </c>
      <c r="D1141" t="s">
        <v>439</v>
      </c>
      <c r="E1141" t="s">
        <v>439</v>
      </c>
      <c r="F1141" t="s">
        <v>5527</v>
      </c>
      <c r="G1141">
        <v>2025</v>
      </c>
      <c r="H1141" t="s">
        <v>1160</v>
      </c>
      <c r="I1141" t="s">
        <v>97</v>
      </c>
      <c r="J1141">
        <v>13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Y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H1141">
        <v>0</v>
      </c>
      <c r="AI1141">
        <v>10</v>
      </c>
      <c r="AJ1141">
        <v>15</v>
      </c>
      <c r="AK1141">
        <v>142</v>
      </c>
      <c r="AL1141">
        <v>2</v>
      </c>
      <c r="AM1141">
        <v>0</v>
      </c>
      <c r="AN1141">
        <v>0</v>
      </c>
      <c r="AO1141">
        <v>106</v>
      </c>
      <c r="AP1141">
        <v>52</v>
      </c>
      <c r="AQ1141">
        <v>9</v>
      </c>
      <c r="AR1141">
        <v>5.1545682434516502</v>
      </c>
      <c r="AS1141">
        <v>0</v>
      </c>
      <c r="AT1141">
        <v>1.3396226415094299</v>
      </c>
      <c r="AU1141">
        <v>3.6855036855036903E-2</v>
      </c>
      <c r="AV1141">
        <v>3.0976037405026299E-2</v>
      </c>
      <c r="AW1141">
        <v>7.6965781466073704E-2</v>
      </c>
      <c r="AX1141">
        <v>0</v>
      </c>
      <c r="AY1141">
        <v>1</v>
      </c>
      <c r="AZ1141">
        <v>0</v>
      </c>
      <c r="BA1141">
        <v>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2</v>
      </c>
      <c r="BU1141">
        <v>13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C1141">
        <v>0</v>
      </c>
      <c r="DD1141">
        <v>0</v>
      </c>
      <c r="DE1141">
        <v>0</v>
      </c>
      <c r="DF1141">
        <v>0</v>
      </c>
      <c r="DH1141">
        <v>26.2</v>
      </c>
      <c r="DI1141">
        <v>36.200000000000003</v>
      </c>
    </row>
    <row r="1142" spans="1:113" ht="15" customHeight="1" x14ac:dyDescent="0.25">
      <c r="A1142" t="s">
        <v>5528</v>
      </c>
      <c r="B1142" t="s">
        <v>5529</v>
      </c>
      <c r="C1142" t="s">
        <v>639</v>
      </c>
      <c r="D1142" t="s">
        <v>10</v>
      </c>
      <c r="E1142" t="s">
        <v>10</v>
      </c>
      <c r="F1142" t="s">
        <v>5530</v>
      </c>
      <c r="G1142">
        <v>2025</v>
      </c>
      <c r="H1142" t="s">
        <v>1160</v>
      </c>
      <c r="I1142" t="s">
        <v>141</v>
      </c>
      <c r="J1142">
        <v>17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Y1142">
        <v>0</v>
      </c>
      <c r="AA1142">
        <v>2</v>
      </c>
      <c r="AB1142">
        <v>11</v>
      </c>
      <c r="AC1142">
        <v>0</v>
      </c>
      <c r="AD1142">
        <v>0</v>
      </c>
      <c r="AE1142">
        <v>0</v>
      </c>
      <c r="AF1142">
        <v>1</v>
      </c>
      <c r="AG1142">
        <v>0.53098628460429598</v>
      </c>
      <c r="AH1142">
        <v>0</v>
      </c>
      <c r="AI1142">
        <v>5</v>
      </c>
      <c r="AJ1142">
        <v>7</v>
      </c>
      <c r="AK1142">
        <v>87</v>
      </c>
      <c r="AL1142">
        <v>0</v>
      </c>
      <c r="AM1142">
        <v>0</v>
      </c>
      <c r="AN1142">
        <v>0</v>
      </c>
      <c r="AO1142">
        <v>110</v>
      </c>
      <c r="AP1142">
        <v>29</v>
      </c>
      <c r="AQ1142">
        <v>5</v>
      </c>
      <c r="AR1142">
        <v>4.7171175308176299</v>
      </c>
      <c r="AS1142">
        <v>0</v>
      </c>
      <c r="AT1142">
        <v>0.79090909090909101</v>
      </c>
      <c r="AU1142">
        <v>1.27272727272727E-2</v>
      </c>
      <c r="AV1142">
        <v>2.5605214152700201E-2</v>
      </c>
      <c r="AW1142">
        <v>3.70145589977992E-2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</v>
      </c>
      <c r="BM1142">
        <v>0</v>
      </c>
      <c r="BN1142">
        <v>0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25</v>
      </c>
      <c r="BW1142">
        <v>291</v>
      </c>
      <c r="BX1142">
        <v>33</v>
      </c>
      <c r="BY1142">
        <v>907</v>
      </c>
      <c r="BZ1142">
        <v>0</v>
      </c>
      <c r="CA1142">
        <v>0</v>
      </c>
      <c r="CB1142">
        <v>0</v>
      </c>
      <c r="CC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C1142">
        <v>0</v>
      </c>
      <c r="DD1142">
        <v>0</v>
      </c>
      <c r="DE1142">
        <v>0</v>
      </c>
      <c r="DF1142">
        <v>0</v>
      </c>
      <c r="DH1142">
        <v>9.8000000000000007</v>
      </c>
      <c r="DI1142">
        <v>14.8</v>
      </c>
    </row>
    <row r="1143" spans="1:113" ht="15" customHeight="1" x14ac:dyDescent="0.25">
      <c r="A1143" t="s">
        <v>5531</v>
      </c>
      <c r="B1143" t="s">
        <v>5532</v>
      </c>
      <c r="C1143" t="s">
        <v>5533</v>
      </c>
      <c r="D1143" t="s">
        <v>1209</v>
      </c>
      <c r="E1143" t="s">
        <v>1169</v>
      </c>
      <c r="F1143" t="s">
        <v>5534</v>
      </c>
      <c r="G1143">
        <v>2025</v>
      </c>
      <c r="H1143" t="s">
        <v>1160</v>
      </c>
      <c r="I1143" t="s">
        <v>97</v>
      </c>
      <c r="J1143">
        <v>17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Y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S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C1143">
        <v>0</v>
      </c>
      <c r="DD1143">
        <v>0</v>
      </c>
      <c r="DE1143">
        <v>0</v>
      </c>
      <c r="DF1143">
        <v>0</v>
      </c>
      <c r="DH1143">
        <v>0</v>
      </c>
      <c r="DI1143">
        <v>0</v>
      </c>
    </row>
    <row r="1144" spans="1:113" ht="15" customHeight="1" x14ac:dyDescent="0.25">
      <c r="A1144" t="s">
        <v>5535</v>
      </c>
      <c r="B1144" t="s">
        <v>5536</v>
      </c>
      <c r="C1144" t="s">
        <v>5537</v>
      </c>
      <c r="D1144" t="s">
        <v>1243</v>
      </c>
      <c r="E1144" t="s">
        <v>1190</v>
      </c>
      <c r="F1144" t="s">
        <v>5538</v>
      </c>
      <c r="G1144">
        <v>2025</v>
      </c>
      <c r="H1144" t="s">
        <v>1160</v>
      </c>
      <c r="I1144" t="s">
        <v>99</v>
      </c>
      <c r="J1144">
        <v>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Y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S1144">
        <v>0</v>
      </c>
      <c r="AU1144">
        <v>0</v>
      </c>
      <c r="AV1144">
        <v>0</v>
      </c>
      <c r="AW1144">
        <v>0</v>
      </c>
      <c r="AX1144">
        <v>0</v>
      </c>
      <c r="AY1144">
        <v>4</v>
      </c>
      <c r="AZ1144">
        <v>0</v>
      </c>
      <c r="BA1144">
        <v>9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C1144">
        <v>0</v>
      </c>
      <c r="DD1144">
        <v>0</v>
      </c>
      <c r="DE1144">
        <v>0</v>
      </c>
      <c r="DF1144">
        <v>0</v>
      </c>
      <c r="DH1144">
        <v>0</v>
      </c>
      <c r="DI1144">
        <v>0</v>
      </c>
    </row>
    <row r="1145" spans="1:113" ht="15" customHeight="1" x14ac:dyDescent="0.25">
      <c r="A1145" t="s">
        <v>5539</v>
      </c>
      <c r="B1145" t="s">
        <v>5540</v>
      </c>
      <c r="C1145" t="s">
        <v>5541</v>
      </c>
      <c r="D1145" t="s">
        <v>1684</v>
      </c>
      <c r="E1145" t="s">
        <v>1307</v>
      </c>
      <c r="F1145" t="s">
        <v>5542</v>
      </c>
      <c r="G1145">
        <v>2025</v>
      </c>
      <c r="H1145" t="s">
        <v>1160</v>
      </c>
      <c r="I1145" t="s">
        <v>143</v>
      </c>
      <c r="J1145">
        <v>11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Y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S1145">
        <v>0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0</v>
      </c>
      <c r="BA1145">
        <v>7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2</v>
      </c>
      <c r="BU1145">
        <v>15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C1145">
        <v>0</v>
      </c>
      <c r="DD1145">
        <v>0</v>
      </c>
      <c r="DE1145">
        <v>0</v>
      </c>
      <c r="DF1145">
        <v>0</v>
      </c>
      <c r="DH1145">
        <v>0</v>
      </c>
      <c r="DI1145">
        <v>0</v>
      </c>
    </row>
    <row r="1146" spans="1:113" ht="15" customHeight="1" x14ac:dyDescent="0.25">
      <c r="A1146" t="s">
        <v>5543</v>
      </c>
      <c r="B1146" t="s">
        <v>5544</v>
      </c>
      <c r="C1146" t="s">
        <v>5545</v>
      </c>
      <c r="D1146" t="s">
        <v>1350</v>
      </c>
      <c r="E1146" t="s">
        <v>1307</v>
      </c>
      <c r="F1146" t="s">
        <v>5546</v>
      </c>
      <c r="G1146">
        <v>2025</v>
      </c>
      <c r="H1146" t="s">
        <v>1160</v>
      </c>
      <c r="I1146" t="s">
        <v>96</v>
      </c>
      <c r="J1146">
        <v>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Y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S1146">
        <v>0</v>
      </c>
      <c r="AU1146">
        <v>0</v>
      </c>
      <c r="AV1146">
        <v>0</v>
      </c>
      <c r="AW1146">
        <v>0</v>
      </c>
      <c r="AX1146">
        <v>0</v>
      </c>
      <c r="AY1146">
        <v>6</v>
      </c>
      <c r="AZ1146">
        <v>0</v>
      </c>
      <c r="BA1146">
        <v>6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5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C1146">
        <v>0</v>
      </c>
      <c r="DD1146">
        <v>0</v>
      </c>
      <c r="DE1146">
        <v>0</v>
      </c>
      <c r="DF1146">
        <v>0</v>
      </c>
      <c r="DH1146">
        <v>0</v>
      </c>
      <c r="DI1146">
        <v>0</v>
      </c>
    </row>
    <row r="1147" spans="1:113" ht="15" customHeight="1" x14ac:dyDescent="0.25">
      <c r="A1147" t="s">
        <v>5547</v>
      </c>
      <c r="B1147" t="s">
        <v>5548</v>
      </c>
      <c r="C1147" t="s">
        <v>5549</v>
      </c>
      <c r="D1147" t="s">
        <v>1158</v>
      </c>
      <c r="E1147" t="s">
        <v>1158</v>
      </c>
      <c r="F1147" t="s">
        <v>5550</v>
      </c>
      <c r="G1147">
        <v>2025</v>
      </c>
      <c r="H1147" t="s">
        <v>1160</v>
      </c>
      <c r="I1147" t="s">
        <v>89</v>
      </c>
      <c r="J1147">
        <v>6</v>
      </c>
      <c r="K1147">
        <v>28</v>
      </c>
      <c r="L1147">
        <v>45</v>
      </c>
      <c r="M1147">
        <v>188</v>
      </c>
      <c r="N1147">
        <v>1</v>
      </c>
      <c r="O1147">
        <v>2</v>
      </c>
      <c r="P1147">
        <v>8</v>
      </c>
      <c r="Q1147">
        <v>-54</v>
      </c>
      <c r="R1147">
        <v>0</v>
      </c>
      <c r="S1147">
        <v>0</v>
      </c>
      <c r="T1147">
        <v>262</v>
      </c>
      <c r="U1147">
        <v>62</v>
      </c>
      <c r="V1147">
        <v>8</v>
      </c>
      <c r="W1147">
        <v>-28.7876919492745</v>
      </c>
      <c r="X1147">
        <v>-6.5324035557833602</v>
      </c>
      <c r="Y1147">
        <v>0</v>
      </c>
      <c r="Z1147">
        <v>0.71755725190839703</v>
      </c>
      <c r="AA1147">
        <v>5</v>
      </c>
      <c r="AB1147">
        <v>22</v>
      </c>
      <c r="AC1147">
        <v>0</v>
      </c>
      <c r="AD1147">
        <v>1</v>
      </c>
      <c r="AE1147">
        <v>1</v>
      </c>
      <c r="AF1147">
        <v>4</v>
      </c>
      <c r="AG1147">
        <v>-3.2190294332685898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S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C1147">
        <v>0</v>
      </c>
      <c r="DD1147">
        <v>0</v>
      </c>
      <c r="DE1147">
        <v>0</v>
      </c>
      <c r="DF1147">
        <v>0</v>
      </c>
      <c r="DH1147">
        <v>7.72</v>
      </c>
      <c r="DI1147">
        <v>7.72</v>
      </c>
    </row>
    <row r="1148" spans="1:113" ht="15" customHeight="1" x14ac:dyDescent="0.25">
      <c r="A1148" t="s">
        <v>5551</v>
      </c>
      <c r="B1148" t="s">
        <v>5552</v>
      </c>
      <c r="C1148" t="s">
        <v>5553</v>
      </c>
      <c r="D1148" t="s">
        <v>1297</v>
      </c>
      <c r="E1148" t="s">
        <v>1220</v>
      </c>
      <c r="F1148" t="s">
        <v>5554</v>
      </c>
      <c r="G1148">
        <v>2025</v>
      </c>
      <c r="H1148" t="s">
        <v>1160</v>
      </c>
      <c r="I1148" t="s">
        <v>133</v>
      </c>
      <c r="J1148">
        <v>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Y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S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2</v>
      </c>
      <c r="BU1148">
        <v>15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C1148">
        <v>0</v>
      </c>
      <c r="DD1148">
        <v>0</v>
      </c>
      <c r="DE1148">
        <v>0</v>
      </c>
      <c r="DF1148">
        <v>0</v>
      </c>
      <c r="DH1148">
        <v>0</v>
      </c>
      <c r="DI1148">
        <v>0</v>
      </c>
    </row>
    <row r="1149" spans="1:113" ht="15" customHeight="1" x14ac:dyDescent="0.25">
      <c r="A1149" t="s">
        <v>5555</v>
      </c>
      <c r="B1149" t="s">
        <v>5556</v>
      </c>
      <c r="C1149" t="s">
        <v>718</v>
      </c>
      <c r="D1149" t="s">
        <v>10</v>
      </c>
      <c r="E1149" t="s">
        <v>10</v>
      </c>
      <c r="F1149" t="s">
        <v>5557</v>
      </c>
      <c r="G1149">
        <v>2025</v>
      </c>
      <c r="H1149" t="s">
        <v>1160</v>
      </c>
      <c r="I1149" t="s">
        <v>123</v>
      </c>
      <c r="J1149">
        <v>12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Y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H1149">
        <v>0</v>
      </c>
      <c r="AI1149">
        <v>19</v>
      </c>
      <c r="AJ1149">
        <v>37</v>
      </c>
      <c r="AK1149">
        <v>438</v>
      </c>
      <c r="AL1149">
        <v>3</v>
      </c>
      <c r="AM1149">
        <v>0</v>
      </c>
      <c r="AN1149">
        <v>0</v>
      </c>
      <c r="AO1149">
        <v>995</v>
      </c>
      <c r="AP1149">
        <v>59</v>
      </c>
      <c r="AQ1149">
        <v>15</v>
      </c>
      <c r="AR1149">
        <v>26.248132812812099</v>
      </c>
      <c r="AS1149">
        <v>0</v>
      </c>
      <c r="AT1149">
        <v>0.44020100502512599</v>
      </c>
      <c r="AU1149">
        <v>6.7395264116575607E-2</v>
      </c>
      <c r="AV1149">
        <v>0.21950143392896501</v>
      </c>
      <c r="AW1149">
        <v>0.25474389992513902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1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18</v>
      </c>
      <c r="BY1149">
        <v>475</v>
      </c>
      <c r="BZ1149">
        <v>0</v>
      </c>
      <c r="CA1149">
        <v>0</v>
      </c>
      <c r="CB1149">
        <v>0</v>
      </c>
      <c r="CC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C1149">
        <v>0</v>
      </c>
      <c r="DD1149">
        <v>0</v>
      </c>
      <c r="DE1149">
        <v>0</v>
      </c>
      <c r="DF1149">
        <v>0</v>
      </c>
      <c r="DH1149">
        <v>61.8</v>
      </c>
      <c r="DI1149">
        <v>80.8</v>
      </c>
    </row>
    <row r="1150" spans="1:113" ht="15" customHeight="1" x14ac:dyDescent="0.25">
      <c r="A1150" t="s">
        <v>5558</v>
      </c>
      <c r="B1150" t="s">
        <v>5559</v>
      </c>
      <c r="C1150" t="s">
        <v>5560</v>
      </c>
      <c r="D1150" t="s">
        <v>1243</v>
      </c>
      <c r="E1150" t="s">
        <v>1190</v>
      </c>
      <c r="F1150" t="s">
        <v>5561</v>
      </c>
      <c r="G1150">
        <v>2025</v>
      </c>
      <c r="H1150" t="s">
        <v>1160</v>
      </c>
      <c r="I1150" t="s">
        <v>115</v>
      </c>
      <c r="J1150">
        <v>16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Y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S1150">
        <v>0</v>
      </c>
      <c r="AU1150">
        <v>0</v>
      </c>
      <c r="AV1150">
        <v>0</v>
      </c>
      <c r="AW1150">
        <v>0</v>
      </c>
      <c r="AX1150">
        <v>0</v>
      </c>
      <c r="AY1150">
        <v>15</v>
      </c>
      <c r="AZ1150">
        <v>1</v>
      </c>
      <c r="BA1150">
        <v>23</v>
      </c>
      <c r="BB1150">
        <v>5</v>
      </c>
      <c r="BC1150">
        <v>16</v>
      </c>
      <c r="BD1150">
        <v>0</v>
      </c>
      <c r="BE1150">
        <v>3.5</v>
      </c>
      <c r="BF1150">
        <v>16.5</v>
      </c>
      <c r="BG1150">
        <v>5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C1150">
        <v>0</v>
      </c>
      <c r="DD1150">
        <v>0</v>
      </c>
      <c r="DE1150">
        <v>0</v>
      </c>
      <c r="DF1150">
        <v>0</v>
      </c>
      <c r="DH1150">
        <v>0</v>
      </c>
      <c r="DI1150">
        <v>0</v>
      </c>
    </row>
    <row r="1151" spans="1:113" ht="15" customHeight="1" x14ac:dyDescent="0.25">
      <c r="A1151" t="s">
        <v>5562</v>
      </c>
      <c r="B1151" t="s">
        <v>5563</v>
      </c>
      <c r="C1151" t="s">
        <v>5564</v>
      </c>
      <c r="D1151" t="s">
        <v>1189</v>
      </c>
      <c r="E1151" t="s">
        <v>1190</v>
      </c>
      <c r="F1151" t="s">
        <v>5565</v>
      </c>
      <c r="G1151">
        <v>2025</v>
      </c>
      <c r="H1151" t="s">
        <v>1160</v>
      </c>
      <c r="I1151" t="s">
        <v>101</v>
      </c>
      <c r="J1151">
        <v>13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Y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S1151">
        <v>0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</v>
      </c>
      <c r="BA1151">
        <v>13</v>
      </c>
      <c r="BB1151">
        <v>3</v>
      </c>
      <c r="BC1151">
        <v>16</v>
      </c>
      <c r="BD1151">
        <v>0</v>
      </c>
      <c r="BE1151">
        <v>1</v>
      </c>
      <c r="BF1151">
        <v>4</v>
      </c>
      <c r="BG1151">
        <v>5</v>
      </c>
      <c r="BH1151">
        <v>0</v>
      </c>
      <c r="BI1151">
        <v>0</v>
      </c>
      <c r="BJ1151">
        <v>2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2</v>
      </c>
      <c r="BU1151">
        <v>30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C1151">
        <v>0</v>
      </c>
      <c r="DD1151">
        <v>0</v>
      </c>
      <c r="DE1151">
        <v>0</v>
      </c>
      <c r="DF1151">
        <v>0</v>
      </c>
      <c r="DH1151">
        <v>0</v>
      </c>
      <c r="DI1151">
        <v>0</v>
      </c>
    </row>
    <row r="1152" spans="1:113" ht="15" customHeight="1" x14ac:dyDescent="0.25">
      <c r="A1152" t="s">
        <v>5566</v>
      </c>
      <c r="B1152" t="s">
        <v>5567</v>
      </c>
      <c r="C1152" t="s">
        <v>5568</v>
      </c>
      <c r="D1152" t="s">
        <v>1350</v>
      </c>
      <c r="E1152" t="s">
        <v>1307</v>
      </c>
      <c r="F1152" t="s">
        <v>5569</v>
      </c>
      <c r="G1152">
        <v>2025</v>
      </c>
      <c r="H1152" t="s">
        <v>1160</v>
      </c>
      <c r="I1152" t="s">
        <v>104</v>
      </c>
      <c r="J1152">
        <v>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Y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S1152">
        <v>0</v>
      </c>
      <c r="AU1152">
        <v>0</v>
      </c>
      <c r="AV1152">
        <v>0</v>
      </c>
      <c r="AW1152">
        <v>0</v>
      </c>
      <c r="AX1152">
        <v>0</v>
      </c>
      <c r="AY1152">
        <v>5</v>
      </c>
      <c r="AZ1152">
        <v>0</v>
      </c>
      <c r="BA1152">
        <v>2</v>
      </c>
      <c r="BB1152">
        <v>1</v>
      </c>
      <c r="BC1152">
        <v>4</v>
      </c>
      <c r="BD1152">
        <v>0</v>
      </c>
      <c r="BE1152">
        <v>1</v>
      </c>
      <c r="BF1152">
        <v>4</v>
      </c>
      <c r="BG1152">
        <v>1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1</v>
      </c>
      <c r="BS1152">
        <v>0</v>
      </c>
      <c r="BT1152">
        <v>1</v>
      </c>
      <c r="BU1152">
        <v>15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C1152">
        <v>0</v>
      </c>
      <c r="DD1152">
        <v>0</v>
      </c>
      <c r="DE1152">
        <v>0</v>
      </c>
      <c r="DF1152">
        <v>0</v>
      </c>
      <c r="DH1152">
        <v>0</v>
      </c>
      <c r="DI1152">
        <v>0</v>
      </c>
    </row>
    <row r="1153" spans="1:113" ht="15" customHeight="1" x14ac:dyDescent="0.25">
      <c r="A1153" t="s">
        <v>5570</v>
      </c>
      <c r="B1153" t="s">
        <v>5571</v>
      </c>
      <c r="C1153" t="s">
        <v>5572</v>
      </c>
      <c r="D1153" t="s">
        <v>1655</v>
      </c>
      <c r="E1153" t="s">
        <v>1220</v>
      </c>
      <c r="F1153" t="s">
        <v>5573</v>
      </c>
      <c r="G1153">
        <v>2025</v>
      </c>
      <c r="H1153" t="s">
        <v>1160</v>
      </c>
      <c r="I1153" t="s">
        <v>120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Y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S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</v>
      </c>
      <c r="BQ1153">
        <v>0</v>
      </c>
      <c r="BR1153">
        <v>0</v>
      </c>
      <c r="BS1153">
        <v>0</v>
      </c>
      <c r="BT1153">
        <v>3</v>
      </c>
      <c r="BU1153">
        <v>25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C1153">
        <v>0</v>
      </c>
      <c r="DD1153">
        <v>0</v>
      </c>
      <c r="DE1153">
        <v>0</v>
      </c>
      <c r="DF1153">
        <v>0</v>
      </c>
      <c r="DH1153">
        <v>0</v>
      </c>
      <c r="DI1153">
        <v>0</v>
      </c>
    </row>
    <row r="1154" spans="1:113" ht="15" customHeight="1" x14ac:dyDescent="0.25">
      <c r="A1154" t="s">
        <v>5574</v>
      </c>
      <c r="B1154" t="s">
        <v>5575</v>
      </c>
      <c r="C1154" t="s">
        <v>5576</v>
      </c>
      <c r="D1154" t="s">
        <v>1219</v>
      </c>
      <c r="E1154" t="s">
        <v>1220</v>
      </c>
      <c r="F1154" t="s">
        <v>5577</v>
      </c>
      <c r="G1154">
        <v>2025</v>
      </c>
      <c r="H1154" t="s">
        <v>1160</v>
      </c>
      <c r="I1154" t="s">
        <v>101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Y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S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1</v>
      </c>
      <c r="BU1154">
        <v>5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C1154">
        <v>0</v>
      </c>
      <c r="DD1154">
        <v>0</v>
      </c>
      <c r="DE1154">
        <v>0</v>
      </c>
      <c r="DF1154">
        <v>0</v>
      </c>
      <c r="DH1154">
        <v>0</v>
      </c>
      <c r="DI1154">
        <v>0</v>
      </c>
    </row>
    <row r="1155" spans="1:113" ht="15" customHeight="1" x14ac:dyDescent="0.25">
      <c r="A1155" t="s">
        <v>5578</v>
      </c>
      <c r="B1155" t="s">
        <v>5579</v>
      </c>
      <c r="C1155" t="s">
        <v>1000</v>
      </c>
      <c r="D1155" t="s">
        <v>439</v>
      </c>
      <c r="E1155" t="s">
        <v>439</v>
      </c>
      <c r="F1155" t="s">
        <v>5580</v>
      </c>
      <c r="G1155">
        <v>2025</v>
      </c>
      <c r="H1155" t="s">
        <v>1160</v>
      </c>
      <c r="I1155" t="s">
        <v>139</v>
      </c>
      <c r="J1155">
        <v>13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Y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H1155">
        <v>0</v>
      </c>
      <c r="AI1155">
        <v>19</v>
      </c>
      <c r="AJ1155">
        <v>26</v>
      </c>
      <c r="AK1155">
        <v>286</v>
      </c>
      <c r="AL1155">
        <v>2</v>
      </c>
      <c r="AM1155">
        <v>0</v>
      </c>
      <c r="AN1155">
        <v>0</v>
      </c>
      <c r="AO1155">
        <v>244</v>
      </c>
      <c r="AP1155">
        <v>132</v>
      </c>
      <c r="AQ1155">
        <v>14</v>
      </c>
      <c r="AR1155">
        <v>22.597485702514</v>
      </c>
      <c r="AS1155">
        <v>0</v>
      </c>
      <c r="AT1155">
        <v>1.1721311475409799</v>
      </c>
      <c r="AU1155">
        <v>5.1689860834990102E-2</v>
      </c>
      <c r="AV1155">
        <v>5.4549519338251702E-2</v>
      </c>
      <c r="AW1155">
        <v>0.115719454789261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3</v>
      </c>
      <c r="BU1155">
        <v>20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C1155">
        <v>0</v>
      </c>
      <c r="DD1155">
        <v>0</v>
      </c>
      <c r="DE1155">
        <v>0</v>
      </c>
      <c r="DF1155">
        <v>0</v>
      </c>
      <c r="DH1155">
        <v>40.6</v>
      </c>
      <c r="DI1155">
        <v>59.6</v>
      </c>
    </row>
    <row r="1156" spans="1:113" ht="15" customHeight="1" x14ac:dyDescent="0.25">
      <c r="A1156" t="s">
        <v>5581</v>
      </c>
      <c r="B1156" t="s">
        <v>5582</v>
      </c>
      <c r="C1156" t="s">
        <v>5583</v>
      </c>
      <c r="D1156" t="s">
        <v>1234</v>
      </c>
      <c r="E1156" t="s">
        <v>1234</v>
      </c>
      <c r="F1156" t="s">
        <v>5584</v>
      </c>
      <c r="G1156">
        <v>2025</v>
      </c>
      <c r="H1156" t="s">
        <v>1160</v>
      </c>
      <c r="I1156" t="s">
        <v>93</v>
      </c>
      <c r="J1156">
        <v>15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Y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S1156">
        <v>0</v>
      </c>
      <c r="AU1156">
        <v>0</v>
      </c>
      <c r="AV1156">
        <v>0</v>
      </c>
      <c r="AW1156">
        <v>0</v>
      </c>
      <c r="AX1156">
        <v>0</v>
      </c>
      <c r="AY1156">
        <v>16</v>
      </c>
      <c r="AZ1156">
        <v>1</v>
      </c>
      <c r="BA1156">
        <v>19</v>
      </c>
      <c r="BB1156">
        <v>5</v>
      </c>
      <c r="BC1156">
        <v>26</v>
      </c>
      <c r="BD1156">
        <v>0</v>
      </c>
      <c r="BE1156">
        <v>2</v>
      </c>
      <c r="BF1156">
        <v>16</v>
      </c>
      <c r="BG1156">
        <v>6</v>
      </c>
      <c r="BH1156">
        <v>0</v>
      </c>
      <c r="BI1156">
        <v>0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C1156">
        <v>0</v>
      </c>
      <c r="DD1156">
        <v>0</v>
      </c>
      <c r="DE1156">
        <v>0</v>
      </c>
      <c r="DF1156">
        <v>0</v>
      </c>
      <c r="DH1156">
        <v>0</v>
      </c>
      <c r="DI1156">
        <v>0</v>
      </c>
    </row>
    <row r="1157" spans="1:113" ht="15" customHeight="1" x14ac:dyDescent="0.25">
      <c r="A1157" t="s">
        <v>5585</v>
      </c>
      <c r="B1157" t="s">
        <v>5586</v>
      </c>
      <c r="C1157" t="s">
        <v>1014</v>
      </c>
      <c r="D1157" t="s">
        <v>10</v>
      </c>
      <c r="E1157" t="s">
        <v>10</v>
      </c>
      <c r="F1157" t="s">
        <v>5587</v>
      </c>
      <c r="G1157">
        <v>2025</v>
      </c>
      <c r="H1157" t="s">
        <v>1160</v>
      </c>
      <c r="I1157" t="s">
        <v>139</v>
      </c>
      <c r="J1157">
        <v>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Y1157">
        <v>0</v>
      </c>
      <c r="AA1157">
        <v>3</v>
      </c>
      <c r="AB1157">
        <v>5</v>
      </c>
      <c r="AC1157">
        <v>0</v>
      </c>
      <c r="AD1157">
        <v>0</v>
      </c>
      <c r="AE1157">
        <v>0</v>
      </c>
      <c r="AF1157">
        <v>1</v>
      </c>
      <c r="AG1157">
        <v>1.9220478277420601</v>
      </c>
      <c r="AH1157">
        <v>0</v>
      </c>
      <c r="AI1157">
        <v>92</v>
      </c>
      <c r="AJ1157">
        <v>140</v>
      </c>
      <c r="AK1157">
        <v>1014</v>
      </c>
      <c r="AL1157">
        <v>4</v>
      </c>
      <c r="AM1157">
        <v>1</v>
      </c>
      <c r="AN1157">
        <v>0</v>
      </c>
      <c r="AO1157">
        <v>1187</v>
      </c>
      <c r="AP1157">
        <v>386</v>
      </c>
      <c r="AQ1157">
        <v>40</v>
      </c>
      <c r="AR1157">
        <v>19.462543110130699</v>
      </c>
      <c r="AS1157">
        <v>0</v>
      </c>
      <c r="AT1157">
        <v>0.85425442291491205</v>
      </c>
      <c r="AU1157">
        <v>0.27833001988071598</v>
      </c>
      <c r="AV1157">
        <v>0.26536999776436399</v>
      </c>
      <c r="AW1157">
        <v>0.60325402825612795</v>
      </c>
      <c r="AX1157">
        <v>0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2</v>
      </c>
      <c r="BU1157">
        <v>10</v>
      </c>
      <c r="BV1157">
        <v>0</v>
      </c>
      <c r="BW1157">
        <v>0</v>
      </c>
      <c r="BX1157">
        <v>2</v>
      </c>
      <c r="BY1157">
        <v>41</v>
      </c>
      <c r="BZ1157">
        <v>0</v>
      </c>
      <c r="CA1157">
        <v>0</v>
      </c>
      <c r="CB1157">
        <v>0</v>
      </c>
      <c r="CC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C1157">
        <v>0</v>
      </c>
      <c r="DD1157">
        <v>0</v>
      </c>
      <c r="DE1157">
        <v>0</v>
      </c>
      <c r="DF1157">
        <v>0</v>
      </c>
      <c r="DH1157">
        <v>125.9</v>
      </c>
      <c r="DI1157">
        <v>217.9</v>
      </c>
    </row>
    <row r="1158" spans="1:113" ht="15" customHeight="1" x14ac:dyDescent="0.25">
      <c r="A1158" t="s">
        <v>5588</v>
      </c>
      <c r="B1158" t="s">
        <v>5589</v>
      </c>
      <c r="C1158" t="s">
        <v>5590</v>
      </c>
      <c r="D1158" t="s">
        <v>1297</v>
      </c>
      <c r="E1158" t="s">
        <v>1220</v>
      </c>
      <c r="F1158" t="s">
        <v>5591</v>
      </c>
      <c r="G1158">
        <v>2025</v>
      </c>
      <c r="H1158" t="s">
        <v>1160</v>
      </c>
      <c r="I1158" t="s">
        <v>97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Y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S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3</v>
      </c>
      <c r="BU1158">
        <v>20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C1158">
        <v>0</v>
      </c>
      <c r="DD1158">
        <v>0</v>
      </c>
      <c r="DE1158">
        <v>0</v>
      </c>
      <c r="DF1158">
        <v>0</v>
      </c>
      <c r="DH1158">
        <v>0</v>
      </c>
      <c r="DI1158">
        <v>0</v>
      </c>
    </row>
    <row r="1159" spans="1:113" ht="15" customHeight="1" x14ac:dyDescent="0.25">
      <c r="A1159" t="s">
        <v>5592</v>
      </c>
      <c r="B1159" t="s">
        <v>5593</v>
      </c>
      <c r="C1159" t="s">
        <v>5594</v>
      </c>
      <c r="D1159" t="s">
        <v>1350</v>
      </c>
      <c r="E1159" t="s">
        <v>1307</v>
      </c>
      <c r="F1159" t="s">
        <v>5595</v>
      </c>
      <c r="G1159">
        <v>2025</v>
      </c>
      <c r="H1159" t="s">
        <v>1160</v>
      </c>
      <c r="I1159" t="s">
        <v>142</v>
      </c>
      <c r="J1159">
        <v>10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Y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S1159">
        <v>0</v>
      </c>
      <c r="AU1159">
        <v>0</v>
      </c>
      <c r="AV1159">
        <v>0</v>
      </c>
      <c r="AW1159">
        <v>0</v>
      </c>
      <c r="AX1159">
        <v>0</v>
      </c>
      <c r="AY1159">
        <v>16</v>
      </c>
      <c r="AZ1159">
        <v>2</v>
      </c>
      <c r="BA1159">
        <v>16</v>
      </c>
      <c r="BB1159">
        <v>1</v>
      </c>
      <c r="BC1159">
        <v>1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2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2</v>
      </c>
      <c r="BU1159">
        <v>19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C1159">
        <v>0</v>
      </c>
      <c r="DD1159">
        <v>0</v>
      </c>
      <c r="DE1159">
        <v>0</v>
      </c>
      <c r="DF1159">
        <v>0</v>
      </c>
      <c r="DH1159">
        <v>0</v>
      </c>
      <c r="DI1159">
        <v>0</v>
      </c>
    </row>
    <row r="1160" spans="1:113" ht="15" customHeight="1" x14ac:dyDescent="0.25">
      <c r="A1160" t="s">
        <v>5596</v>
      </c>
      <c r="B1160" t="s">
        <v>5597</v>
      </c>
      <c r="C1160" t="s">
        <v>885</v>
      </c>
      <c r="D1160" t="s">
        <v>431</v>
      </c>
      <c r="E1160" t="s">
        <v>431</v>
      </c>
      <c r="F1160" t="s">
        <v>5598</v>
      </c>
      <c r="G1160">
        <v>2025</v>
      </c>
      <c r="H1160" t="s">
        <v>1160</v>
      </c>
      <c r="I1160" t="s">
        <v>101</v>
      </c>
      <c r="J1160">
        <v>16</v>
      </c>
      <c r="K1160">
        <v>1</v>
      </c>
      <c r="L1160">
        <v>1</v>
      </c>
      <c r="M1160">
        <v>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4</v>
      </c>
      <c r="U1160">
        <v>0</v>
      </c>
      <c r="V1160">
        <v>1</v>
      </c>
      <c r="W1160">
        <v>1.19456161110429</v>
      </c>
      <c r="X1160">
        <v>56.875345110893299</v>
      </c>
      <c r="Y1160">
        <v>0</v>
      </c>
      <c r="Z1160">
        <v>1</v>
      </c>
      <c r="AA1160">
        <v>243</v>
      </c>
      <c r="AB1160">
        <v>1065</v>
      </c>
      <c r="AC1160">
        <v>4</v>
      </c>
      <c r="AD1160">
        <v>2</v>
      </c>
      <c r="AE1160">
        <v>2</v>
      </c>
      <c r="AF1160">
        <v>57</v>
      </c>
      <c r="AG1160">
        <v>-22.266609510843399</v>
      </c>
      <c r="AH1160">
        <v>0</v>
      </c>
      <c r="AI1160">
        <v>36</v>
      </c>
      <c r="AJ1160">
        <v>48</v>
      </c>
      <c r="AK1160">
        <v>350</v>
      </c>
      <c r="AL1160">
        <v>1</v>
      </c>
      <c r="AM1160">
        <v>0</v>
      </c>
      <c r="AN1160">
        <v>0</v>
      </c>
      <c r="AO1160">
        <v>14</v>
      </c>
      <c r="AP1160">
        <v>321</v>
      </c>
      <c r="AQ1160">
        <v>13</v>
      </c>
      <c r="AR1160">
        <v>8.66959196323341</v>
      </c>
      <c r="AS1160">
        <v>0</v>
      </c>
      <c r="AT1160">
        <v>25</v>
      </c>
      <c r="AU1160">
        <v>0.101694915254237</v>
      </c>
      <c r="AV1160">
        <v>4.1128084606345504E-3</v>
      </c>
      <c r="AW1160">
        <v>0.15542133880379999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2</v>
      </c>
      <c r="BP1160">
        <v>2</v>
      </c>
      <c r="BQ1160">
        <v>0</v>
      </c>
      <c r="BR1160">
        <v>0</v>
      </c>
      <c r="BS1160">
        <v>0</v>
      </c>
      <c r="BT1160">
        <v>1</v>
      </c>
      <c r="BU1160">
        <v>5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C1160">
        <v>0</v>
      </c>
      <c r="DD1160">
        <v>0</v>
      </c>
      <c r="DE1160">
        <v>0</v>
      </c>
      <c r="DF1160">
        <v>0</v>
      </c>
      <c r="DH1160">
        <v>171.66</v>
      </c>
      <c r="DI1160">
        <v>207.66</v>
      </c>
    </row>
    <row r="1161" spans="1:113" ht="15" customHeight="1" x14ac:dyDescent="0.25">
      <c r="A1161" t="s">
        <v>5599</v>
      </c>
      <c r="B1161" t="s">
        <v>5600</v>
      </c>
      <c r="C1161" t="s">
        <v>5601</v>
      </c>
      <c r="D1161" t="s">
        <v>1350</v>
      </c>
      <c r="E1161" t="s">
        <v>1307</v>
      </c>
      <c r="F1161" t="s">
        <v>5602</v>
      </c>
      <c r="G1161">
        <v>2025</v>
      </c>
      <c r="H1161" t="s">
        <v>1160</v>
      </c>
      <c r="I1161" t="s">
        <v>138</v>
      </c>
      <c r="J1161">
        <v>17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Y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S1161">
        <v>0</v>
      </c>
      <c r="AU1161">
        <v>0</v>
      </c>
      <c r="AV1161">
        <v>0</v>
      </c>
      <c r="AW1161">
        <v>0</v>
      </c>
      <c r="AX1161">
        <v>0</v>
      </c>
      <c r="AY1161">
        <v>58</v>
      </c>
      <c r="AZ1161">
        <v>1</v>
      </c>
      <c r="BA1161">
        <v>24</v>
      </c>
      <c r="BB1161">
        <v>7</v>
      </c>
      <c r="BC1161">
        <v>37</v>
      </c>
      <c r="BD1161">
        <v>0</v>
      </c>
      <c r="BE1161">
        <v>2</v>
      </c>
      <c r="BF1161">
        <v>23</v>
      </c>
      <c r="BG1161">
        <v>3</v>
      </c>
      <c r="BH1161">
        <v>2</v>
      </c>
      <c r="BI1161">
        <v>21</v>
      </c>
      <c r="BJ1161">
        <v>11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4</v>
      </c>
      <c r="BU1161">
        <v>24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C1161">
        <v>0</v>
      </c>
      <c r="DD1161">
        <v>0</v>
      </c>
      <c r="DE1161">
        <v>0</v>
      </c>
      <c r="DF1161">
        <v>0</v>
      </c>
      <c r="DH1161">
        <v>0</v>
      </c>
      <c r="DI1161">
        <v>0</v>
      </c>
    </row>
    <row r="1162" spans="1:113" ht="15" customHeight="1" x14ac:dyDescent="0.25">
      <c r="A1162" t="s">
        <v>5603</v>
      </c>
      <c r="B1162" t="s">
        <v>5604</v>
      </c>
      <c r="C1162" t="s">
        <v>5605</v>
      </c>
      <c r="D1162" t="s">
        <v>1684</v>
      </c>
      <c r="E1162" t="s">
        <v>1307</v>
      </c>
      <c r="F1162" t="s">
        <v>5606</v>
      </c>
      <c r="G1162">
        <v>2025</v>
      </c>
      <c r="H1162" t="s">
        <v>1160</v>
      </c>
      <c r="I1162" t="s">
        <v>139</v>
      </c>
      <c r="J1162">
        <v>17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Y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S1162">
        <v>0</v>
      </c>
      <c r="AU1162">
        <v>0</v>
      </c>
      <c r="AV1162">
        <v>0</v>
      </c>
      <c r="AW1162">
        <v>0</v>
      </c>
      <c r="AX1162">
        <v>0</v>
      </c>
      <c r="AY1162">
        <v>60</v>
      </c>
      <c r="AZ1162">
        <v>0</v>
      </c>
      <c r="BA1162">
        <v>60</v>
      </c>
      <c r="BB1162">
        <v>3</v>
      </c>
      <c r="BC1162">
        <v>16</v>
      </c>
      <c r="BD1162">
        <v>3</v>
      </c>
      <c r="BE1162">
        <v>2</v>
      </c>
      <c r="BF1162">
        <v>11</v>
      </c>
      <c r="BG1162">
        <v>2</v>
      </c>
      <c r="BH1162">
        <v>1</v>
      </c>
      <c r="BI1162">
        <v>8</v>
      </c>
      <c r="BJ1162">
        <v>5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3</v>
      </c>
      <c r="BU1162">
        <v>57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C1162">
        <v>0</v>
      </c>
      <c r="DD1162">
        <v>0</v>
      </c>
      <c r="DE1162">
        <v>0</v>
      </c>
      <c r="DF1162">
        <v>0</v>
      </c>
      <c r="DH1162">
        <v>0</v>
      </c>
      <c r="DI1162">
        <v>0</v>
      </c>
    </row>
    <row r="1163" spans="1:113" ht="15" customHeight="1" x14ac:dyDescent="0.25">
      <c r="A1163" t="s">
        <v>5607</v>
      </c>
      <c r="B1163" t="s">
        <v>5608</v>
      </c>
      <c r="C1163" t="s">
        <v>646</v>
      </c>
      <c r="D1163" t="s">
        <v>10</v>
      </c>
      <c r="E1163" t="s">
        <v>10</v>
      </c>
      <c r="F1163" t="s">
        <v>5609</v>
      </c>
      <c r="G1163">
        <v>2025</v>
      </c>
      <c r="H1163" t="s">
        <v>1160</v>
      </c>
      <c r="I1163" t="s">
        <v>118</v>
      </c>
      <c r="J1163">
        <v>10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Y1163">
        <v>0</v>
      </c>
      <c r="AA1163">
        <v>1</v>
      </c>
      <c r="AB1163">
        <v>3</v>
      </c>
      <c r="AC1163">
        <v>0</v>
      </c>
      <c r="AD1163">
        <v>0</v>
      </c>
      <c r="AE1163">
        <v>0</v>
      </c>
      <c r="AF1163">
        <v>0</v>
      </c>
      <c r="AG1163">
        <v>-0.18509086128324301</v>
      </c>
      <c r="AH1163">
        <v>0</v>
      </c>
      <c r="AI1163">
        <v>35</v>
      </c>
      <c r="AJ1163">
        <v>55</v>
      </c>
      <c r="AK1163">
        <v>611</v>
      </c>
      <c r="AL1163">
        <v>6</v>
      </c>
      <c r="AM1163">
        <v>0</v>
      </c>
      <c r="AN1163">
        <v>0</v>
      </c>
      <c r="AO1163">
        <v>977</v>
      </c>
      <c r="AP1163">
        <v>118</v>
      </c>
      <c r="AQ1163">
        <v>28</v>
      </c>
      <c r="AR1163">
        <v>32.272833978563803</v>
      </c>
      <c r="AS1163">
        <v>0</v>
      </c>
      <c r="AT1163">
        <v>0.62538382804503601</v>
      </c>
      <c r="AU1163">
        <v>0.119565217391304</v>
      </c>
      <c r="AV1163">
        <v>0.228111137053467</v>
      </c>
      <c r="AW1163">
        <v>0.33902562202438402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</v>
      </c>
      <c r="BU1163">
        <v>5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C1163">
        <v>0</v>
      </c>
      <c r="DD1163">
        <v>0</v>
      </c>
      <c r="DE1163">
        <v>0</v>
      </c>
      <c r="DF1163">
        <v>0</v>
      </c>
      <c r="DH1163">
        <v>97.4</v>
      </c>
      <c r="DI1163">
        <v>132.4</v>
      </c>
    </row>
    <row r="1164" spans="1:113" ht="15" customHeight="1" x14ac:dyDescent="0.25">
      <c r="A1164" t="s">
        <v>5610</v>
      </c>
      <c r="B1164" t="s">
        <v>5611</v>
      </c>
      <c r="C1164" t="s">
        <v>5612</v>
      </c>
      <c r="D1164" t="s">
        <v>1350</v>
      </c>
      <c r="E1164" t="s">
        <v>1307</v>
      </c>
      <c r="F1164" t="s">
        <v>5613</v>
      </c>
      <c r="G1164">
        <v>2025</v>
      </c>
      <c r="H1164" t="s">
        <v>1160</v>
      </c>
      <c r="I1164" t="s">
        <v>1200</v>
      </c>
      <c r="J1164">
        <v>10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Y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S1164">
        <v>0</v>
      </c>
      <c r="AU1164">
        <v>0</v>
      </c>
      <c r="AV1164">
        <v>0</v>
      </c>
      <c r="AW1164">
        <v>0</v>
      </c>
      <c r="AX1164">
        <v>0</v>
      </c>
      <c r="AY1164">
        <v>23</v>
      </c>
      <c r="AZ1164">
        <v>0</v>
      </c>
      <c r="BA1164">
        <v>14</v>
      </c>
      <c r="BB1164">
        <v>1</v>
      </c>
      <c r="BC1164">
        <v>9</v>
      </c>
      <c r="BD1164">
        <v>0</v>
      </c>
      <c r="BE1164">
        <v>1</v>
      </c>
      <c r="BF1164">
        <v>9</v>
      </c>
      <c r="BG1164">
        <v>1</v>
      </c>
      <c r="BH1164">
        <v>1</v>
      </c>
      <c r="BI1164">
        <v>0</v>
      </c>
      <c r="BJ1164">
        <v>2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2</v>
      </c>
      <c r="BU1164">
        <v>10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C1164">
        <v>0</v>
      </c>
      <c r="DD1164">
        <v>0</v>
      </c>
      <c r="DE1164">
        <v>0</v>
      </c>
      <c r="DF1164">
        <v>0</v>
      </c>
      <c r="DH1164">
        <v>0</v>
      </c>
      <c r="DI1164">
        <v>0</v>
      </c>
    </row>
    <row r="1165" spans="1:113" ht="15" customHeight="1" x14ac:dyDescent="0.25">
      <c r="A1165" t="s">
        <v>5614</v>
      </c>
      <c r="B1165" t="s">
        <v>5615</v>
      </c>
      <c r="C1165" t="s">
        <v>5616</v>
      </c>
      <c r="D1165" t="s">
        <v>1243</v>
      </c>
      <c r="E1165" t="s">
        <v>1190</v>
      </c>
      <c r="F1165" t="s">
        <v>5617</v>
      </c>
      <c r="G1165">
        <v>2025</v>
      </c>
      <c r="H1165" t="s">
        <v>1160</v>
      </c>
      <c r="I1165" t="s">
        <v>112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Y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S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C1165">
        <v>0</v>
      </c>
      <c r="DD1165">
        <v>0</v>
      </c>
      <c r="DE1165">
        <v>0</v>
      </c>
      <c r="DF1165">
        <v>0</v>
      </c>
      <c r="DH1165">
        <v>0</v>
      </c>
      <c r="DI1165">
        <v>0</v>
      </c>
    </row>
    <row r="1166" spans="1:113" ht="15" customHeight="1" x14ac:dyDescent="0.25">
      <c r="A1166" t="s">
        <v>5618</v>
      </c>
      <c r="B1166" t="s">
        <v>5619</v>
      </c>
      <c r="C1166" t="s">
        <v>5620</v>
      </c>
      <c r="D1166" t="s">
        <v>1189</v>
      </c>
      <c r="E1166" t="s">
        <v>1190</v>
      </c>
      <c r="F1166" t="s">
        <v>5621</v>
      </c>
      <c r="G1166">
        <v>2025</v>
      </c>
      <c r="H1166" t="s">
        <v>1160</v>
      </c>
      <c r="I1166" t="s">
        <v>126</v>
      </c>
      <c r="J1166">
        <v>17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Y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S1166">
        <v>0</v>
      </c>
      <c r="AU1166">
        <v>0</v>
      </c>
      <c r="AV1166">
        <v>0</v>
      </c>
      <c r="AW1166">
        <v>0</v>
      </c>
      <c r="AX1166">
        <v>0</v>
      </c>
      <c r="AY1166">
        <v>17</v>
      </c>
      <c r="AZ1166">
        <v>1</v>
      </c>
      <c r="BA1166">
        <v>21</v>
      </c>
      <c r="BB1166">
        <v>2</v>
      </c>
      <c r="BC1166">
        <v>12</v>
      </c>
      <c r="BD1166">
        <v>1</v>
      </c>
      <c r="BE1166">
        <v>1.5</v>
      </c>
      <c r="BF1166">
        <v>14</v>
      </c>
      <c r="BG1166">
        <v>6</v>
      </c>
      <c r="BH1166">
        <v>0</v>
      </c>
      <c r="BI1166">
        <v>0</v>
      </c>
      <c r="BJ1166">
        <v>1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4</v>
      </c>
      <c r="BU1166">
        <v>50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C1166">
        <v>0</v>
      </c>
      <c r="DD1166">
        <v>0</v>
      </c>
      <c r="DE1166">
        <v>0</v>
      </c>
      <c r="DF1166">
        <v>0</v>
      </c>
      <c r="DH1166">
        <v>0</v>
      </c>
      <c r="DI1166">
        <v>0</v>
      </c>
    </row>
    <row r="1167" spans="1:113" ht="15" customHeight="1" x14ac:dyDescent="0.25">
      <c r="A1167" t="s">
        <v>5622</v>
      </c>
      <c r="B1167" t="s">
        <v>5623</v>
      </c>
      <c r="C1167" t="s">
        <v>5624</v>
      </c>
      <c r="D1167" t="s">
        <v>1158</v>
      </c>
      <c r="E1167" t="s">
        <v>1158</v>
      </c>
      <c r="F1167" t="s">
        <v>5625</v>
      </c>
      <c r="G1167">
        <v>2025</v>
      </c>
      <c r="H1167" t="s">
        <v>1160</v>
      </c>
      <c r="I1167" t="s">
        <v>118</v>
      </c>
      <c r="J1167">
        <v>4</v>
      </c>
      <c r="K1167">
        <v>30</v>
      </c>
      <c r="L1167">
        <v>35</v>
      </c>
      <c r="M1167">
        <v>422</v>
      </c>
      <c r="N1167">
        <v>3</v>
      </c>
      <c r="O1167">
        <v>0</v>
      </c>
      <c r="P1167">
        <v>3</v>
      </c>
      <c r="Q1167">
        <v>-15</v>
      </c>
      <c r="R1167">
        <v>0</v>
      </c>
      <c r="S1167">
        <v>0</v>
      </c>
      <c r="T1167">
        <v>354</v>
      </c>
      <c r="U1167">
        <v>126</v>
      </c>
      <c r="V1167">
        <v>19</v>
      </c>
      <c r="W1167">
        <v>28.084425085735301</v>
      </c>
      <c r="X1167">
        <v>21.9849043233054</v>
      </c>
      <c r="Y1167">
        <v>0</v>
      </c>
      <c r="Z1167">
        <v>1.19209039548023</v>
      </c>
      <c r="AA1167">
        <v>22</v>
      </c>
      <c r="AB1167">
        <v>123</v>
      </c>
      <c r="AC1167">
        <v>2</v>
      </c>
      <c r="AD1167">
        <v>2</v>
      </c>
      <c r="AE1167">
        <v>1</v>
      </c>
      <c r="AF1167">
        <v>11</v>
      </c>
      <c r="AG1167">
        <v>1.0631115740658601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C1167">
        <v>0</v>
      </c>
      <c r="DD1167">
        <v>0</v>
      </c>
      <c r="DE1167">
        <v>0</v>
      </c>
      <c r="DF1167">
        <v>0</v>
      </c>
      <c r="DH1167">
        <v>51.18</v>
      </c>
      <c r="DI1167">
        <v>51.18</v>
      </c>
    </row>
    <row r="1168" spans="1:113" ht="15" customHeight="1" x14ac:dyDescent="0.25">
      <c r="A1168" t="s">
        <v>5626</v>
      </c>
      <c r="B1168" t="s">
        <v>5627</v>
      </c>
      <c r="C1168" t="s">
        <v>992</v>
      </c>
      <c r="D1168" t="s">
        <v>439</v>
      </c>
      <c r="E1168" t="s">
        <v>439</v>
      </c>
      <c r="F1168" t="s">
        <v>5628</v>
      </c>
      <c r="G1168">
        <v>2025</v>
      </c>
      <c r="H1168" t="s">
        <v>1160</v>
      </c>
      <c r="I1168" t="s">
        <v>126</v>
      </c>
      <c r="J1168">
        <v>15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Y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H1168">
        <v>0</v>
      </c>
      <c r="AI1168">
        <v>59</v>
      </c>
      <c r="AJ1168">
        <v>81</v>
      </c>
      <c r="AK1168">
        <v>572</v>
      </c>
      <c r="AL1168">
        <v>1</v>
      </c>
      <c r="AM1168">
        <v>0</v>
      </c>
      <c r="AN1168">
        <v>0</v>
      </c>
      <c r="AO1168">
        <v>419</v>
      </c>
      <c r="AP1168">
        <v>309</v>
      </c>
      <c r="AQ1168">
        <v>25</v>
      </c>
      <c r="AR1168">
        <v>3.08032558020279</v>
      </c>
      <c r="AS1168">
        <v>0</v>
      </c>
      <c r="AT1168">
        <v>1.3651551312649199</v>
      </c>
      <c r="AU1168">
        <v>0.149722735674677</v>
      </c>
      <c r="AV1168">
        <v>9.3028419182948505E-2</v>
      </c>
      <c r="AW1168">
        <v>0.28970399694007898</v>
      </c>
      <c r="AX1168">
        <v>0</v>
      </c>
      <c r="AY1168">
        <v>4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5</v>
      </c>
      <c r="BU1168">
        <v>30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C1168">
        <v>0</v>
      </c>
      <c r="DD1168">
        <v>0</v>
      </c>
      <c r="DE1168">
        <v>0</v>
      </c>
      <c r="DF1168">
        <v>0</v>
      </c>
      <c r="DH1168">
        <v>63.2</v>
      </c>
      <c r="DI1168">
        <v>122.2</v>
      </c>
    </row>
    <row r="1169" spans="1:113" ht="15" customHeight="1" x14ac:dyDescent="0.25">
      <c r="A1169" t="s">
        <v>5629</v>
      </c>
      <c r="B1169" t="s">
        <v>5630</v>
      </c>
      <c r="C1169" t="s">
        <v>5631</v>
      </c>
      <c r="D1169" t="s">
        <v>1297</v>
      </c>
      <c r="E1169" t="s">
        <v>1220</v>
      </c>
      <c r="F1169" t="s">
        <v>5632</v>
      </c>
      <c r="G1169">
        <v>2025</v>
      </c>
      <c r="H1169" t="s">
        <v>1160</v>
      </c>
      <c r="I1169" t="s">
        <v>121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Y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S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2</v>
      </c>
      <c r="BU1169">
        <v>20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C1169">
        <v>0</v>
      </c>
      <c r="DD1169">
        <v>0</v>
      </c>
      <c r="DE1169">
        <v>0</v>
      </c>
      <c r="DF1169">
        <v>0</v>
      </c>
      <c r="DH1169">
        <v>0</v>
      </c>
      <c r="DI1169">
        <v>0</v>
      </c>
    </row>
    <row r="1170" spans="1:113" ht="15" customHeight="1" x14ac:dyDescent="0.25">
      <c r="A1170" t="s">
        <v>5633</v>
      </c>
      <c r="B1170" t="s">
        <v>5634</v>
      </c>
      <c r="C1170" t="s">
        <v>5635</v>
      </c>
      <c r="D1170" t="s">
        <v>1234</v>
      </c>
      <c r="E1170" t="s">
        <v>1234</v>
      </c>
      <c r="F1170" t="s">
        <v>5636</v>
      </c>
      <c r="G1170">
        <v>2025</v>
      </c>
      <c r="H1170" t="s">
        <v>1160</v>
      </c>
      <c r="I1170" t="s">
        <v>140</v>
      </c>
      <c r="J1170">
        <v>16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Y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S1170">
        <v>0</v>
      </c>
      <c r="AU1170">
        <v>0</v>
      </c>
      <c r="AV1170">
        <v>0</v>
      </c>
      <c r="AW1170">
        <v>0</v>
      </c>
      <c r="AX1170">
        <v>0</v>
      </c>
      <c r="AY1170">
        <v>11</v>
      </c>
      <c r="AZ1170">
        <v>0</v>
      </c>
      <c r="BA1170">
        <v>20</v>
      </c>
      <c r="BB1170">
        <v>4</v>
      </c>
      <c r="BC1170">
        <v>29</v>
      </c>
      <c r="BD1170">
        <v>1</v>
      </c>
      <c r="BE1170">
        <v>2</v>
      </c>
      <c r="BF1170">
        <v>18</v>
      </c>
      <c r="BG1170">
        <v>4</v>
      </c>
      <c r="BH1170">
        <v>0</v>
      </c>
      <c r="BI1170">
        <v>0</v>
      </c>
      <c r="BJ1170">
        <v>5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2</v>
      </c>
      <c r="BU1170">
        <v>10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C1170">
        <v>0</v>
      </c>
      <c r="DD1170">
        <v>0</v>
      </c>
      <c r="DE1170">
        <v>0</v>
      </c>
      <c r="DF1170">
        <v>0</v>
      </c>
      <c r="DH1170">
        <v>0</v>
      </c>
      <c r="DI1170">
        <v>0</v>
      </c>
    </row>
    <row r="1171" spans="1:113" ht="15" customHeight="1" x14ac:dyDescent="0.25">
      <c r="A1171" t="s">
        <v>5637</v>
      </c>
      <c r="B1171" t="s">
        <v>5638</v>
      </c>
      <c r="C1171" t="s">
        <v>719</v>
      </c>
      <c r="D1171" t="s">
        <v>431</v>
      </c>
      <c r="E1171" t="s">
        <v>431</v>
      </c>
      <c r="F1171" t="s">
        <v>5639</v>
      </c>
      <c r="G1171">
        <v>2025</v>
      </c>
      <c r="H1171" t="s">
        <v>1160</v>
      </c>
      <c r="I1171" t="s">
        <v>140</v>
      </c>
      <c r="J1171">
        <v>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Y1171">
        <v>0</v>
      </c>
      <c r="AA1171">
        <v>221</v>
      </c>
      <c r="AB1171">
        <v>1027</v>
      </c>
      <c r="AC1171">
        <v>5</v>
      </c>
      <c r="AD1171">
        <v>0</v>
      </c>
      <c r="AE1171">
        <v>0</v>
      </c>
      <c r="AF1171">
        <v>49</v>
      </c>
      <c r="AG1171">
        <v>-14.2939063761165</v>
      </c>
      <c r="AH1171">
        <v>0</v>
      </c>
      <c r="AI1171">
        <v>31</v>
      </c>
      <c r="AJ1171">
        <v>36</v>
      </c>
      <c r="AK1171">
        <v>282</v>
      </c>
      <c r="AL1171">
        <v>0</v>
      </c>
      <c r="AM1171">
        <v>1</v>
      </c>
      <c r="AN1171">
        <v>0</v>
      </c>
      <c r="AO1171">
        <v>-41</v>
      </c>
      <c r="AP1171">
        <v>339</v>
      </c>
      <c r="AQ1171">
        <v>12</v>
      </c>
      <c r="AR1171">
        <v>6.8394574155415198</v>
      </c>
      <c r="AS1171">
        <v>0</v>
      </c>
      <c r="AT1171">
        <v>-6.8780487804878101</v>
      </c>
      <c r="AU1171">
        <v>7.9120879120879103E-2</v>
      </c>
      <c r="AV1171">
        <v>-1.09100585417775E-2</v>
      </c>
      <c r="AW1171">
        <v>0.11104427770207401</v>
      </c>
      <c r="AX1171">
        <v>0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1</v>
      </c>
      <c r="BU1171">
        <v>15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C1171">
        <v>0</v>
      </c>
      <c r="DD1171">
        <v>0</v>
      </c>
      <c r="DE1171">
        <v>0</v>
      </c>
      <c r="DF1171">
        <v>0</v>
      </c>
      <c r="DH1171">
        <v>160.9</v>
      </c>
      <c r="DI1171">
        <v>191.9</v>
      </c>
    </row>
    <row r="1172" spans="1:113" ht="15" customHeight="1" x14ac:dyDescent="0.25">
      <c r="A1172" t="s">
        <v>5640</v>
      </c>
      <c r="B1172" t="s">
        <v>5641</v>
      </c>
      <c r="C1172" t="s">
        <v>5642</v>
      </c>
      <c r="D1172" t="s">
        <v>1684</v>
      </c>
      <c r="E1172" t="s">
        <v>1307</v>
      </c>
      <c r="F1172" t="s">
        <v>5643</v>
      </c>
      <c r="G1172">
        <v>2025</v>
      </c>
      <c r="H1172" t="s">
        <v>1160</v>
      </c>
      <c r="I1172" t="s">
        <v>104</v>
      </c>
      <c r="J1172">
        <v>17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Y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S1172">
        <v>0</v>
      </c>
      <c r="AU1172">
        <v>0</v>
      </c>
      <c r="AV1172">
        <v>0</v>
      </c>
      <c r="AW1172">
        <v>0</v>
      </c>
      <c r="AX1172">
        <v>0</v>
      </c>
      <c r="AY1172">
        <v>50</v>
      </c>
      <c r="AZ1172">
        <v>2</v>
      </c>
      <c r="BA1172">
        <v>41</v>
      </c>
      <c r="BB1172">
        <v>1</v>
      </c>
      <c r="BC1172">
        <v>9</v>
      </c>
      <c r="BD1172">
        <v>0</v>
      </c>
      <c r="BE1172">
        <v>1</v>
      </c>
      <c r="BF1172">
        <v>9</v>
      </c>
      <c r="BG1172">
        <v>3</v>
      </c>
      <c r="BH1172">
        <v>1</v>
      </c>
      <c r="BI1172">
        <v>32</v>
      </c>
      <c r="BJ1172">
        <v>8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3</v>
      </c>
      <c r="BU1172">
        <v>45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C1172">
        <v>0</v>
      </c>
      <c r="DD1172">
        <v>0</v>
      </c>
      <c r="DE1172">
        <v>0</v>
      </c>
      <c r="DF1172">
        <v>0</v>
      </c>
      <c r="DH1172">
        <v>0</v>
      </c>
      <c r="DI1172">
        <v>0</v>
      </c>
    </row>
    <row r="1173" spans="1:113" ht="15" customHeight="1" x14ac:dyDescent="0.25">
      <c r="A1173" t="s">
        <v>5644</v>
      </c>
      <c r="B1173" t="s">
        <v>5645</v>
      </c>
      <c r="C1173" t="s">
        <v>5646</v>
      </c>
      <c r="D1173" t="s">
        <v>1684</v>
      </c>
      <c r="E1173" t="s">
        <v>1307</v>
      </c>
      <c r="F1173" t="s">
        <v>5647</v>
      </c>
      <c r="G1173">
        <v>2025</v>
      </c>
      <c r="H1173" t="s">
        <v>1160</v>
      </c>
      <c r="I1173" t="s">
        <v>140</v>
      </c>
      <c r="J1173">
        <v>15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Y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S1173">
        <v>0</v>
      </c>
      <c r="AU1173">
        <v>0</v>
      </c>
      <c r="AV1173">
        <v>0</v>
      </c>
      <c r="AW1173">
        <v>0</v>
      </c>
      <c r="AX1173">
        <v>0</v>
      </c>
      <c r="AY1173">
        <v>37</v>
      </c>
      <c r="AZ1173">
        <v>2</v>
      </c>
      <c r="BA1173">
        <v>27</v>
      </c>
      <c r="BB1173">
        <v>4</v>
      </c>
      <c r="BC1173">
        <v>6</v>
      </c>
      <c r="BD1173">
        <v>1</v>
      </c>
      <c r="BE1173">
        <v>0</v>
      </c>
      <c r="BF1173">
        <v>0</v>
      </c>
      <c r="BG1173">
        <v>0</v>
      </c>
      <c r="BH1173">
        <v>4</v>
      </c>
      <c r="BI1173">
        <v>43</v>
      </c>
      <c r="BJ1173">
        <v>7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C1173">
        <v>0</v>
      </c>
      <c r="DD1173">
        <v>0</v>
      </c>
      <c r="DE1173">
        <v>0</v>
      </c>
      <c r="DF1173">
        <v>0</v>
      </c>
      <c r="DH1173">
        <v>0</v>
      </c>
      <c r="DI1173">
        <v>0</v>
      </c>
    </row>
    <row r="1174" spans="1:113" ht="15" customHeight="1" x14ac:dyDescent="0.25">
      <c r="A1174" t="s">
        <v>5648</v>
      </c>
      <c r="B1174" t="s">
        <v>5649</v>
      </c>
      <c r="C1174" t="s">
        <v>5650</v>
      </c>
      <c r="D1174" t="s">
        <v>1234</v>
      </c>
      <c r="E1174" t="s">
        <v>1234</v>
      </c>
      <c r="F1174" t="s">
        <v>5651</v>
      </c>
      <c r="G1174">
        <v>2025</v>
      </c>
      <c r="H1174" t="s">
        <v>1160</v>
      </c>
      <c r="I1174" t="s">
        <v>97</v>
      </c>
      <c r="J1174">
        <v>12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Y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S1174">
        <v>0</v>
      </c>
      <c r="AU1174">
        <v>0</v>
      </c>
      <c r="AV1174">
        <v>0</v>
      </c>
      <c r="AW1174">
        <v>0</v>
      </c>
      <c r="AX1174">
        <v>0</v>
      </c>
      <c r="AY1174">
        <v>7</v>
      </c>
      <c r="AZ1174">
        <v>0</v>
      </c>
      <c r="BA1174">
        <v>9</v>
      </c>
      <c r="BB1174">
        <v>0</v>
      </c>
      <c r="BC1174">
        <v>0</v>
      </c>
      <c r="BD1174">
        <v>0</v>
      </c>
      <c r="BE1174">
        <v>0.5</v>
      </c>
      <c r="BF1174">
        <v>5</v>
      </c>
      <c r="BG1174">
        <v>2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C1174">
        <v>0</v>
      </c>
      <c r="DD1174">
        <v>0</v>
      </c>
      <c r="DE1174">
        <v>0</v>
      </c>
      <c r="DF1174">
        <v>0</v>
      </c>
      <c r="DH1174">
        <v>0</v>
      </c>
      <c r="DI1174">
        <v>0</v>
      </c>
    </row>
    <row r="1175" spans="1:113" ht="15" customHeight="1" x14ac:dyDescent="0.25">
      <c r="A1175" t="s">
        <v>5652</v>
      </c>
      <c r="B1175" t="s">
        <v>5653</v>
      </c>
      <c r="C1175" t="s">
        <v>5654</v>
      </c>
      <c r="D1175" t="s">
        <v>1168</v>
      </c>
      <c r="E1175" t="s">
        <v>1169</v>
      </c>
      <c r="F1175" t="s">
        <v>5655</v>
      </c>
      <c r="G1175">
        <v>2025</v>
      </c>
      <c r="H1175" t="s">
        <v>1160</v>
      </c>
      <c r="I1175" t="s">
        <v>118</v>
      </c>
      <c r="J1175">
        <v>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Y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S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4</v>
      </c>
      <c r="CA1175">
        <v>4</v>
      </c>
      <c r="CB1175">
        <v>0</v>
      </c>
      <c r="CC1175">
        <v>0</v>
      </c>
      <c r="CD1175">
        <v>61</v>
      </c>
      <c r="CE1175">
        <v>1</v>
      </c>
      <c r="CF1175">
        <v>0</v>
      </c>
      <c r="CG1175">
        <v>0</v>
      </c>
      <c r="CH1175">
        <v>2</v>
      </c>
      <c r="CI1175">
        <v>1</v>
      </c>
      <c r="CJ1175">
        <v>0</v>
      </c>
      <c r="CK1175">
        <v>1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 t="s">
        <v>5656</v>
      </c>
      <c r="CU1175">
        <v>174</v>
      </c>
      <c r="CV1175">
        <v>0</v>
      </c>
      <c r="CW1175">
        <v>0</v>
      </c>
      <c r="CX1175">
        <v>7</v>
      </c>
      <c r="CY1175">
        <v>9</v>
      </c>
      <c r="CZ1175">
        <v>2</v>
      </c>
      <c r="DA1175">
        <v>0</v>
      </c>
      <c r="DB1175">
        <v>0.77777777777777801</v>
      </c>
      <c r="DC1175">
        <v>0</v>
      </c>
      <c r="DD1175">
        <v>0</v>
      </c>
      <c r="DE1175">
        <v>0</v>
      </c>
      <c r="DF1175">
        <v>0</v>
      </c>
      <c r="DH1175">
        <v>0</v>
      </c>
      <c r="DI1175">
        <v>0</v>
      </c>
    </row>
    <row r="1176" spans="1:113" ht="15" customHeight="1" x14ac:dyDescent="0.25">
      <c r="A1176" t="s">
        <v>5657</v>
      </c>
      <c r="B1176" t="s">
        <v>5658</v>
      </c>
      <c r="C1176" t="s">
        <v>5659</v>
      </c>
      <c r="D1176" t="s">
        <v>1350</v>
      </c>
      <c r="E1176" t="s">
        <v>1307</v>
      </c>
      <c r="F1176" t="s">
        <v>5660</v>
      </c>
      <c r="G1176">
        <v>2025</v>
      </c>
      <c r="H1176" t="s">
        <v>1160</v>
      </c>
      <c r="I1176" t="s">
        <v>112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Y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S1176">
        <v>0</v>
      </c>
      <c r="AU1176">
        <v>0</v>
      </c>
      <c r="AV1176">
        <v>0</v>
      </c>
      <c r="AW1176">
        <v>0</v>
      </c>
      <c r="AX1176">
        <v>0</v>
      </c>
      <c r="AY1176">
        <v>3</v>
      </c>
      <c r="AZ1176">
        <v>0</v>
      </c>
      <c r="BA1176">
        <v>2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C1176">
        <v>0</v>
      </c>
      <c r="DD1176">
        <v>0</v>
      </c>
      <c r="DE1176">
        <v>0</v>
      </c>
      <c r="DF1176">
        <v>0</v>
      </c>
      <c r="DH1176">
        <v>0</v>
      </c>
      <c r="DI1176">
        <v>0</v>
      </c>
    </row>
    <row r="1177" spans="1:113" ht="15" customHeight="1" x14ac:dyDescent="0.25">
      <c r="A1177" t="s">
        <v>5661</v>
      </c>
      <c r="B1177" t="s">
        <v>5662</v>
      </c>
      <c r="C1177" t="s">
        <v>755</v>
      </c>
      <c r="D1177" t="s">
        <v>10</v>
      </c>
      <c r="E1177" t="s">
        <v>10</v>
      </c>
      <c r="F1177" t="s">
        <v>5663</v>
      </c>
      <c r="G1177">
        <v>2025</v>
      </c>
      <c r="H1177" t="s">
        <v>1160</v>
      </c>
      <c r="I1177" t="s">
        <v>1200</v>
      </c>
      <c r="J1177">
        <v>16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Y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H1177">
        <v>0</v>
      </c>
      <c r="AI1177">
        <v>18</v>
      </c>
      <c r="AJ1177">
        <v>24</v>
      </c>
      <c r="AK1177">
        <v>303</v>
      </c>
      <c r="AL1177">
        <v>0</v>
      </c>
      <c r="AM1177">
        <v>0</v>
      </c>
      <c r="AN1177">
        <v>0</v>
      </c>
      <c r="AO1177">
        <v>405</v>
      </c>
      <c r="AP1177">
        <v>107</v>
      </c>
      <c r="AQ1177">
        <v>11</v>
      </c>
      <c r="AR1177">
        <v>21.934939986560501</v>
      </c>
      <c r="AS1177">
        <v>0</v>
      </c>
      <c r="AT1177">
        <v>0.74814814814814801</v>
      </c>
      <c r="AU1177">
        <v>4.1308089500860602E-2</v>
      </c>
      <c r="AV1177">
        <v>7.4613117170228505E-2</v>
      </c>
      <c r="AW1177">
        <v>0.114191316270451</v>
      </c>
      <c r="AX1177">
        <v>0</v>
      </c>
      <c r="AY1177">
        <v>3</v>
      </c>
      <c r="AZ1177">
        <v>0</v>
      </c>
      <c r="BA1177">
        <v>3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2</v>
      </c>
      <c r="BU1177">
        <v>15</v>
      </c>
      <c r="BV1177">
        <v>27</v>
      </c>
      <c r="BW1177">
        <v>251</v>
      </c>
      <c r="BX1177">
        <v>13</v>
      </c>
      <c r="BY1177">
        <v>301</v>
      </c>
      <c r="BZ1177">
        <v>0</v>
      </c>
      <c r="CA1177">
        <v>0</v>
      </c>
      <c r="CB1177">
        <v>0</v>
      </c>
      <c r="CC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C1177">
        <v>0</v>
      </c>
      <c r="DD1177">
        <v>0</v>
      </c>
      <c r="DE1177">
        <v>0</v>
      </c>
      <c r="DF1177">
        <v>0</v>
      </c>
      <c r="DH1177">
        <v>30.3</v>
      </c>
      <c r="DI1177">
        <v>48.3</v>
      </c>
    </row>
    <row r="1178" spans="1:113" ht="15" customHeight="1" x14ac:dyDescent="0.25">
      <c r="A1178" t="s">
        <v>5664</v>
      </c>
      <c r="B1178" t="s">
        <v>5665</v>
      </c>
      <c r="C1178" t="s">
        <v>5666</v>
      </c>
      <c r="D1178" t="s">
        <v>1214</v>
      </c>
      <c r="E1178" t="s">
        <v>1169</v>
      </c>
      <c r="F1178" t="s">
        <v>5667</v>
      </c>
      <c r="G1178">
        <v>2025</v>
      </c>
      <c r="H1178" t="s">
        <v>1160</v>
      </c>
      <c r="I1178" t="s">
        <v>1200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Y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S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1</v>
      </c>
      <c r="BU1178">
        <v>5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C1178">
        <v>0</v>
      </c>
      <c r="DD1178">
        <v>0</v>
      </c>
      <c r="DE1178">
        <v>0</v>
      </c>
      <c r="DF1178">
        <v>0</v>
      </c>
      <c r="DH1178">
        <v>0</v>
      </c>
      <c r="DI1178">
        <v>0</v>
      </c>
    </row>
    <row r="1179" spans="1:113" ht="15" customHeight="1" x14ac:dyDescent="0.25">
      <c r="A1179" t="s">
        <v>5668</v>
      </c>
      <c r="B1179" t="s">
        <v>5669</v>
      </c>
      <c r="C1179" t="s">
        <v>5670</v>
      </c>
      <c r="D1179" t="s">
        <v>1684</v>
      </c>
      <c r="E1179" t="s">
        <v>1307</v>
      </c>
      <c r="F1179" t="s">
        <v>5671</v>
      </c>
      <c r="G1179">
        <v>2025</v>
      </c>
      <c r="H1179" t="s">
        <v>1160</v>
      </c>
      <c r="I1179" t="s">
        <v>1200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Y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S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>
        <v>1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C1179">
        <v>0</v>
      </c>
      <c r="DD1179">
        <v>0</v>
      </c>
      <c r="DE1179">
        <v>0</v>
      </c>
      <c r="DF1179">
        <v>0</v>
      </c>
      <c r="DH1179">
        <v>0</v>
      </c>
      <c r="DI1179">
        <v>0</v>
      </c>
    </row>
    <row r="1180" spans="1:113" ht="15" customHeight="1" x14ac:dyDescent="0.25">
      <c r="A1180" t="s">
        <v>5672</v>
      </c>
      <c r="B1180" t="s">
        <v>5673</v>
      </c>
      <c r="C1180" t="s">
        <v>5674</v>
      </c>
      <c r="D1180" t="s">
        <v>1350</v>
      </c>
      <c r="E1180" t="s">
        <v>1307</v>
      </c>
      <c r="F1180" t="s">
        <v>5675</v>
      </c>
      <c r="G1180">
        <v>2025</v>
      </c>
      <c r="H1180" t="s">
        <v>1160</v>
      </c>
      <c r="I1180" t="s">
        <v>89</v>
      </c>
      <c r="J1180">
        <v>12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Y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S1180">
        <v>0</v>
      </c>
      <c r="AU1180">
        <v>0</v>
      </c>
      <c r="AV1180">
        <v>0</v>
      </c>
      <c r="AW1180">
        <v>0</v>
      </c>
      <c r="AX1180">
        <v>0</v>
      </c>
      <c r="AY1180">
        <v>31</v>
      </c>
      <c r="AZ1180">
        <v>0</v>
      </c>
      <c r="BA1180">
        <v>9</v>
      </c>
      <c r="BB1180">
        <v>1</v>
      </c>
      <c r="BC1180">
        <v>6</v>
      </c>
      <c r="BD1180">
        <v>0</v>
      </c>
      <c r="BE1180">
        <v>0</v>
      </c>
      <c r="BF1180">
        <v>0</v>
      </c>
      <c r="BG1180">
        <v>0</v>
      </c>
      <c r="BH1180">
        <v>3</v>
      </c>
      <c r="BI1180">
        <v>26</v>
      </c>
      <c r="BJ1180">
        <v>6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1</v>
      </c>
      <c r="BR1180">
        <v>1</v>
      </c>
      <c r="BS1180">
        <v>0</v>
      </c>
      <c r="BT1180">
        <v>3</v>
      </c>
      <c r="BU1180">
        <v>43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C1180">
        <v>0</v>
      </c>
      <c r="DD1180">
        <v>0</v>
      </c>
      <c r="DE1180">
        <v>0</v>
      </c>
      <c r="DF1180">
        <v>0</v>
      </c>
      <c r="DH1180">
        <v>0</v>
      </c>
      <c r="DI1180">
        <v>0</v>
      </c>
    </row>
    <row r="1181" spans="1:113" ht="15" customHeight="1" x14ac:dyDescent="0.25">
      <c r="A1181" t="s">
        <v>5676</v>
      </c>
      <c r="B1181" t="s">
        <v>5677</v>
      </c>
      <c r="C1181" t="s">
        <v>5678</v>
      </c>
      <c r="D1181" t="s">
        <v>1297</v>
      </c>
      <c r="E1181" t="s">
        <v>1220</v>
      </c>
      <c r="F1181" t="s">
        <v>5679</v>
      </c>
      <c r="G1181">
        <v>2025</v>
      </c>
      <c r="H1181" t="s">
        <v>1160</v>
      </c>
      <c r="I1181" t="s">
        <v>97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Y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S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3</v>
      </c>
      <c r="BU1181">
        <v>20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C1181">
        <v>0</v>
      </c>
      <c r="DD1181">
        <v>0</v>
      </c>
      <c r="DE1181">
        <v>0</v>
      </c>
      <c r="DF1181">
        <v>0</v>
      </c>
      <c r="DH1181">
        <v>0</v>
      </c>
      <c r="DI1181">
        <v>0</v>
      </c>
    </row>
    <row r="1182" spans="1:113" ht="15" customHeight="1" x14ac:dyDescent="0.25">
      <c r="A1182" t="s">
        <v>5680</v>
      </c>
      <c r="B1182" t="s">
        <v>5681</v>
      </c>
      <c r="C1182" t="s">
        <v>5682</v>
      </c>
      <c r="D1182" t="s">
        <v>1243</v>
      </c>
      <c r="E1182" t="s">
        <v>1190</v>
      </c>
      <c r="F1182" t="s">
        <v>5683</v>
      </c>
      <c r="G1182">
        <v>2025</v>
      </c>
      <c r="H1182" t="s">
        <v>1160</v>
      </c>
      <c r="I1182" t="s">
        <v>120</v>
      </c>
      <c r="J1182">
        <v>12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Y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S1182">
        <v>0</v>
      </c>
      <c r="AU1182">
        <v>0</v>
      </c>
      <c r="AV1182">
        <v>0</v>
      </c>
      <c r="AW1182">
        <v>0</v>
      </c>
      <c r="AX1182">
        <v>0</v>
      </c>
      <c r="AY1182">
        <v>19</v>
      </c>
      <c r="AZ1182">
        <v>2</v>
      </c>
      <c r="BA1182">
        <v>12</v>
      </c>
      <c r="BB1182">
        <v>5</v>
      </c>
      <c r="BC1182">
        <v>31</v>
      </c>
      <c r="BD1182">
        <v>0</v>
      </c>
      <c r="BE1182">
        <v>3</v>
      </c>
      <c r="BF1182">
        <v>27</v>
      </c>
      <c r="BG1182">
        <v>12</v>
      </c>
      <c r="BH1182">
        <v>0</v>
      </c>
      <c r="BI1182">
        <v>0</v>
      </c>
      <c r="BJ1182">
        <v>7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5</v>
      </c>
      <c r="BU1182">
        <v>48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C1182">
        <v>0</v>
      </c>
      <c r="DD1182">
        <v>0</v>
      </c>
      <c r="DE1182">
        <v>0</v>
      </c>
      <c r="DF1182">
        <v>0</v>
      </c>
      <c r="DH1182">
        <v>0</v>
      </c>
      <c r="DI1182">
        <v>0</v>
      </c>
    </row>
    <row r="1183" spans="1:113" ht="15" customHeight="1" x14ac:dyDescent="0.25">
      <c r="A1183" t="s">
        <v>5684</v>
      </c>
      <c r="B1183" t="s">
        <v>5685</v>
      </c>
      <c r="C1183" t="s">
        <v>5686</v>
      </c>
      <c r="D1183" t="s">
        <v>1189</v>
      </c>
      <c r="E1183" t="s">
        <v>1190</v>
      </c>
      <c r="F1183" t="s">
        <v>5687</v>
      </c>
      <c r="G1183">
        <v>2025</v>
      </c>
      <c r="H1183" t="s">
        <v>1160</v>
      </c>
      <c r="I1183" t="s">
        <v>118</v>
      </c>
      <c r="J1183">
        <v>15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Y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S1183">
        <v>0</v>
      </c>
      <c r="AU1183">
        <v>0</v>
      </c>
      <c r="AV1183">
        <v>0</v>
      </c>
      <c r="AW1183">
        <v>0</v>
      </c>
      <c r="AX1183">
        <v>0</v>
      </c>
      <c r="AY1183">
        <v>24</v>
      </c>
      <c r="AZ1183">
        <v>2</v>
      </c>
      <c r="BA1183">
        <v>24</v>
      </c>
      <c r="BB1183">
        <v>6</v>
      </c>
      <c r="BC1183">
        <v>10</v>
      </c>
      <c r="BD1183">
        <v>0</v>
      </c>
      <c r="BE1183">
        <v>0</v>
      </c>
      <c r="BF1183">
        <v>0</v>
      </c>
      <c r="BG1183">
        <v>3</v>
      </c>
      <c r="BH1183">
        <v>0</v>
      </c>
      <c r="BI1183">
        <v>0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4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C1183">
        <v>0</v>
      </c>
      <c r="DD1183">
        <v>0</v>
      </c>
      <c r="DE1183">
        <v>0</v>
      </c>
      <c r="DF1183">
        <v>0</v>
      </c>
      <c r="DH1183">
        <v>0</v>
      </c>
      <c r="DI1183">
        <v>0</v>
      </c>
    </row>
    <row r="1184" spans="1:113" ht="15" customHeight="1" x14ac:dyDescent="0.25">
      <c r="A1184" t="s">
        <v>5688</v>
      </c>
      <c r="B1184" t="s">
        <v>5237</v>
      </c>
      <c r="C1184" t="s">
        <v>5689</v>
      </c>
      <c r="D1184" t="s">
        <v>1234</v>
      </c>
      <c r="E1184" t="s">
        <v>1234</v>
      </c>
      <c r="F1184" t="s">
        <v>5690</v>
      </c>
      <c r="G1184">
        <v>2025</v>
      </c>
      <c r="H1184" t="s">
        <v>1160</v>
      </c>
      <c r="I1184" t="s">
        <v>104</v>
      </c>
      <c r="J1184">
        <v>13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Y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S1184">
        <v>0</v>
      </c>
      <c r="AU1184">
        <v>0</v>
      </c>
      <c r="AV1184">
        <v>0</v>
      </c>
      <c r="AW1184">
        <v>0</v>
      </c>
      <c r="AX1184">
        <v>0</v>
      </c>
      <c r="AY1184">
        <v>32</v>
      </c>
      <c r="AZ1184">
        <v>1</v>
      </c>
      <c r="BA1184">
        <v>26</v>
      </c>
      <c r="BB1184">
        <v>3</v>
      </c>
      <c r="BC1184">
        <v>3</v>
      </c>
      <c r="BD1184">
        <v>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3</v>
      </c>
      <c r="BU1184">
        <v>35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C1184">
        <v>0</v>
      </c>
      <c r="DD1184">
        <v>0</v>
      </c>
      <c r="DE1184">
        <v>0</v>
      </c>
      <c r="DF1184">
        <v>0</v>
      </c>
      <c r="DH1184">
        <v>0</v>
      </c>
      <c r="DI1184">
        <v>0</v>
      </c>
    </row>
    <row r="1185" spans="1:113" ht="15" customHeight="1" x14ac:dyDescent="0.25">
      <c r="A1185" t="s">
        <v>5691</v>
      </c>
      <c r="B1185" t="s">
        <v>5692</v>
      </c>
      <c r="C1185" t="s">
        <v>5693</v>
      </c>
      <c r="D1185" t="s">
        <v>1684</v>
      </c>
      <c r="E1185" t="s">
        <v>1307</v>
      </c>
      <c r="F1185" t="s">
        <v>5694</v>
      </c>
      <c r="G1185">
        <v>2025</v>
      </c>
      <c r="H1185" t="s">
        <v>1160</v>
      </c>
      <c r="I1185" t="s">
        <v>124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Y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S1185">
        <v>0</v>
      </c>
      <c r="AU1185">
        <v>0</v>
      </c>
      <c r="AV1185">
        <v>0</v>
      </c>
      <c r="AW1185">
        <v>0</v>
      </c>
      <c r="AX1185">
        <v>0</v>
      </c>
      <c r="AY1185">
        <v>2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7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C1185">
        <v>0</v>
      </c>
      <c r="DD1185">
        <v>0</v>
      </c>
      <c r="DE1185">
        <v>0</v>
      </c>
      <c r="DF1185">
        <v>0</v>
      </c>
      <c r="DH1185">
        <v>0</v>
      </c>
      <c r="DI1185">
        <v>0</v>
      </c>
    </row>
    <row r="1186" spans="1:113" ht="15" customHeight="1" x14ac:dyDescent="0.25">
      <c r="A1186" t="s">
        <v>5695</v>
      </c>
      <c r="B1186" t="s">
        <v>5696</v>
      </c>
      <c r="C1186" t="s">
        <v>648</v>
      </c>
      <c r="D1186" t="s">
        <v>10</v>
      </c>
      <c r="E1186" t="s">
        <v>10</v>
      </c>
      <c r="F1186" t="s">
        <v>5697</v>
      </c>
      <c r="G1186">
        <v>2025</v>
      </c>
      <c r="H1186" t="s">
        <v>1160</v>
      </c>
      <c r="I1186" t="s">
        <v>118</v>
      </c>
      <c r="J1186">
        <v>13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Y1186">
        <v>0</v>
      </c>
      <c r="AA1186">
        <v>1</v>
      </c>
      <c r="AB1186">
        <v>6</v>
      </c>
      <c r="AC1186">
        <v>0</v>
      </c>
      <c r="AD1186">
        <v>0</v>
      </c>
      <c r="AE1186">
        <v>0</v>
      </c>
      <c r="AF1186">
        <v>0</v>
      </c>
      <c r="AG1186">
        <v>0.49414058402180699</v>
      </c>
      <c r="AH1186">
        <v>0</v>
      </c>
      <c r="AI1186">
        <v>30</v>
      </c>
      <c r="AJ1186">
        <v>46</v>
      </c>
      <c r="AK1186">
        <v>332</v>
      </c>
      <c r="AL1186">
        <v>2</v>
      </c>
      <c r="AM1186">
        <v>0</v>
      </c>
      <c r="AN1186">
        <v>0</v>
      </c>
      <c r="AO1186">
        <v>517</v>
      </c>
      <c r="AP1186">
        <v>67</v>
      </c>
      <c r="AQ1186">
        <v>21</v>
      </c>
      <c r="AR1186">
        <v>14.157983337128799</v>
      </c>
      <c r="AS1186">
        <v>0</v>
      </c>
      <c r="AT1186">
        <v>0.64216634429400399</v>
      </c>
      <c r="AU1186">
        <v>0.1</v>
      </c>
      <c r="AV1186">
        <v>0.12070978286248001</v>
      </c>
      <c r="AW1186">
        <v>0.23449684800373599</v>
      </c>
      <c r="AX1186">
        <v>0</v>
      </c>
      <c r="AY1186">
        <v>1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C1186">
        <v>0</v>
      </c>
      <c r="DD1186">
        <v>0</v>
      </c>
      <c r="DE1186">
        <v>0</v>
      </c>
      <c r="DF1186">
        <v>0</v>
      </c>
      <c r="DH1186">
        <v>45.8</v>
      </c>
      <c r="DI1186">
        <v>75.8</v>
      </c>
    </row>
    <row r="1187" spans="1:113" ht="15" customHeight="1" x14ac:dyDescent="0.25">
      <c r="A1187" t="s">
        <v>5698</v>
      </c>
      <c r="B1187" t="s">
        <v>5699</v>
      </c>
      <c r="C1187" t="s">
        <v>676</v>
      </c>
      <c r="D1187" t="s">
        <v>439</v>
      </c>
      <c r="E1187" t="s">
        <v>439</v>
      </c>
      <c r="F1187" t="s">
        <v>5700</v>
      </c>
      <c r="G1187">
        <v>2025</v>
      </c>
      <c r="H1187" t="s">
        <v>1160</v>
      </c>
      <c r="I1187" t="s">
        <v>124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Y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H1187">
        <v>0</v>
      </c>
      <c r="AI1187">
        <v>1</v>
      </c>
      <c r="AJ1187">
        <v>1</v>
      </c>
      <c r="AK1187">
        <v>16</v>
      </c>
      <c r="AL1187">
        <v>0</v>
      </c>
      <c r="AM1187">
        <v>0</v>
      </c>
      <c r="AN1187">
        <v>0</v>
      </c>
      <c r="AO1187">
        <v>16</v>
      </c>
      <c r="AP1187">
        <v>0</v>
      </c>
      <c r="AQ1187">
        <v>1</v>
      </c>
      <c r="AR1187">
        <v>1.51765771117061</v>
      </c>
      <c r="AS1187">
        <v>0</v>
      </c>
      <c r="AT1187">
        <v>1</v>
      </c>
      <c r="AU1187">
        <v>1.88679245283019E-3</v>
      </c>
      <c r="AV1187">
        <v>3.6529680365296798E-3</v>
      </c>
      <c r="AW1187">
        <v>5.3872663048160603E-3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C1187">
        <v>0</v>
      </c>
      <c r="DD1187">
        <v>0</v>
      </c>
      <c r="DE1187">
        <v>0</v>
      </c>
      <c r="DF1187">
        <v>0</v>
      </c>
      <c r="DH1187">
        <v>1.6</v>
      </c>
      <c r="DI1187">
        <v>2.6</v>
      </c>
    </row>
    <row r="1188" spans="1:113" ht="15" customHeight="1" x14ac:dyDescent="0.25">
      <c r="A1188" t="s">
        <v>5701</v>
      </c>
      <c r="B1188" t="s">
        <v>5702</v>
      </c>
      <c r="C1188" t="s">
        <v>865</v>
      </c>
      <c r="D1188" t="s">
        <v>431</v>
      </c>
      <c r="E1188" t="s">
        <v>431</v>
      </c>
      <c r="F1188" t="s">
        <v>5703</v>
      </c>
      <c r="G1188">
        <v>2025</v>
      </c>
      <c r="H1188" t="s">
        <v>1160</v>
      </c>
      <c r="I1188" t="s">
        <v>139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Y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S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2</v>
      </c>
      <c r="BY1188">
        <v>41</v>
      </c>
      <c r="BZ1188">
        <v>0</v>
      </c>
      <c r="CA1188">
        <v>0</v>
      </c>
      <c r="CB1188">
        <v>0</v>
      </c>
      <c r="CC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C1188">
        <v>0</v>
      </c>
      <c r="DD1188">
        <v>0</v>
      </c>
      <c r="DE1188">
        <v>0</v>
      </c>
      <c r="DF1188">
        <v>0</v>
      </c>
      <c r="DH1188">
        <v>0</v>
      </c>
      <c r="DI1188">
        <v>0</v>
      </c>
    </row>
    <row r="1189" spans="1:113" ht="15" customHeight="1" x14ac:dyDescent="0.25">
      <c r="A1189" t="s">
        <v>5704</v>
      </c>
      <c r="B1189" t="s">
        <v>5705</v>
      </c>
      <c r="C1189" t="s">
        <v>840</v>
      </c>
      <c r="D1189" t="s">
        <v>431</v>
      </c>
      <c r="E1189" t="s">
        <v>431</v>
      </c>
      <c r="F1189" t="s">
        <v>5706</v>
      </c>
      <c r="G1189">
        <v>2025</v>
      </c>
      <c r="H1189" t="s">
        <v>1160</v>
      </c>
      <c r="I1189" t="s">
        <v>138</v>
      </c>
      <c r="J1189">
        <v>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Y1189">
        <v>0</v>
      </c>
      <c r="AA1189">
        <v>19</v>
      </c>
      <c r="AB1189">
        <v>48</v>
      </c>
      <c r="AC1189">
        <v>0</v>
      </c>
      <c r="AD1189">
        <v>0</v>
      </c>
      <c r="AE1189">
        <v>0</v>
      </c>
      <c r="AF1189">
        <v>4</v>
      </c>
      <c r="AG1189">
        <v>-7.7179443607456104</v>
      </c>
      <c r="AH1189">
        <v>0</v>
      </c>
      <c r="AI1189">
        <v>1</v>
      </c>
      <c r="AJ1189">
        <v>1</v>
      </c>
      <c r="AK1189">
        <v>6</v>
      </c>
      <c r="AL1189">
        <v>0</v>
      </c>
      <c r="AM1189">
        <v>0</v>
      </c>
      <c r="AN1189">
        <v>0</v>
      </c>
      <c r="AO1189">
        <v>-4</v>
      </c>
      <c r="AP1189">
        <v>10</v>
      </c>
      <c r="AQ1189">
        <v>0</v>
      </c>
      <c r="AR1189">
        <v>0.15124037815257901</v>
      </c>
      <c r="AS1189">
        <v>0</v>
      </c>
      <c r="AT1189">
        <v>-1.5</v>
      </c>
      <c r="AU1189">
        <v>1.76991150442478E-3</v>
      </c>
      <c r="AV1189">
        <v>-8.3559640693545005E-4</v>
      </c>
      <c r="AW1189">
        <v>2.06994977178235E-3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7</v>
      </c>
      <c r="BY1189">
        <v>179</v>
      </c>
      <c r="BZ1189">
        <v>0</v>
      </c>
      <c r="CA1189">
        <v>0</v>
      </c>
      <c r="CB1189">
        <v>0</v>
      </c>
      <c r="CC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C1189">
        <v>0</v>
      </c>
      <c r="DD1189">
        <v>0</v>
      </c>
      <c r="DE1189">
        <v>0</v>
      </c>
      <c r="DF1189">
        <v>0</v>
      </c>
      <c r="DH1189">
        <v>5.4</v>
      </c>
      <c r="DI1189">
        <v>6.4</v>
      </c>
    </row>
    <row r="1190" spans="1:113" ht="15" customHeight="1" x14ac:dyDescent="0.25">
      <c r="A1190" t="s">
        <v>5707</v>
      </c>
      <c r="B1190" t="s">
        <v>5708</v>
      </c>
      <c r="C1190" t="s">
        <v>5709</v>
      </c>
      <c r="D1190" t="s">
        <v>1243</v>
      </c>
      <c r="E1190" t="s">
        <v>1190</v>
      </c>
      <c r="F1190" t="s">
        <v>5710</v>
      </c>
      <c r="G1190">
        <v>2025</v>
      </c>
      <c r="H1190" t="s">
        <v>1160</v>
      </c>
      <c r="I1190" t="s">
        <v>118</v>
      </c>
      <c r="J1190">
        <v>12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Y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S1190">
        <v>0</v>
      </c>
      <c r="AU1190">
        <v>0</v>
      </c>
      <c r="AV1190">
        <v>0</v>
      </c>
      <c r="AW1190">
        <v>0</v>
      </c>
      <c r="AX1190">
        <v>0</v>
      </c>
      <c r="AY1190">
        <v>7</v>
      </c>
      <c r="AZ1190">
        <v>1</v>
      </c>
      <c r="BA1190">
        <v>20</v>
      </c>
      <c r="BB1190">
        <v>1</v>
      </c>
      <c r="BC1190">
        <v>4</v>
      </c>
      <c r="BD1190">
        <v>0</v>
      </c>
      <c r="BE1190">
        <v>0.5</v>
      </c>
      <c r="BF1190">
        <v>1</v>
      </c>
      <c r="BG1190">
        <v>5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3</v>
      </c>
      <c r="BU1190">
        <v>36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C1190">
        <v>0</v>
      </c>
      <c r="DD1190">
        <v>0</v>
      </c>
      <c r="DE1190">
        <v>0</v>
      </c>
      <c r="DF1190">
        <v>0</v>
      </c>
      <c r="DH1190">
        <v>0</v>
      </c>
      <c r="DI1190">
        <v>0</v>
      </c>
    </row>
    <row r="1191" spans="1:113" ht="15" customHeight="1" x14ac:dyDescent="0.25">
      <c r="A1191" t="s">
        <v>5711</v>
      </c>
      <c r="B1191" t="s">
        <v>5712</v>
      </c>
      <c r="C1191" t="s">
        <v>5713</v>
      </c>
      <c r="D1191" t="s">
        <v>1234</v>
      </c>
      <c r="E1191" t="s">
        <v>1234</v>
      </c>
      <c r="F1191" t="s">
        <v>5714</v>
      </c>
      <c r="G1191">
        <v>2025</v>
      </c>
      <c r="H1191" t="s">
        <v>1160</v>
      </c>
      <c r="I1191" t="s">
        <v>139</v>
      </c>
      <c r="J1191">
        <v>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Y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S1191">
        <v>0</v>
      </c>
      <c r="AU1191">
        <v>0</v>
      </c>
      <c r="AV1191">
        <v>0</v>
      </c>
      <c r="AW1191">
        <v>0</v>
      </c>
      <c r="AX1191">
        <v>0</v>
      </c>
      <c r="AY1191">
        <v>16</v>
      </c>
      <c r="AZ1191">
        <v>1</v>
      </c>
      <c r="BA1191">
        <v>12</v>
      </c>
      <c r="BB1191">
        <v>2</v>
      </c>
      <c r="BC1191">
        <v>7</v>
      </c>
      <c r="BD1191">
        <v>0</v>
      </c>
      <c r="BE1191">
        <v>1</v>
      </c>
      <c r="BF1191">
        <v>4</v>
      </c>
      <c r="BG1191">
        <v>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</v>
      </c>
      <c r="BU1191">
        <v>10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C1191">
        <v>0</v>
      </c>
      <c r="DD1191">
        <v>0</v>
      </c>
      <c r="DE1191">
        <v>0</v>
      </c>
      <c r="DF1191">
        <v>0</v>
      </c>
      <c r="DH1191">
        <v>0</v>
      </c>
      <c r="DI1191">
        <v>0</v>
      </c>
    </row>
    <row r="1192" spans="1:113" ht="15" customHeight="1" x14ac:dyDescent="0.25">
      <c r="A1192" t="s">
        <v>5715</v>
      </c>
      <c r="B1192" t="s">
        <v>5716</v>
      </c>
      <c r="C1192" t="s">
        <v>5717</v>
      </c>
      <c r="D1192" t="s">
        <v>1158</v>
      </c>
      <c r="E1192" t="s">
        <v>1158</v>
      </c>
      <c r="F1192" t="s">
        <v>5718</v>
      </c>
      <c r="G1192">
        <v>2025</v>
      </c>
      <c r="H1192" t="s">
        <v>1160</v>
      </c>
      <c r="I1192" t="s">
        <v>120</v>
      </c>
      <c r="J1192">
        <v>4</v>
      </c>
      <c r="K1192">
        <v>24</v>
      </c>
      <c r="L1192">
        <v>43</v>
      </c>
      <c r="M1192">
        <v>274</v>
      </c>
      <c r="N1192">
        <v>1</v>
      </c>
      <c r="O1192">
        <v>1</v>
      </c>
      <c r="P1192">
        <v>3</v>
      </c>
      <c r="Q1192">
        <v>-14</v>
      </c>
      <c r="R1192">
        <v>0</v>
      </c>
      <c r="S1192">
        <v>0</v>
      </c>
      <c r="T1192">
        <v>411</v>
      </c>
      <c r="U1192">
        <v>100</v>
      </c>
      <c r="V1192">
        <v>16</v>
      </c>
      <c r="W1192">
        <v>-2.4619381445586201</v>
      </c>
      <c r="X1192">
        <v>1.35938251340711</v>
      </c>
      <c r="Y1192">
        <v>0</v>
      </c>
      <c r="Z1192">
        <v>0.66666666666666696</v>
      </c>
      <c r="AA1192">
        <v>8</v>
      </c>
      <c r="AB1192">
        <v>8</v>
      </c>
      <c r="AC1192">
        <v>0</v>
      </c>
      <c r="AD1192">
        <v>0</v>
      </c>
      <c r="AE1192">
        <v>0</v>
      </c>
      <c r="AF1192">
        <v>1</v>
      </c>
      <c r="AG1192">
        <v>-5.1702603883459197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S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C1192">
        <v>0</v>
      </c>
      <c r="DD1192">
        <v>0</v>
      </c>
      <c r="DE1192">
        <v>0</v>
      </c>
      <c r="DF1192">
        <v>0</v>
      </c>
      <c r="DH1192">
        <v>13.76</v>
      </c>
      <c r="DI1192">
        <v>13.76</v>
      </c>
    </row>
    <row r="1193" spans="1:113" ht="15" customHeight="1" x14ac:dyDescent="0.25">
      <c r="A1193" t="s">
        <v>5719</v>
      </c>
      <c r="B1193" t="s">
        <v>5720</v>
      </c>
      <c r="C1193" t="s">
        <v>5721</v>
      </c>
      <c r="D1193" t="s">
        <v>1350</v>
      </c>
      <c r="E1193" t="s">
        <v>1307</v>
      </c>
      <c r="F1193" t="s">
        <v>5722</v>
      </c>
      <c r="G1193">
        <v>2025</v>
      </c>
      <c r="H1193" t="s">
        <v>1160</v>
      </c>
      <c r="I1193" t="s">
        <v>139</v>
      </c>
      <c r="J1193">
        <v>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Y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S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4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C1193">
        <v>0</v>
      </c>
      <c r="DD1193">
        <v>0</v>
      </c>
      <c r="DE1193">
        <v>0</v>
      </c>
      <c r="DF1193">
        <v>0</v>
      </c>
      <c r="DH1193">
        <v>0</v>
      </c>
      <c r="DI1193">
        <v>0</v>
      </c>
    </row>
    <row r="1194" spans="1:113" ht="15" customHeight="1" x14ac:dyDescent="0.25">
      <c r="A1194" t="s">
        <v>5723</v>
      </c>
      <c r="B1194" t="s">
        <v>1725</v>
      </c>
      <c r="C1194" t="s">
        <v>4776</v>
      </c>
      <c r="D1194" t="s">
        <v>1350</v>
      </c>
      <c r="E1194" t="s">
        <v>1307</v>
      </c>
      <c r="F1194" t="s">
        <v>5724</v>
      </c>
      <c r="G1194">
        <v>2025</v>
      </c>
      <c r="H1194" t="s">
        <v>1160</v>
      </c>
      <c r="I1194" t="s">
        <v>124</v>
      </c>
      <c r="J1194">
        <v>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Y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S1194">
        <v>0</v>
      </c>
      <c r="AU1194">
        <v>0</v>
      </c>
      <c r="AV1194">
        <v>0</v>
      </c>
      <c r="AW1194">
        <v>0</v>
      </c>
      <c r="AX1194">
        <v>0</v>
      </c>
      <c r="AY1194">
        <v>13</v>
      </c>
      <c r="AZ1194">
        <v>0</v>
      </c>
      <c r="BA1194">
        <v>5</v>
      </c>
      <c r="BB1194">
        <v>1</v>
      </c>
      <c r="BC1194">
        <v>2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4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2</v>
      </c>
      <c r="BU1194">
        <v>20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C1194">
        <v>0</v>
      </c>
      <c r="DD1194">
        <v>0</v>
      </c>
      <c r="DE1194">
        <v>0</v>
      </c>
      <c r="DF1194">
        <v>0</v>
      </c>
      <c r="DH1194">
        <v>0</v>
      </c>
      <c r="DI1194">
        <v>0</v>
      </c>
    </row>
    <row r="1195" spans="1:113" ht="15" customHeight="1" x14ac:dyDescent="0.25">
      <c r="A1195" t="s">
        <v>5725</v>
      </c>
      <c r="B1195" t="s">
        <v>5726</v>
      </c>
      <c r="C1195" t="s">
        <v>5727</v>
      </c>
      <c r="D1195" t="s">
        <v>1350</v>
      </c>
      <c r="E1195" t="s">
        <v>1307</v>
      </c>
      <c r="F1195" t="s">
        <v>5728</v>
      </c>
      <c r="G1195">
        <v>2025</v>
      </c>
      <c r="H1195" t="s">
        <v>1160</v>
      </c>
      <c r="I1195" t="s">
        <v>118</v>
      </c>
      <c r="J1195">
        <v>14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Y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S1195">
        <v>0</v>
      </c>
      <c r="AU1195">
        <v>0</v>
      </c>
      <c r="AV1195">
        <v>0</v>
      </c>
      <c r="AW1195">
        <v>0</v>
      </c>
      <c r="AX1195">
        <v>0</v>
      </c>
      <c r="AY1195">
        <v>25</v>
      </c>
      <c r="AZ1195">
        <v>0</v>
      </c>
      <c r="BA1195">
        <v>6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4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2</v>
      </c>
      <c r="BU1195">
        <v>6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C1195">
        <v>0</v>
      </c>
      <c r="DD1195">
        <v>0</v>
      </c>
      <c r="DE1195">
        <v>0</v>
      </c>
      <c r="DF1195">
        <v>0</v>
      </c>
      <c r="DH1195">
        <v>0</v>
      </c>
      <c r="DI1195">
        <v>0</v>
      </c>
    </row>
    <row r="1196" spans="1:113" ht="15" customHeight="1" x14ac:dyDescent="0.25">
      <c r="A1196" t="s">
        <v>5729</v>
      </c>
      <c r="B1196" t="s">
        <v>5730</v>
      </c>
      <c r="C1196" t="s">
        <v>5731</v>
      </c>
      <c r="D1196" t="s">
        <v>431</v>
      </c>
      <c r="E1196" t="s">
        <v>431</v>
      </c>
      <c r="F1196" t="s">
        <v>5732</v>
      </c>
      <c r="G1196">
        <v>2025</v>
      </c>
      <c r="H1196" t="s">
        <v>1160</v>
      </c>
      <c r="I1196" t="s">
        <v>103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Y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S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C1196">
        <v>0</v>
      </c>
      <c r="DD1196">
        <v>0</v>
      </c>
      <c r="DE1196">
        <v>0</v>
      </c>
      <c r="DF1196">
        <v>0</v>
      </c>
      <c r="DH1196">
        <v>0</v>
      </c>
      <c r="DI1196">
        <v>0</v>
      </c>
    </row>
    <row r="1197" spans="1:113" ht="15" customHeight="1" x14ac:dyDescent="0.25">
      <c r="A1197" t="s">
        <v>5733</v>
      </c>
      <c r="B1197" t="s">
        <v>5734</v>
      </c>
      <c r="C1197" t="s">
        <v>5735</v>
      </c>
      <c r="D1197" t="s">
        <v>1243</v>
      </c>
      <c r="E1197" t="s">
        <v>1190</v>
      </c>
      <c r="F1197" t="s">
        <v>5736</v>
      </c>
      <c r="G1197">
        <v>2025</v>
      </c>
      <c r="H1197" t="s">
        <v>1160</v>
      </c>
      <c r="I1197" t="s">
        <v>120</v>
      </c>
      <c r="J1197">
        <v>17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Y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S1197">
        <v>0</v>
      </c>
      <c r="AU1197">
        <v>0</v>
      </c>
      <c r="AV1197">
        <v>0</v>
      </c>
      <c r="AW1197">
        <v>0</v>
      </c>
      <c r="AX1197">
        <v>0</v>
      </c>
      <c r="AY1197">
        <v>17</v>
      </c>
      <c r="AZ1197">
        <v>0</v>
      </c>
      <c r="BA1197">
        <v>21</v>
      </c>
      <c r="BB1197">
        <v>6</v>
      </c>
      <c r="BC1197">
        <v>38</v>
      </c>
      <c r="BD1197">
        <v>0</v>
      </c>
      <c r="BE1197">
        <v>6</v>
      </c>
      <c r="BF1197">
        <v>38</v>
      </c>
      <c r="BG1197">
        <v>12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2</v>
      </c>
      <c r="BU1197">
        <v>14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C1197">
        <v>0</v>
      </c>
      <c r="DD1197">
        <v>0</v>
      </c>
      <c r="DE1197">
        <v>0</v>
      </c>
      <c r="DF1197">
        <v>0</v>
      </c>
      <c r="DH1197">
        <v>0</v>
      </c>
      <c r="DI1197">
        <v>0</v>
      </c>
    </row>
    <row r="1198" spans="1:113" ht="15" customHeight="1" x14ac:dyDescent="0.25">
      <c r="A1198" t="s">
        <v>5737</v>
      </c>
      <c r="B1198" t="s">
        <v>5738</v>
      </c>
      <c r="C1198" t="s">
        <v>5739</v>
      </c>
      <c r="D1198" t="s">
        <v>1684</v>
      </c>
      <c r="E1198" t="s">
        <v>1307</v>
      </c>
      <c r="F1198" t="s">
        <v>5740</v>
      </c>
      <c r="G1198">
        <v>2025</v>
      </c>
      <c r="H1198" t="s">
        <v>1160</v>
      </c>
      <c r="I1198" t="s">
        <v>131</v>
      </c>
      <c r="J1198">
        <v>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Y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S1198">
        <v>0</v>
      </c>
      <c r="AU1198">
        <v>0</v>
      </c>
      <c r="AV1198">
        <v>0</v>
      </c>
      <c r="AW1198">
        <v>0</v>
      </c>
      <c r="AX1198">
        <v>0</v>
      </c>
      <c r="AY1198">
        <v>8</v>
      </c>
      <c r="AZ1198">
        <v>0</v>
      </c>
      <c r="BA1198">
        <v>6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C1198">
        <v>0</v>
      </c>
      <c r="DD1198">
        <v>0</v>
      </c>
      <c r="DE1198">
        <v>0</v>
      </c>
      <c r="DF1198">
        <v>0</v>
      </c>
      <c r="DH1198">
        <v>0</v>
      </c>
      <c r="DI1198">
        <v>0</v>
      </c>
    </row>
    <row r="1199" spans="1:113" ht="15" customHeight="1" x14ac:dyDescent="0.25">
      <c r="A1199" t="s">
        <v>5741</v>
      </c>
      <c r="B1199" t="s">
        <v>5742</v>
      </c>
      <c r="C1199" t="s">
        <v>5743</v>
      </c>
      <c r="D1199" t="s">
        <v>1158</v>
      </c>
      <c r="E1199" t="s">
        <v>1158</v>
      </c>
      <c r="F1199" t="s">
        <v>5744</v>
      </c>
      <c r="G1199">
        <v>2025</v>
      </c>
      <c r="H1199" t="s">
        <v>1160</v>
      </c>
      <c r="I1199" t="s">
        <v>104</v>
      </c>
      <c r="J1199">
        <v>2</v>
      </c>
      <c r="K1199">
        <v>3</v>
      </c>
      <c r="L1199">
        <v>4</v>
      </c>
      <c r="M1199">
        <v>47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30</v>
      </c>
      <c r="U1199">
        <v>39</v>
      </c>
      <c r="V1199">
        <v>2</v>
      </c>
      <c r="W1199">
        <v>2.3050826135440698</v>
      </c>
      <c r="X1199">
        <v>9.5686078071594203</v>
      </c>
      <c r="Y1199">
        <v>0</v>
      </c>
      <c r="Z1199">
        <v>1.56666666666667</v>
      </c>
      <c r="AA1199">
        <v>2</v>
      </c>
      <c r="AB1199">
        <v>7</v>
      </c>
      <c r="AC1199">
        <v>0</v>
      </c>
      <c r="AD1199">
        <v>1</v>
      </c>
      <c r="AE1199">
        <v>0</v>
      </c>
      <c r="AF1199">
        <v>1</v>
      </c>
      <c r="AG1199">
        <v>-0.37115290923975403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S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C1199">
        <v>0</v>
      </c>
      <c r="DD1199">
        <v>0</v>
      </c>
      <c r="DE1199">
        <v>0</v>
      </c>
      <c r="DF1199">
        <v>0</v>
      </c>
      <c r="DH1199">
        <v>2.58</v>
      </c>
      <c r="DI1199">
        <v>2.58</v>
      </c>
    </row>
    <row r="1200" spans="1:113" ht="15" customHeight="1" x14ac:dyDescent="0.25">
      <c r="A1200" t="s">
        <v>5745</v>
      </c>
      <c r="B1200" t="s">
        <v>5746</v>
      </c>
      <c r="C1200" t="s">
        <v>5747</v>
      </c>
      <c r="D1200" t="s">
        <v>1168</v>
      </c>
      <c r="E1200" t="s">
        <v>1169</v>
      </c>
      <c r="F1200" t="s">
        <v>5748</v>
      </c>
      <c r="G1200">
        <v>2025</v>
      </c>
      <c r="H1200" t="s">
        <v>1160</v>
      </c>
      <c r="I1200" t="s">
        <v>109</v>
      </c>
      <c r="J1200">
        <v>17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Y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S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1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24</v>
      </c>
      <c r="CA1200">
        <v>27</v>
      </c>
      <c r="CB1200">
        <v>3</v>
      </c>
      <c r="CC1200">
        <v>0</v>
      </c>
      <c r="CD1200">
        <v>55</v>
      </c>
      <c r="CE1200">
        <v>0.88888888888888895</v>
      </c>
      <c r="CF1200">
        <v>0</v>
      </c>
      <c r="CG1200">
        <v>4</v>
      </c>
      <c r="CH1200">
        <v>10</v>
      </c>
      <c r="CI1200">
        <v>5</v>
      </c>
      <c r="CJ1200">
        <v>5</v>
      </c>
      <c r="CK1200">
        <v>0</v>
      </c>
      <c r="CL1200">
        <v>0</v>
      </c>
      <c r="CM1200">
        <v>0</v>
      </c>
      <c r="CN1200">
        <v>1</v>
      </c>
      <c r="CO1200">
        <v>1</v>
      </c>
      <c r="CP1200">
        <v>1</v>
      </c>
      <c r="CQ1200">
        <v>0</v>
      </c>
      <c r="CR1200" t="s">
        <v>5749</v>
      </c>
      <c r="CS1200" t="s">
        <v>5750</v>
      </c>
      <c r="CU1200">
        <v>922</v>
      </c>
      <c r="CV1200">
        <v>139</v>
      </c>
      <c r="CW1200">
        <v>0</v>
      </c>
      <c r="CX1200">
        <v>25</v>
      </c>
      <c r="CY1200">
        <v>26</v>
      </c>
      <c r="CZ1200">
        <v>1</v>
      </c>
      <c r="DA1200">
        <v>0</v>
      </c>
      <c r="DB1200">
        <v>0.96153846153846101</v>
      </c>
      <c r="DC1200">
        <v>2</v>
      </c>
      <c r="DD1200">
        <v>2</v>
      </c>
      <c r="DE1200">
        <v>0</v>
      </c>
      <c r="DF1200">
        <v>0</v>
      </c>
      <c r="DG1200" t="s">
        <v>5751</v>
      </c>
      <c r="DH1200">
        <v>0</v>
      </c>
      <c r="DI1200">
        <v>0</v>
      </c>
    </row>
    <row r="1201" spans="1:113" ht="15" customHeight="1" x14ac:dyDescent="0.25">
      <c r="A1201" t="s">
        <v>5752</v>
      </c>
      <c r="B1201" t="s">
        <v>5753</v>
      </c>
      <c r="C1201" t="s">
        <v>810</v>
      </c>
      <c r="D1201" t="s">
        <v>431</v>
      </c>
      <c r="E1201" t="s">
        <v>431</v>
      </c>
      <c r="F1201" t="s">
        <v>5754</v>
      </c>
      <c r="G1201">
        <v>2025</v>
      </c>
      <c r="H1201" t="s">
        <v>1160</v>
      </c>
      <c r="I1201" t="s">
        <v>137</v>
      </c>
      <c r="J1201">
        <v>11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Y1201">
        <v>0</v>
      </c>
      <c r="AA1201">
        <v>32</v>
      </c>
      <c r="AB1201">
        <v>114</v>
      </c>
      <c r="AC1201">
        <v>0</v>
      </c>
      <c r="AD1201">
        <v>2</v>
      </c>
      <c r="AE1201">
        <v>1</v>
      </c>
      <c r="AF1201">
        <v>7</v>
      </c>
      <c r="AG1201">
        <v>-8.99963791604387</v>
      </c>
      <c r="AH1201">
        <v>0</v>
      </c>
      <c r="AI1201">
        <v>14</v>
      </c>
      <c r="AJ1201">
        <v>16</v>
      </c>
      <c r="AK1201">
        <v>98</v>
      </c>
      <c r="AL1201">
        <v>1</v>
      </c>
      <c r="AM1201">
        <v>0</v>
      </c>
      <c r="AN1201">
        <v>0</v>
      </c>
      <c r="AO1201">
        <v>17</v>
      </c>
      <c r="AP1201">
        <v>105</v>
      </c>
      <c r="AQ1201">
        <v>7</v>
      </c>
      <c r="AR1201">
        <v>-0.76245296926936101</v>
      </c>
      <c r="AS1201">
        <v>0</v>
      </c>
      <c r="AT1201">
        <v>5.7647058823529402</v>
      </c>
      <c r="AU1201">
        <v>3.4188034188034198E-2</v>
      </c>
      <c r="AV1201">
        <v>4.5248868778280599E-3</v>
      </c>
      <c r="AW1201">
        <v>5.44494720965309E-2</v>
      </c>
      <c r="AX1201">
        <v>0</v>
      </c>
      <c r="AY1201">
        <v>3</v>
      </c>
      <c r="AZ1201">
        <v>0</v>
      </c>
      <c r="BA1201">
        <v>4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C1201">
        <v>0</v>
      </c>
      <c r="DD1201">
        <v>0</v>
      </c>
      <c r="DE1201">
        <v>0</v>
      </c>
      <c r="DF1201">
        <v>0</v>
      </c>
      <c r="DH1201">
        <v>25.2</v>
      </c>
      <c r="DI1201">
        <v>39.200000000000003</v>
      </c>
    </row>
    <row r="1202" spans="1:113" ht="15" customHeight="1" x14ac:dyDescent="0.25">
      <c r="A1202" t="s">
        <v>5755</v>
      </c>
      <c r="B1202" t="s">
        <v>5756</v>
      </c>
      <c r="C1202" t="s">
        <v>737</v>
      </c>
      <c r="D1202" t="s">
        <v>431</v>
      </c>
      <c r="E1202" t="s">
        <v>431</v>
      </c>
      <c r="F1202" t="s">
        <v>5757</v>
      </c>
      <c r="G1202">
        <v>2025</v>
      </c>
      <c r="H1202" t="s">
        <v>1160</v>
      </c>
      <c r="I1202" t="s">
        <v>97</v>
      </c>
      <c r="J1202">
        <v>13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Y1202">
        <v>0</v>
      </c>
      <c r="AA1202">
        <v>59</v>
      </c>
      <c r="AB1202">
        <v>341</v>
      </c>
      <c r="AC1202">
        <v>1</v>
      </c>
      <c r="AD1202">
        <v>1</v>
      </c>
      <c r="AE1202">
        <v>0</v>
      </c>
      <c r="AF1202">
        <v>16</v>
      </c>
      <c r="AG1202">
        <v>2.6167700245568999</v>
      </c>
      <c r="AH1202">
        <v>0</v>
      </c>
      <c r="AI1202">
        <v>9</v>
      </c>
      <c r="AJ1202">
        <v>12</v>
      </c>
      <c r="AK1202">
        <v>63</v>
      </c>
      <c r="AL1202">
        <v>0</v>
      </c>
      <c r="AM1202">
        <v>0</v>
      </c>
      <c r="AN1202">
        <v>0</v>
      </c>
      <c r="AO1202">
        <v>-28</v>
      </c>
      <c r="AP1202">
        <v>85</v>
      </c>
      <c r="AQ1202">
        <v>2</v>
      </c>
      <c r="AR1202">
        <v>-5.5293658003793098</v>
      </c>
      <c r="AS1202">
        <v>0</v>
      </c>
      <c r="AT1202">
        <v>-2.25</v>
      </c>
      <c r="AU1202">
        <v>2.9484029484029499E-2</v>
      </c>
      <c r="AV1202">
        <v>-8.1823495032144894E-3</v>
      </c>
      <c r="AW1202">
        <v>3.8498399573794098E-2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22</v>
      </c>
      <c r="BY1202">
        <v>591</v>
      </c>
      <c r="BZ1202">
        <v>0</v>
      </c>
      <c r="CA1202">
        <v>0</v>
      </c>
      <c r="CB1202">
        <v>0</v>
      </c>
      <c r="CC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C1202">
        <v>0</v>
      </c>
      <c r="DD1202">
        <v>0</v>
      </c>
      <c r="DE1202">
        <v>0</v>
      </c>
      <c r="DF1202">
        <v>0</v>
      </c>
      <c r="DH1202">
        <v>46.4</v>
      </c>
      <c r="DI1202">
        <v>55.4</v>
      </c>
    </row>
    <row r="1203" spans="1:113" ht="15" customHeight="1" x14ac:dyDescent="0.25">
      <c r="A1203" t="s">
        <v>5758</v>
      </c>
      <c r="B1203" t="s">
        <v>5759</v>
      </c>
      <c r="C1203" t="s">
        <v>451</v>
      </c>
      <c r="D1203" t="s">
        <v>439</v>
      </c>
      <c r="E1203" t="s">
        <v>439</v>
      </c>
      <c r="F1203" t="s">
        <v>5760</v>
      </c>
      <c r="G1203">
        <v>2025</v>
      </c>
      <c r="H1203" t="s">
        <v>1160</v>
      </c>
      <c r="I1203" t="s">
        <v>90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Y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S1203">
        <v>0</v>
      </c>
      <c r="AU1203">
        <v>0</v>
      </c>
      <c r="AV1203">
        <v>0</v>
      </c>
      <c r="AW1203">
        <v>0</v>
      </c>
      <c r="AX1203">
        <v>0</v>
      </c>
      <c r="AY1203">
        <v>2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C1203">
        <v>0</v>
      </c>
      <c r="DD1203">
        <v>0</v>
      </c>
      <c r="DE1203">
        <v>0</v>
      </c>
      <c r="DF1203">
        <v>0</v>
      </c>
      <c r="DH1203">
        <v>0</v>
      </c>
      <c r="DI1203">
        <v>0</v>
      </c>
    </row>
    <row r="1204" spans="1:113" ht="15" customHeight="1" x14ac:dyDescent="0.25">
      <c r="A1204" t="s">
        <v>5761</v>
      </c>
      <c r="B1204" t="s">
        <v>5762</v>
      </c>
      <c r="C1204" t="s">
        <v>998</v>
      </c>
      <c r="D1204" t="s">
        <v>431</v>
      </c>
      <c r="E1204" t="s">
        <v>431</v>
      </c>
      <c r="F1204" t="s">
        <v>5763</v>
      </c>
      <c r="G1204">
        <v>2025</v>
      </c>
      <c r="H1204" t="s">
        <v>1160</v>
      </c>
      <c r="I1204" t="s">
        <v>126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Y1204">
        <v>0</v>
      </c>
      <c r="AA1204">
        <v>3</v>
      </c>
      <c r="AB1204">
        <v>6</v>
      </c>
      <c r="AC1204">
        <v>0</v>
      </c>
      <c r="AD1204">
        <v>0</v>
      </c>
      <c r="AE1204">
        <v>0</v>
      </c>
      <c r="AF1204">
        <v>0</v>
      </c>
      <c r="AG1204">
        <v>-1.0496609986294101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S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3</v>
      </c>
      <c r="BY1204">
        <v>73</v>
      </c>
      <c r="BZ1204">
        <v>0</v>
      </c>
      <c r="CA1204">
        <v>0</v>
      </c>
      <c r="CB1204">
        <v>0</v>
      </c>
      <c r="CC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C1204">
        <v>0</v>
      </c>
      <c r="DD1204">
        <v>0</v>
      </c>
      <c r="DE1204">
        <v>0</v>
      </c>
      <c r="DF1204">
        <v>0</v>
      </c>
      <c r="DH1204">
        <v>0.6</v>
      </c>
      <c r="DI1204">
        <v>0.6</v>
      </c>
    </row>
    <row r="1205" spans="1:113" ht="15" customHeight="1" x14ac:dyDescent="0.25">
      <c r="A1205" t="s">
        <v>5764</v>
      </c>
      <c r="B1205" t="s">
        <v>5765</v>
      </c>
      <c r="C1205" t="s">
        <v>5766</v>
      </c>
      <c r="D1205" t="s">
        <v>1189</v>
      </c>
      <c r="E1205" t="s">
        <v>1190</v>
      </c>
      <c r="F1205" t="s">
        <v>5767</v>
      </c>
      <c r="G1205">
        <v>2025</v>
      </c>
      <c r="H1205" t="s">
        <v>1160</v>
      </c>
      <c r="I1205" t="s">
        <v>118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Y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S1205">
        <v>0</v>
      </c>
      <c r="AU1205">
        <v>0</v>
      </c>
      <c r="AV1205">
        <v>0</v>
      </c>
      <c r="AW1205">
        <v>0</v>
      </c>
      <c r="AX1205">
        <v>0</v>
      </c>
      <c r="AY1205">
        <v>2</v>
      </c>
      <c r="AZ1205">
        <v>0</v>
      </c>
      <c r="BA1205">
        <v>3</v>
      </c>
      <c r="BB1205">
        <v>1</v>
      </c>
      <c r="BC1205">
        <v>13</v>
      </c>
      <c r="BD1205">
        <v>1</v>
      </c>
      <c r="BE1205">
        <v>1</v>
      </c>
      <c r="BF1205">
        <v>13</v>
      </c>
      <c r="BG1205">
        <v>3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C1205">
        <v>0</v>
      </c>
      <c r="DD1205">
        <v>0</v>
      </c>
      <c r="DE1205">
        <v>0</v>
      </c>
      <c r="DF1205">
        <v>0</v>
      </c>
      <c r="DH1205">
        <v>0</v>
      </c>
      <c r="DI1205">
        <v>0</v>
      </c>
    </row>
    <row r="1206" spans="1:113" ht="15" customHeight="1" x14ac:dyDescent="0.25">
      <c r="A1206" t="s">
        <v>5768</v>
      </c>
      <c r="B1206" t="s">
        <v>5769</v>
      </c>
      <c r="C1206" t="s">
        <v>458</v>
      </c>
      <c r="D1206" t="s">
        <v>10</v>
      </c>
      <c r="E1206" t="s">
        <v>10</v>
      </c>
      <c r="F1206" t="s">
        <v>5770</v>
      </c>
      <c r="G1206">
        <v>2025</v>
      </c>
      <c r="H1206" t="s">
        <v>1160</v>
      </c>
      <c r="I1206" t="s">
        <v>118</v>
      </c>
      <c r="J1206">
        <v>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Y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H1206">
        <v>0</v>
      </c>
      <c r="AI1206">
        <v>6</v>
      </c>
      <c r="AJ1206">
        <v>7</v>
      </c>
      <c r="AK1206">
        <v>86</v>
      </c>
      <c r="AL1206">
        <v>0</v>
      </c>
      <c r="AM1206">
        <v>0</v>
      </c>
      <c r="AN1206">
        <v>0</v>
      </c>
      <c r="AO1206">
        <v>65</v>
      </c>
      <c r="AP1206">
        <v>29</v>
      </c>
      <c r="AQ1206">
        <v>4</v>
      </c>
      <c r="AR1206">
        <v>6.9498255306222498</v>
      </c>
      <c r="AS1206">
        <v>0</v>
      </c>
      <c r="AT1206">
        <v>1.3230769230769199</v>
      </c>
      <c r="AU1206">
        <v>1.5217391304347801E-2</v>
      </c>
      <c r="AV1206">
        <v>1.51762783095961E-2</v>
      </c>
      <c r="AW1206">
        <v>3.3449481773238997E-2</v>
      </c>
      <c r="AX1206">
        <v>0</v>
      </c>
      <c r="AY1206">
        <v>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2</v>
      </c>
      <c r="BU1206">
        <v>10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C1206">
        <v>0</v>
      </c>
      <c r="DD1206">
        <v>0</v>
      </c>
      <c r="DE1206">
        <v>0</v>
      </c>
      <c r="DF1206">
        <v>0</v>
      </c>
      <c r="DH1206">
        <v>8.6</v>
      </c>
      <c r="DI1206">
        <v>14.6</v>
      </c>
    </row>
    <row r="1207" spans="1:113" ht="15" customHeight="1" x14ac:dyDescent="0.25">
      <c r="A1207" t="s">
        <v>5771</v>
      </c>
      <c r="B1207" t="s">
        <v>5772</v>
      </c>
      <c r="C1207" t="s">
        <v>5773</v>
      </c>
      <c r="D1207" t="s">
        <v>1334</v>
      </c>
      <c r="E1207" t="s">
        <v>431</v>
      </c>
      <c r="F1207" t="s">
        <v>5774</v>
      </c>
      <c r="G1207">
        <v>2025</v>
      </c>
      <c r="H1207" t="s">
        <v>1160</v>
      </c>
      <c r="I1207" t="s">
        <v>140</v>
      </c>
      <c r="J1207">
        <v>10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Y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-0.44715625280514398</v>
      </c>
      <c r="AS1207">
        <v>0</v>
      </c>
      <c r="AU1207">
        <v>2.1978021978022E-3</v>
      </c>
      <c r="AV1207">
        <v>0</v>
      </c>
      <c r="AW1207">
        <v>3.2967032967033002E-3</v>
      </c>
      <c r="AX1207">
        <v>0</v>
      </c>
      <c r="AY1207">
        <v>8</v>
      </c>
      <c r="AZ1207">
        <v>2</v>
      </c>
      <c r="BA1207">
        <v>4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1</v>
      </c>
      <c r="BU1207">
        <v>5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C1207">
        <v>0</v>
      </c>
      <c r="DD1207">
        <v>0</v>
      </c>
      <c r="DE1207">
        <v>0</v>
      </c>
      <c r="DF1207">
        <v>0</v>
      </c>
      <c r="DH1207">
        <v>0</v>
      </c>
      <c r="DI1207">
        <v>0</v>
      </c>
    </row>
    <row r="1208" spans="1:113" ht="15" customHeight="1" x14ac:dyDescent="0.25">
      <c r="A1208" t="s">
        <v>5775</v>
      </c>
      <c r="B1208" t="s">
        <v>5776</v>
      </c>
      <c r="C1208" t="s">
        <v>707</v>
      </c>
      <c r="D1208" t="s">
        <v>10</v>
      </c>
      <c r="E1208" t="s">
        <v>10</v>
      </c>
      <c r="F1208" t="s">
        <v>5777</v>
      </c>
      <c r="G1208">
        <v>2025</v>
      </c>
      <c r="H1208" t="s">
        <v>1160</v>
      </c>
      <c r="I1208" t="s">
        <v>123</v>
      </c>
      <c r="J1208">
        <v>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Y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9</v>
      </c>
      <c r="AP1208">
        <v>0</v>
      </c>
      <c r="AQ1208">
        <v>0</v>
      </c>
      <c r="AR1208">
        <v>-0.71342538804455802</v>
      </c>
      <c r="AS1208">
        <v>0</v>
      </c>
      <c r="AT1208">
        <v>0</v>
      </c>
      <c r="AU1208">
        <v>1.82149362477231E-3</v>
      </c>
      <c r="AV1208">
        <v>1.9854401058901402E-3</v>
      </c>
      <c r="AW1208">
        <v>4.1220485112815697E-3</v>
      </c>
      <c r="AX1208">
        <v>0</v>
      </c>
      <c r="AY1208">
        <v>1</v>
      </c>
      <c r="AZ1208">
        <v>0</v>
      </c>
      <c r="BA1208">
        <v>1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C1208">
        <v>0</v>
      </c>
      <c r="DD1208">
        <v>0</v>
      </c>
      <c r="DE1208">
        <v>0</v>
      </c>
      <c r="DF1208">
        <v>0</v>
      </c>
      <c r="DH1208">
        <v>0</v>
      </c>
      <c r="DI1208">
        <v>0</v>
      </c>
    </row>
    <row r="1209" spans="1:113" ht="15" customHeight="1" x14ac:dyDescent="0.25">
      <c r="A1209" t="s">
        <v>5778</v>
      </c>
      <c r="B1209" t="s">
        <v>5779</v>
      </c>
      <c r="C1209" t="s">
        <v>5780</v>
      </c>
      <c r="D1209" t="s">
        <v>1234</v>
      </c>
      <c r="E1209" t="s">
        <v>1234</v>
      </c>
      <c r="F1209" t="s">
        <v>5781</v>
      </c>
      <c r="G1209">
        <v>2025</v>
      </c>
      <c r="H1209" t="s">
        <v>1160</v>
      </c>
      <c r="I1209" t="s">
        <v>96</v>
      </c>
      <c r="J1209">
        <v>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Y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S1209">
        <v>0</v>
      </c>
      <c r="AU1209">
        <v>0</v>
      </c>
      <c r="AV1209">
        <v>0</v>
      </c>
      <c r="AW1209">
        <v>0</v>
      </c>
      <c r="AX1209">
        <v>0</v>
      </c>
      <c r="AY1209">
        <v>14</v>
      </c>
      <c r="AZ1209">
        <v>0</v>
      </c>
      <c r="BA1209">
        <v>18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C1209">
        <v>0</v>
      </c>
      <c r="DD1209">
        <v>0</v>
      </c>
      <c r="DE1209">
        <v>0</v>
      </c>
      <c r="DF1209">
        <v>0</v>
      </c>
      <c r="DH1209">
        <v>0</v>
      </c>
      <c r="DI1209">
        <v>0</v>
      </c>
    </row>
    <row r="1210" spans="1:113" ht="15" customHeight="1" x14ac:dyDescent="0.25">
      <c r="A1210" t="s">
        <v>5782</v>
      </c>
      <c r="B1210" t="s">
        <v>5783</v>
      </c>
      <c r="C1210" t="s">
        <v>864</v>
      </c>
      <c r="D1210" t="s">
        <v>10</v>
      </c>
      <c r="E1210" t="s">
        <v>10</v>
      </c>
      <c r="F1210" t="s">
        <v>5784</v>
      </c>
      <c r="G1210">
        <v>2025</v>
      </c>
      <c r="H1210" t="s">
        <v>1160</v>
      </c>
      <c r="I1210" t="s">
        <v>120</v>
      </c>
      <c r="J1210">
        <v>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Y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H1210">
        <v>0</v>
      </c>
      <c r="AI1210">
        <v>2</v>
      </c>
      <c r="AJ1210">
        <v>2</v>
      </c>
      <c r="AK1210">
        <v>6</v>
      </c>
      <c r="AL1210">
        <v>0</v>
      </c>
      <c r="AM1210">
        <v>0</v>
      </c>
      <c r="AN1210">
        <v>0</v>
      </c>
      <c r="AO1210">
        <v>-9</v>
      </c>
      <c r="AP1210">
        <v>15</v>
      </c>
      <c r="AQ1210">
        <v>0</v>
      </c>
      <c r="AR1210">
        <v>-0.61371331894770298</v>
      </c>
      <c r="AS1210">
        <v>0</v>
      </c>
      <c r="AT1210">
        <v>0</v>
      </c>
      <c r="AU1210">
        <v>4.2372881355932203E-3</v>
      </c>
      <c r="AV1210">
        <v>-2.6439482961222098E-3</v>
      </c>
      <c r="AW1210">
        <v>4.50516839610428E-3</v>
      </c>
      <c r="AX1210">
        <v>0</v>
      </c>
      <c r="AY1210">
        <v>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3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8</v>
      </c>
      <c r="BW1210">
        <v>86</v>
      </c>
      <c r="BX1210">
        <v>12</v>
      </c>
      <c r="BY1210">
        <v>319</v>
      </c>
      <c r="BZ1210">
        <v>0</v>
      </c>
      <c r="CA1210">
        <v>0</v>
      </c>
      <c r="CB1210">
        <v>0</v>
      </c>
      <c r="CC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C1210">
        <v>0</v>
      </c>
      <c r="DD1210">
        <v>0</v>
      </c>
      <c r="DE1210">
        <v>0</v>
      </c>
      <c r="DF1210">
        <v>0</v>
      </c>
      <c r="DH1210">
        <v>0.6</v>
      </c>
      <c r="DI1210">
        <v>2.6</v>
      </c>
    </row>
    <row r="1211" spans="1:113" ht="15" customHeight="1" x14ac:dyDescent="0.25">
      <c r="A1211" t="s">
        <v>5785</v>
      </c>
      <c r="B1211" t="s">
        <v>3211</v>
      </c>
      <c r="C1211" t="s">
        <v>909</v>
      </c>
      <c r="D1211" t="s">
        <v>439</v>
      </c>
      <c r="E1211" t="s">
        <v>439</v>
      </c>
      <c r="F1211" t="s">
        <v>5786</v>
      </c>
      <c r="G1211">
        <v>2025</v>
      </c>
      <c r="H1211" t="s">
        <v>1160</v>
      </c>
      <c r="I1211" t="s">
        <v>120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Y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S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</v>
      </c>
      <c r="BU1211">
        <v>5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C1211">
        <v>0</v>
      </c>
      <c r="DD1211">
        <v>0</v>
      </c>
      <c r="DE1211">
        <v>0</v>
      </c>
      <c r="DF1211">
        <v>0</v>
      </c>
      <c r="DH1211">
        <v>0</v>
      </c>
      <c r="DI1211">
        <v>0</v>
      </c>
    </row>
    <row r="1212" spans="1:113" ht="15" customHeight="1" x14ac:dyDescent="0.25">
      <c r="A1212" t="s">
        <v>5787</v>
      </c>
      <c r="B1212" t="s">
        <v>5788</v>
      </c>
      <c r="C1212" t="s">
        <v>5789</v>
      </c>
      <c r="D1212" t="s">
        <v>1234</v>
      </c>
      <c r="E1212" t="s">
        <v>1234</v>
      </c>
      <c r="F1212" t="s">
        <v>5790</v>
      </c>
      <c r="G1212">
        <v>2025</v>
      </c>
      <c r="H1212" t="s">
        <v>1160</v>
      </c>
      <c r="I1212" t="s">
        <v>97</v>
      </c>
      <c r="J1212">
        <v>15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Y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S1212">
        <v>0</v>
      </c>
      <c r="AU1212">
        <v>0</v>
      </c>
      <c r="AV1212">
        <v>0</v>
      </c>
      <c r="AW1212">
        <v>0</v>
      </c>
      <c r="AX1212">
        <v>0</v>
      </c>
      <c r="AY1212">
        <v>32</v>
      </c>
      <c r="AZ1212">
        <v>2</v>
      </c>
      <c r="BA1212">
        <v>32</v>
      </c>
      <c r="BB1212">
        <v>4</v>
      </c>
      <c r="BC1212">
        <v>14</v>
      </c>
      <c r="BD1212">
        <v>0</v>
      </c>
      <c r="BE1212">
        <v>2.5</v>
      </c>
      <c r="BF1212">
        <v>12.5</v>
      </c>
      <c r="BG1212">
        <v>4</v>
      </c>
      <c r="BH1212">
        <v>0</v>
      </c>
      <c r="BI1212">
        <v>0</v>
      </c>
      <c r="BJ1212">
        <v>1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1</v>
      </c>
      <c r="BU1212">
        <v>1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C1212">
        <v>0</v>
      </c>
      <c r="DD1212">
        <v>0</v>
      </c>
      <c r="DE1212">
        <v>0</v>
      </c>
      <c r="DF1212">
        <v>0</v>
      </c>
      <c r="DH1212">
        <v>0</v>
      </c>
      <c r="DI1212">
        <v>0</v>
      </c>
    </row>
    <row r="1213" spans="1:113" ht="15" customHeight="1" x14ac:dyDescent="0.25">
      <c r="A1213" t="s">
        <v>5791</v>
      </c>
      <c r="B1213" t="s">
        <v>5792</v>
      </c>
      <c r="C1213" t="s">
        <v>5793</v>
      </c>
      <c r="D1213" t="s">
        <v>1234</v>
      </c>
      <c r="E1213" t="s">
        <v>1234</v>
      </c>
      <c r="F1213" t="s">
        <v>5794</v>
      </c>
      <c r="G1213">
        <v>2025</v>
      </c>
      <c r="H1213" t="s">
        <v>1160</v>
      </c>
      <c r="I1213" t="s">
        <v>97</v>
      </c>
      <c r="J1213">
        <v>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Y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S1213">
        <v>0</v>
      </c>
      <c r="AU1213">
        <v>0</v>
      </c>
      <c r="AV1213">
        <v>0</v>
      </c>
      <c r="AW1213">
        <v>0</v>
      </c>
      <c r="AX1213">
        <v>0</v>
      </c>
      <c r="AY1213">
        <v>15</v>
      </c>
      <c r="AZ1213">
        <v>0</v>
      </c>
      <c r="BA1213">
        <v>13</v>
      </c>
      <c r="BB1213">
        <v>3</v>
      </c>
      <c r="BC1213">
        <v>25</v>
      </c>
      <c r="BD1213">
        <v>1</v>
      </c>
      <c r="BE1213">
        <v>4.5</v>
      </c>
      <c r="BF1213">
        <v>29.5</v>
      </c>
      <c r="BG1213">
        <v>10</v>
      </c>
      <c r="BH1213">
        <v>0</v>
      </c>
      <c r="BI1213">
        <v>0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</v>
      </c>
      <c r="BU1213">
        <v>15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C1213">
        <v>0</v>
      </c>
      <c r="DD1213">
        <v>0</v>
      </c>
      <c r="DE1213">
        <v>0</v>
      </c>
      <c r="DF1213">
        <v>0</v>
      </c>
      <c r="DH1213">
        <v>0</v>
      </c>
      <c r="DI1213">
        <v>0</v>
      </c>
    </row>
    <row r="1214" spans="1:113" ht="15" customHeight="1" x14ac:dyDescent="0.25">
      <c r="A1214" t="s">
        <v>5795</v>
      </c>
      <c r="B1214" t="s">
        <v>5796</v>
      </c>
      <c r="C1214" t="s">
        <v>5797</v>
      </c>
      <c r="D1214" t="s">
        <v>1243</v>
      </c>
      <c r="E1214" t="s">
        <v>1190</v>
      </c>
      <c r="F1214" t="s">
        <v>5798</v>
      </c>
      <c r="G1214">
        <v>2025</v>
      </c>
      <c r="H1214" t="s">
        <v>1160</v>
      </c>
      <c r="I1214" t="s">
        <v>118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Y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S1214">
        <v>0</v>
      </c>
      <c r="AU1214">
        <v>0</v>
      </c>
      <c r="AV1214">
        <v>0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C1214">
        <v>0</v>
      </c>
      <c r="DD1214">
        <v>0</v>
      </c>
      <c r="DE1214">
        <v>0</v>
      </c>
      <c r="DF1214">
        <v>0</v>
      </c>
      <c r="DH1214">
        <v>0</v>
      </c>
      <c r="DI1214">
        <v>0</v>
      </c>
    </row>
    <row r="1215" spans="1:113" ht="15" customHeight="1" x14ac:dyDescent="0.25">
      <c r="A1215" t="s">
        <v>5799</v>
      </c>
      <c r="B1215" t="s">
        <v>1755</v>
      </c>
      <c r="C1215" t="s">
        <v>5800</v>
      </c>
      <c r="D1215" t="s">
        <v>1234</v>
      </c>
      <c r="E1215" t="s">
        <v>1234</v>
      </c>
      <c r="F1215" t="s">
        <v>5801</v>
      </c>
      <c r="G1215">
        <v>2025</v>
      </c>
      <c r="H1215" t="s">
        <v>1160</v>
      </c>
      <c r="I1215" t="s">
        <v>101</v>
      </c>
      <c r="J1215">
        <v>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Y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S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0</v>
      </c>
      <c r="BA1215">
        <v>4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1</v>
      </c>
      <c r="BU1215">
        <v>10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C1215">
        <v>0</v>
      </c>
      <c r="DD1215">
        <v>0</v>
      </c>
      <c r="DE1215">
        <v>0</v>
      </c>
      <c r="DF1215">
        <v>0</v>
      </c>
      <c r="DH1215">
        <v>0</v>
      </c>
      <c r="DI1215">
        <v>0</v>
      </c>
    </row>
    <row r="1216" spans="1:113" ht="15" customHeight="1" x14ac:dyDescent="0.25">
      <c r="A1216" t="s">
        <v>5802</v>
      </c>
      <c r="B1216" t="s">
        <v>4063</v>
      </c>
      <c r="C1216" t="s">
        <v>5803</v>
      </c>
      <c r="D1216" t="s">
        <v>1234</v>
      </c>
      <c r="E1216" t="s">
        <v>1234</v>
      </c>
      <c r="F1216" t="s">
        <v>5804</v>
      </c>
      <c r="G1216">
        <v>2025</v>
      </c>
      <c r="H1216" t="s">
        <v>1160</v>
      </c>
      <c r="I1216" t="s">
        <v>142</v>
      </c>
      <c r="J1216">
        <v>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Y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S1216">
        <v>0</v>
      </c>
      <c r="AU1216">
        <v>0</v>
      </c>
      <c r="AV1216">
        <v>0</v>
      </c>
      <c r="AW1216">
        <v>0</v>
      </c>
      <c r="AX1216">
        <v>0</v>
      </c>
      <c r="AY1216">
        <v>4</v>
      </c>
      <c r="AZ1216">
        <v>0</v>
      </c>
      <c r="BA1216">
        <v>7</v>
      </c>
      <c r="BB1216">
        <v>2</v>
      </c>
      <c r="BC1216">
        <v>11</v>
      </c>
      <c r="BD1216">
        <v>0</v>
      </c>
      <c r="BE1216">
        <v>1.5</v>
      </c>
      <c r="BF1216">
        <v>16</v>
      </c>
      <c r="BG1216">
        <v>2</v>
      </c>
      <c r="BH1216">
        <v>0</v>
      </c>
      <c r="BI1216">
        <v>0</v>
      </c>
      <c r="BJ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C1216">
        <v>0</v>
      </c>
      <c r="DD1216">
        <v>0</v>
      </c>
      <c r="DE1216">
        <v>0</v>
      </c>
      <c r="DF1216">
        <v>0</v>
      </c>
      <c r="DH1216">
        <v>0</v>
      </c>
      <c r="DI1216">
        <v>0</v>
      </c>
    </row>
    <row r="1217" spans="1:113" ht="15" customHeight="1" x14ac:dyDescent="0.25">
      <c r="A1217" t="s">
        <v>5805</v>
      </c>
      <c r="B1217" t="s">
        <v>5806</v>
      </c>
      <c r="C1217" t="s">
        <v>714</v>
      </c>
      <c r="D1217" t="s">
        <v>10</v>
      </c>
      <c r="E1217" t="s">
        <v>10</v>
      </c>
      <c r="F1217" t="s">
        <v>5807</v>
      </c>
      <c r="G1217">
        <v>2025</v>
      </c>
      <c r="H1217" t="s">
        <v>1160</v>
      </c>
      <c r="I1217" t="s">
        <v>123</v>
      </c>
      <c r="J1217">
        <v>14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Y1217">
        <v>0</v>
      </c>
      <c r="AA1217">
        <v>1</v>
      </c>
      <c r="AB1217">
        <v>11</v>
      </c>
      <c r="AC1217">
        <v>0</v>
      </c>
      <c r="AD1217">
        <v>0</v>
      </c>
      <c r="AE1217">
        <v>0</v>
      </c>
      <c r="AF1217">
        <v>1</v>
      </c>
      <c r="AG1217">
        <v>0.64270917768590197</v>
      </c>
      <c r="AH1217">
        <v>0</v>
      </c>
      <c r="AI1217">
        <v>1</v>
      </c>
      <c r="AJ1217">
        <v>1</v>
      </c>
      <c r="AK1217">
        <v>21</v>
      </c>
      <c r="AL1217">
        <v>0</v>
      </c>
      <c r="AM1217">
        <v>0</v>
      </c>
      <c r="AN1217">
        <v>0</v>
      </c>
      <c r="AO1217">
        <v>18</v>
      </c>
      <c r="AP1217">
        <v>3</v>
      </c>
      <c r="AQ1217">
        <v>1</v>
      </c>
      <c r="AR1217">
        <v>2.1766619979753199</v>
      </c>
      <c r="AS1217">
        <v>0</v>
      </c>
      <c r="AT1217">
        <v>1.1666666666666701</v>
      </c>
      <c r="AU1217">
        <v>1.82149362477231E-3</v>
      </c>
      <c r="AV1217">
        <v>3.9708802117802804E-3</v>
      </c>
      <c r="AW1217">
        <v>5.5118565854046699E-3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2</v>
      </c>
      <c r="BM1217">
        <v>0</v>
      </c>
      <c r="BN1217">
        <v>0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1</v>
      </c>
      <c r="BU1217">
        <v>13</v>
      </c>
      <c r="BV1217">
        <v>25</v>
      </c>
      <c r="BW1217">
        <v>191</v>
      </c>
      <c r="BX1217">
        <v>29</v>
      </c>
      <c r="BY1217">
        <v>741</v>
      </c>
      <c r="BZ1217">
        <v>0</v>
      </c>
      <c r="CA1217">
        <v>0</v>
      </c>
      <c r="CB1217">
        <v>0</v>
      </c>
      <c r="CC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C1217">
        <v>0</v>
      </c>
      <c r="DD1217">
        <v>0</v>
      </c>
      <c r="DE1217">
        <v>0</v>
      </c>
      <c r="DF1217">
        <v>0</v>
      </c>
      <c r="DH1217">
        <v>3.2</v>
      </c>
      <c r="DI1217">
        <v>4.2</v>
      </c>
    </row>
    <row r="1218" spans="1:113" ht="15" customHeight="1" x14ac:dyDescent="0.25">
      <c r="A1218" t="s">
        <v>5808</v>
      </c>
      <c r="B1218" t="s">
        <v>5809</v>
      </c>
      <c r="C1218" t="s">
        <v>5810</v>
      </c>
      <c r="D1218" t="s">
        <v>1350</v>
      </c>
      <c r="E1218" t="s">
        <v>1307</v>
      </c>
      <c r="F1218" t="s">
        <v>5811</v>
      </c>
      <c r="G1218">
        <v>2025</v>
      </c>
      <c r="H1218" t="s">
        <v>1160</v>
      </c>
      <c r="I1218" t="s">
        <v>115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Y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S1218">
        <v>0</v>
      </c>
      <c r="AU1218">
        <v>0</v>
      </c>
      <c r="AV1218">
        <v>0</v>
      </c>
      <c r="AW1218">
        <v>0</v>
      </c>
      <c r="AX1218">
        <v>0</v>
      </c>
      <c r="AY1218">
        <v>2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C1218">
        <v>0</v>
      </c>
      <c r="DD1218">
        <v>0</v>
      </c>
      <c r="DE1218">
        <v>0</v>
      </c>
      <c r="DF1218">
        <v>0</v>
      </c>
      <c r="DH1218">
        <v>0</v>
      </c>
      <c r="DI1218">
        <v>0</v>
      </c>
    </row>
    <row r="1219" spans="1:113" ht="15" customHeight="1" x14ac:dyDescent="0.25">
      <c r="A1219" t="s">
        <v>5812</v>
      </c>
      <c r="B1219" t="s">
        <v>3251</v>
      </c>
      <c r="C1219" t="s">
        <v>5813</v>
      </c>
      <c r="D1219" t="s">
        <v>1234</v>
      </c>
      <c r="E1219" t="s">
        <v>1234</v>
      </c>
      <c r="F1219" t="s">
        <v>5814</v>
      </c>
      <c r="G1219">
        <v>2025</v>
      </c>
      <c r="H1219" t="s">
        <v>1160</v>
      </c>
      <c r="I1219" t="s">
        <v>96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Y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S1219">
        <v>0</v>
      </c>
      <c r="AU1219">
        <v>0</v>
      </c>
      <c r="AV1219">
        <v>0</v>
      </c>
      <c r="AW1219">
        <v>0</v>
      </c>
      <c r="AX1219">
        <v>0</v>
      </c>
      <c r="AY1219">
        <v>2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C1219">
        <v>0</v>
      </c>
      <c r="DD1219">
        <v>0</v>
      </c>
      <c r="DE1219">
        <v>0</v>
      </c>
      <c r="DF1219">
        <v>0</v>
      </c>
      <c r="DH1219">
        <v>0</v>
      </c>
      <c r="DI1219">
        <v>0</v>
      </c>
    </row>
    <row r="1220" spans="1:113" ht="15" customHeight="1" x14ac:dyDescent="0.25">
      <c r="A1220" t="s">
        <v>5815</v>
      </c>
      <c r="B1220" t="s">
        <v>5816</v>
      </c>
      <c r="C1220" t="s">
        <v>5817</v>
      </c>
      <c r="D1220" t="s">
        <v>1297</v>
      </c>
      <c r="E1220" t="s">
        <v>1220</v>
      </c>
      <c r="F1220" t="s">
        <v>5818</v>
      </c>
      <c r="G1220">
        <v>2025</v>
      </c>
      <c r="H1220" t="s">
        <v>1160</v>
      </c>
      <c r="I1220" t="s">
        <v>96</v>
      </c>
      <c r="J1220">
        <v>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Y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S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3</v>
      </c>
      <c r="BU1220">
        <v>25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C1220">
        <v>0</v>
      </c>
      <c r="DD1220">
        <v>0</v>
      </c>
      <c r="DE1220">
        <v>0</v>
      </c>
      <c r="DF1220">
        <v>0</v>
      </c>
      <c r="DH1220">
        <v>0</v>
      </c>
      <c r="DI1220">
        <v>0</v>
      </c>
    </row>
    <row r="1221" spans="1:113" ht="15" customHeight="1" x14ac:dyDescent="0.25">
      <c r="A1221" t="s">
        <v>5819</v>
      </c>
      <c r="B1221" t="s">
        <v>4474</v>
      </c>
      <c r="C1221" t="s">
        <v>5820</v>
      </c>
      <c r="D1221" t="s">
        <v>1219</v>
      </c>
      <c r="E1221" t="s">
        <v>1220</v>
      </c>
      <c r="F1221" t="s">
        <v>5821</v>
      </c>
      <c r="G1221">
        <v>2025</v>
      </c>
      <c r="H1221" t="s">
        <v>1160</v>
      </c>
      <c r="I1221" t="s">
        <v>90</v>
      </c>
      <c r="J1221">
        <v>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Y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S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6</v>
      </c>
      <c r="BU1221">
        <v>45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C1221">
        <v>0</v>
      </c>
      <c r="DD1221">
        <v>0</v>
      </c>
      <c r="DE1221">
        <v>0</v>
      </c>
      <c r="DF1221">
        <v>0</v>
      </c>
      <c r="DH1221">
        <v>0</v>
      </c>
      <c r="DI1221">
        <v>0</v>
      </c>
    </row>
    <row r="1222" spans="1:113" ht="15" customHeight="1" x14ac:dyDescent="0.25">
      <c r="A1222" t="s">
        <v>5822</v>
      </c>
      <c r="B1222" t="s">
        <v>5823</v>
      </c>
      <c r="C1222" t="s">
        <v>5824</v>
      </c>
      <c r="D1222" t="s">
        <v>1189</v>
      </c>
      <c r="E1222" t="s">
        <v>1190</v>
      </c>
      <c r="F1222" t="s">
        <v>5825</v>
      </c>
      <c r="G1222">
        <v>2025</v>
      </c>
      <c r="H1222" t="s">
        <v>1160</v>
      </c>
      <c r="I1222" t="s">
        <v>89</v>
      </c>
      <c r="J1222">
        <v>15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Y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S1222">
        <v>0</v>
      </c>
      <c r="AU1222">
        <v>0</v>
      </c>
      <c r="AV1222">
        <v>0</v>
      </c>
      <c r="AW1222">
        <v>0</v>
      </c>
      <c r="AX1222">
        <v>0</v>
      </c>
      <c r="AY1222">
        <v>24</v>
      </c>
      <c r="AZ1222">
        <v>1</v>
      </c>
      <c r="BA1222">
        <v>10</v>
      </c>
      <c r="BB1222">
        <v>8</v>
      </c>
      <c r="BC1222">
        <v>45</v>
      </c>
      <c r="BD1222">
        <v>2</v>
      </c>
      <c r="BE1222">
        <v>4</v>
      </c>
      <c r="BF1222">
        <v>41</v>
      </c>
      <c r="BG1222">
        <v>6</v>
      </c>
      <c r="BH1222">
        <v>0</v>
      </c>
      <c r="BI1222">
        <v>0</v>
      </c>
      <c r="BJ1222">
        <v>1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1</v>
      </c>
      <c r="BR1222">
        <v>1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C1222">
        <v>0</v>
      </c>
      <c r="DD1222">
        <v>0</v>
      </c>
      <c r="DE1222">
        <v>0</v>
      </c>
      <c r="DF1222">
        <v>0</v>
      </c>
      <c r="DH1222">
        <v>0</v>
      </c>
      <c r="DI1222">
        <v>0</v>
      </c>
    </row>
    <row r="1223" spans="1:113" ht="15" customHeight="1" x14ac:dyDescent="0.25">
      <c r="A1223" t="s">
        <v>5826</v>
      </c>
      <c r="B1223" t="s">
        <v>5365</v>
      </c>
      <c r="C1223" t="s">
        <v>462</v>
      </c>
      <c r="D1223" t="s">
        <v>431</v>
      </c>
      <c r="E1223" t="s">
        <v>431</v>
      </c>
      <c r="F1223" t="s">
        <v>5827</v>
      </c>
      <c r="G1223">
        <v>2025</v>
      </c>
      <c r="H1223" t="s">
        <v>1160</v>
      </c>
      <c r="I1223" t="s">
        <v>93</v>
      </c>
      <c r="J1223">
        <v>17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Y1223">
        <v>0</v>
      </c>
      <c r="AA1223">
        <v>287</v>
      </c>
      <c r="AB1223">
        <v>1478</v>
      </c>
      <c r="AC1223">
        <v>7</v>
      </c>
      <c r="AD1223">
        <v>3</v>
      </c>
      <c r="AE1223">
        <v>2</v>
      </c>
      <c r="AF1223">
        <v>67</v>
      </c>
      <c r="AG1223">
        <v>-12.254629210467</v>
      </c>
      <c r="AH1223">
        <v>1</v>
      </c>
      <c r="AI1223">
        <v>79</v>
      </c>
      <c r="AJ1223">
        <v>103</v>
      </c>
      <c r="AK1223">
        <v>820</v>
      </c>
      <c r="AL1223">
        <v>4</v>
      </c>
      <c r="AM1223">
        <v>1</v>
      </c>
      <c r="AN1223">
        <v>1</v>
      </c>
      <c r="AO1223">
        <v>101</v>
      </c>
      <c r="AP1223">
        <v>857</v>
      </c>
      <c r="AQ1223">
        <v>34</v>
      </c>
      <c r="AR1223">
        <v>26.5898357239615</v>
      </c>
      <c r="AS1223">
        <v>0</v>
      </c>
      <c r="AT1223">
        <v>8.1188118811881207</v>
      </c>
      <c r="AU1223">
        <v>0.19845857418111801</v>
      </c>
      <c r="AV1223">
        <v>2.4220623501198999E-2</v>
      </c>
      <c r="AW1223">
        <v>0.31464229772251601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1</v>
      </c>
      <c r="BQ1223">
        <v>0</v>
      </c>
      <c r="BR1223">
        <v>0</v>
      </c>
      <c r="BS1223">
        <v>0</v>
      </c>
      <c r="BT1223">
        <v>1</v>
      </c>
      <c r="BU1223">
        <v>5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C1223">
        <v>0</v>
      </c>
      <c r="DD1223">
        <v>0</v>
      </c>
      <c r="DE1223">
        <v>0</v>
      </c>
      <c r="DF1223">
        <v>0</v>
      </c>
      <c r="DH1223">
        <v>291.8</v>
      </c>
      <c r="DI1223">
        <v>370.8</v>
      </c>
    </row>
    <row r="1224" spans="1:113" ht="15" customHeight="1" x14ac:dyDescent="0.25">
      <c r="A1224" t="s">
        <v>5828</v>
      </c>
      <c r="B1224" t="s">
        <v>5829</v>
      </c>
      <c r="C1224" t="s">
        <v>954</v>
      </c>
      <c r="D1224" t="s">
        <v>10</v>
      </c>
      <c r="E1224" t="s">
        <v>10</v>
      </c>
      <c r="F1224" t="s">
        <v>5830</v>
      </c>
      <c r="G1224">
        <v>2025</v>
      </c>
      <c r="H1224" t="s">
        <v>1160</v>
      </c>
      <c r="I1224" t="s">
        <v>140</v>
      </c>
      <c r="J1224">
        <v>17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Y1224">
        <v>0</v>
      </c>
      <c r="AA1224">
        <v>7</v>
      </c>
      <c r="AB1224">
        <v>36</v>
      </c>
      <c r="AC1224">
        <v>0</v>
      </c>
      <c r="AD1224">
        <v>0</v>
      </c>
      <c r="AE1224">
        <v>0</v>
      </c>
      <c r="AF1224">
        <v>2</v>
      </c>
      <c r="AG1224">
        <v>4.6657864470034803E-2</v>
      </c>
      <c r="AH1224">
        <v>0</v>
      </c>
      <c r="AI1224">
        <v>119</v>
      </c>
      <c r="AJ1224">
        <v>163</v>
      </c>
      <c r="AK1224">
        <v>1793</v>
      </c>
      <c r="AL1224">
        <v>10</v>
      </c>
      <c r="AM1224">
        <v>3</v>
      </c>
      <c r="AN1224">
        <v>1</v>
      </c>
      <c r="AO1224">
        <v>1833</v>
      </c>
      <c r="AP1224">
        <v>528</v>
      </c>
      <c r="AQ1224">
        <v>81</v>
      </c>
      <c r="AR1224">
        <v>90.672346044833802</v>
      </c>
      <c r="AS1224">
        <v>0</v>
      </c>
      <c r="AT1224">
        <v>0.97817785051827599</v>
      </c>
      <c r="AU1224">
        <v>0.35824175824175802</v>
      </c>
      <c r="AV1224">
        <v>0.48775944651410302</v>
      </c>
      <c r="AW1224">
        <v>0.87879424992250998</v>
      </c>
      <c r="AX1224">
        <v>0</v>
      </c>
      <c r="AY1224">
        <v>3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3</v>
      </c>
      <c r="BU1224">
        <v>40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C1224">
        <v>0</v>
      </c>
      <c r="DD1224">
        <v>0</v>
      </c>
      <c r="DE1224">
        <v>0</v>
      </c>
      <c r="DF1224">
        <v>0</v>
      </c>
      <c r="DH1224">
        <v>240.9</v>
      </c>
      <c r="DI1224">
        <v>359.9</v>
      </c>
    </row>
    <row r="1225" spans="1:113" ht="15" customHeight="1" x14ac:dyDescent="0.25">
      <c r="A1225" t="s">
        <v>5831</v>
      </c>
      <c r="B1225" t="s">
        <v>5832</v>
      </c>
      <c r="C1225" t="s">
        <v>732</v>
      </c>
      <c r="D1225" t="s">
        <v>10</v>
      </c>
      <c r="E1225" t="s">
        <v>10</v>
      </c>
      <c r="F1225" t="s">
        <v>5833</v>
      </c>
      <c r="G1225">
        <v>2025</v>
      </c>
      <c r="H1225" t="s">
        <v>1160</v>
      </c>
      <c r="I1225" t="s">
        <v>131</v>
      </c>
      <c r="J1225">
        <v>13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Y1225">
        <v>0</v>
      </c>
      <c r="AA1225">
        <v>2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-0.37045799556653902</v>
      </c>
      <c r="AH1225">
        <v>0</v>
      </c>
      <c r="AI1225">
        <v>51</v>
      </c>
      <c r="AJ1225">
        <v>84</v>
      </c>
      <c r="AK1225">
        <v>735</v>
      </c>
      <c r="AL1225">
        <v>8</v>
      </c>
      <c r="AM1225">
        <v>1</v>
      </c>
      <c r="AN1225">
        <v>1</v>
      </c>
      <c r="AO1225">
        <v>989</v>
      </c>
      <c r="AP1225">
        <v>221</v>
      </c>
      <c r="AQ1225">
        <v>27</v>
      </c>
      <c r="AR1225">
        <v>23.910518538086901</v>
      </c>
      <c r="AS1225">
        <v>0</v>
      </c>
      <c r="AT1225">
        <v>0.74317492416582398</v>
      </c>
      <c r="AU1225">
        <v>0.154411764705882</v>
      </c>
      <c r="AV1225">
        <v>0.21755389353277599</v>
      </c>
      <c r="AW1225">
        <v>0.38390537253176699</v>
      </c>
      <c r="AX1225">
        <v>0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1</v>
      </c>
      <c r="BU1225">
        <v>5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C1225">
        <v>0</v>
      </c>
      <c r="DD1225">
        <v>0</v>
      </c>
      <c r="DE1225">
        <v>0</v>
      </c>
      <c r="DF1225">
        <v>0</v>
      </c>
      <c r="DH1225">
        <v>120.2</v>
      </c>
      <c r="DI1225">
        <v>171.2</v>
      </c>
    </row>
    <row r="1226" spans="1:113" ht="15" customHeight="1" x14ac:dyDescent="0.25">
      <c r="A1226" t="s">
        <v>5834</v>
      </c>
      <c r="B1226" t="s">
        <v>5835</v>
      </c>
      <c r="C1226" t="s">
        <v>5836</v>
      </c>
      <c r="D1226" t="s">
        <v>1243</v>
      </c>
      <c r="E1226" t="s">
        <v>1190</v>
      </c>
      <c r="F1226" t="s">
        <v>5837</v>
      </c>
      <c r="G1226">
        <v>2025</v>
      </c>
      <c r="H1226" t="s">
        <v>1160</v>
      </c>
      <c r="I1226" t="s">
        <v>112</v>
      </c>
      <c r="J1226">
        <v>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Y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S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3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C1226">
        <v>0</v>
      </c>
      <c r="DD1226">
        <v>0</v>
      </c>
      <c r="DE1226">
        <v>0</v>
      </c>
      <c r="DF1226">
        <v>0</v>
      </c>
      <c r="DH1226">
        <v>0</v>
      </c>
      <c r="DI1226">
        <v>0</v>
      </c>
    </row>
    <row r="1227" spans="1:113" ht="15" customHeight="1" x14ac:dyDescent="0.25">
      <c r="A1227" t="s">
        <v>5838</v>
      </c>
      <c r="B1227" t="s">
        <v>5839</v>
      </c>
      <c r="C1227" t="s">
        <v>5840</v>
      </c>
      <c r="D1227" t="s">
        <v>1189</v>
      </c>
      <c r="E1227" t="s">
        <v>1190</v>
      </c>
      <c r="F1227" t="s">
        <v>5841</v>
      </c>
      <c r="G1227">
        <v>2025</v>
      </c>
      <c r="H1227" t="s">
        <v>1160</v>
      </c>
      <c r="I1227" t="s">
        <v>107</v>
      </c>
      <c r="J1227">
        <v>15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Y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S1227">
        <v>0</v>
      </c>
      <c r="AU1227">
        <v>0</v>
      </c>
      <c r="AV1227">
        <v>0</v>
      </c>
      <c r="AW1227">
        <v>0</v>
      </c>
      <c r="AX1227">
        <v>0</v>
      </c>
      <c r="AY1227">
        <v>27</v>
      </c>
      <c r="AZ1227">
        <v>1</v>
      </c>
      <c r="BA1227">
        <v>24</v>
      </c>
      <c r="BB1227">
        <v>6</v>
      </c>
      <c r="BC1227">
        <v>24</v>
      </c>
      <c r="BD1227">
        <v>0</v>
      </c>
      <c r="BE1227">
        <v>5.5</v>
      </c>
      <c r="BF1227">
        <v>28</v>
      </c>
      <c r="BG1227">
        <v>10</v>
      </c>
      <c r="BH1227">
        <v>0</v>
      </c>
      <c r="BI1227">
        <v>0</v>
      </c>
      <c r="BJ1227">
        <v>3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1</v>
      </c>
      <c r="BR1227">
        <v>1</v>
      </c>
      <c r="BS1227">
        <v>0</v>
      </c>
      <c r="BT1227">
        <v>2</v>
      </c>
      <c r="BU1227">
        <v>20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C1227">
        <v>0</v>
      </c>
      <c r="DD1227">
        <v>0</v>
      </c>
      <c r="DE1227">
        <v>0</v>
      </c>
      <c r="DF1227">
        <v>0</v>
      </c>
      <c r="DH1227">
        <v>0</v>
      </c>
      <c r="DI1227">
        <v>0</v>
      </c>
    </row>
    <row r="1228" spans="1:113" ht="15" customHeight="1" x14ac:dyDescent="0.25">
      <c r="A1228" t="s">
        <v>5842</v>
      </c>
      <c r="B1228" t="s">
        <v>5843</v>
      </c>
      <c r="C1228" t="s">
        <v>588</v>
      </c>
      <c r="D1228" t="s">
        <v>439</v>
      </c>
      <c r="E1228" t="s">
        <v>439</v>
      </c>
      <c r="F1228" t="s">
        <v>5844</v>
      </c>
      <c r="G1228">
        <v>2025</v>
      </c>
      <c r="H1228" t="s">
        <v>1160</v>
      </c>
      <c r="I1228" t="s">
        <v>112</v>
      </c>
      <c r="J1228">
        <v>14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Y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H1228">
        <v>0</v>
      </c>
      <c r="AI1228">
        <v>14</v>
      </c>
      <c r="AJ1228">
        <v>23</v>
      </c>
      <c r="AK1228">
        <v>132</v>
      </c>
      <c r="AL1228">
        <v>0</v>
      </c>
      <c r="AM1228">
        <v>0</v>
      </c>
      <c r="AN1228">
        <v>0</v>
      </c>
      <c r="AO1228">
        <v>165</v>
      </c>
      <c r="AP1228">
        <v>82</v>
      </c>
      <c r="AQ1228">
        <v>7</v>
      </c>
      <c r="AR1228">
        <v>3.64015665097395</v>
      </c>
      <c r="AS1228">
        <v>0</v>
      </c>
      <c r="AT1228">
        <v>0.8</v>
      </c>
      <c r="AU1228">
        <v>3.7891268533772698E-2</v>
      </c>
      <c r="AV1228">
        <v>3.2550798974156601E-2</v>
      </c>
      <c r="AW1228">
        <v>7.9622462082568596E-2</v>
      </c>
      <c r="AX1228">
        <v>0</v>
      </c>
      <c r="AY1228">
        <v>2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2</v>
      </c>
      <c r="BU1228">
        <v>10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C1228">
        <v>0</v>
      </c>
      <c r="DD1228">
        <v>0</v>
      </c>
      <c r="DE1228">
        <v>0</v>
      </c>
      <c r="DF1228">
        <v>0</v>
      </c>
      <c r="DH1228">
        <v>13.2</v>
      </c>
      <c r="DI1228">
        <v>27.2</v>
      </c>
    </row>
    <row r="1229" spans="1:113" ht="15" customHeight="1" x14ac:dyDescent="0.25">
      <c r="A1229" t="s">
        <v>5845</v>
      </c>
      <c r="B1229" t="s">
        <v>5846</v>
      </c>
      <c r="C1229" t="s">
        <v>5847</v>
      </c>
      <c r="D1229" t="s">
        <v>1297</v>
      </c>
      <c r="E1229" t="s">
        <v>1220</v>
      </c>
      <c r="F1229" t="s">
        <v>5848</v>
      </c>
      <c r="G1229">
        <v>2025</v>
      </c>
      <c r="H1229" t="s">
        <v>1160</v>
      </c>
      <c r="I1229" t="s">
        <v>99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Y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</v>
      </c>
      <c r="BU1229">
        <v>10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C1229">
        <v>0</v>
      </c>
      <c r="DD1229">
        <v>0</v>
      </c>
      <c r="DE1229">
        <v>0</v>
      </c>
      <c r="DF1229">
        <v>0</v>
      </c>
      <c r="DH1229">
        <v>0</v>
      </c>
      <c r="DI1229">
        <v>0</v>
      </c>
    </row>
    <row r="1230" spans="1:113" ht="15" customHeight="1" x14ac:dyDescent="0.25">
      <c r="A1230" t="s">
        <v>5849</v>
      </c>
      <c r="B1230" t="s">
        <v>4082</v>
      </c>
      <c r="C1230" t="s">
        <v>5850</v>
      </c>
      <c r="D1230" t="s">
        <v>1350</v>
      </c>
      <c r="E1230" t="s">
        <v>1307</v>
      </c>
      <c r="F1230" t="s">
        <v>5851</v>
      </c>
      <c r="G1230">
        <v>2025</v>
      </c>
      <c r="H1230" t="s">
        <v>1160</v>
      </c>
      <c r="I1230" t="s">
        <v>107</v>
      </c>
      <c r="J1230">
        <v>16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Y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S1230">
        <v>0</v>
      </c>
      <c r="AU1230">
        <v>0</v>
      </c>
      <c r="AV1230">
        <v>0</v>
      </c>
      <c r="AW1230">
        <v>0</v>
      </c>
      <c r="AX1230">
        <v>0</v>
      </c>
      <c r="AY1230">
        <v>27</v>
      </c>
      <c r="AZ1230">
        <v>1</v>
      </c>
      <c r="BA1230">
        <v>12</v>
      </c>
      <c r="BB1230">
        <v>2</v>
      </c>
      <c r="BC1230">
        <v>2</v>
      </c>
      <c r="BD1230">
        <v>2</v>
      </c>
      <c r="BE1230">
        <v>0</v>
      </c>
      <c r="BF1230">
        <v>0</v>
      </c>
      <c r="BG1230">
        <v>0</v>
      </c>
      <c r="BH1230">
        <v>2</v>
      </c>
      <c r="BI1230">
        <v>7</v>
      </c>
      <c r="BJ1230">
        <v>18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1</v>
      </c>
      <c r="BR1230">
        <v>1</v>
      </c>
      <c r="BS1230">
        <v>0</v>
      </c>
      <c r="BT1230">
        <v>2</v>
      </c>
      <c r="BU1230">
        <v>23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C1230">
        <v>0</v>
      </c>
      <c r="DD1230">
        <v>0</v>
      </c>
      <c r="DE1230">
        <v>0</v>
      </c>
      <c r="DF1230">
        <v>0</v>
      </c>
      <c r="DH1230">
        <v>0</v>
      </c>
      <c r="DI1230">
        <v>0</v>
      </c>
    </row>
    <row r="1231" spans="1:113" ht="15" customHeight="1" x14ac:dyDescent="0.25">
      <c r="A1231" t="s">
        <v>5852</v>
      </c>
      <c r="B1231" t="s">
        <v>5853</v>
      </c>
      <c r="C1231" t="s">
        <v>845</v>
      </c>
      <c r="D1231" t="s">
        <v>431</v>
      </c>
      <c r="E1231" t="s">
        <v>431</v>
      </c>
      <c r="F1231" t="s">
        <v>5854</v>
      </c>
      <c r="G1231">
        <v>2025</v>
      </c>
      <c r="H1231" t="s">
        <v>1160</v>
      </c>
      <c r="I1231" t="s">
        <v>138</v>
      </c>
      <c r="J1231">
        <v>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Y1231">
        <v>0</v>
      </c>
      <c r="AA1231">
        <v>47</v>
      </c>
      <c r="AB1231">
        <v>193</v>
      </c>
      <c r="AC1231">
        <v>1</v>
      </c>
      <c r="AD1231">
        <v>0</v>
      </c>
      <c r="AE1231">
        <v>0</v>
      </c>
      <c r="AF1231">
        <v>9</v>
      </c>
      <c r="AG1231">
        <v>-2.9269559620297501</v>
      </c>
      <c r="AH1231">
        <v>0</v>
      </c>
      <c r="AI1231">
        <v>5</v>
      </c>
      <c r="AJ1231">
        <v>5</v>
      </c>
      <c r="AK1231">
        <v>30</v>
      </c>
      <c r="AL1231">
        <v>0</v>
      </c>
      <c r="AM1231">
        <v>0</v>
      </c>
      <c r="AN1231">
        <v>0</v>
      </c>
      <c r="AO1231">
        <v>-5</v>
      </c>
      <c r="AP1231">
        <v>35</v>
      </c>
      <c r="AQ1231">
        <v>1</v>
      </c>
      <c r="AR1231">
        <v>-0.366885891184211</v>
      </c>
      <c r="AS1231">
        <v>0</v>
      </c>
      <c r="AT1231">
        <v>-6</v>
      </c>
      <c r="AU1231">
        <v>8.8495575221238902E-3</v>
      </c>
      <c r="AV1231">
        <v>-1.0444955086693099E-3</v>
      </c>
      <c r="AW1231">
        <v>1.25431894271173E-2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16</v>
      </c>
      <c r="BY1231">
        <v>393</v>
      </c>
      <c r="BZ1231">
        <v>0</v>
      </c>
      <c r="CA1231">
        <v>0</v>
      </c>
      <c r="CB1231">
        <v>0</v>
      </c>
      <c r="CC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C1231">
        <v>0</v>
      </c>
      <c r="DD1231">
        <v>0</v>
      </c>
      <c r="DE1231">
        <v>0</v>
      </c>
      <c r="DF1231">
        <v>0</v>
      </c>
      <c r="DH1231">
        <v>28.3</v>
      </c>
      <c r="DI1231">
        <v>33.299999999999997</v>
      </c>
    </row>
    <row r="1232" spans="1:113" ht="15" customHeight="1" x14ac:dyDescent="0.25">
      <c r="A1232" t="s">
        <v>5855</v>
      </c>
      <c r="B1232" t="s">
        <v>5856</v>
      </c>
      <c r="C1232" t="s">
        <v>5857</v>
      </c>
      <c r="D1232" t="s">
        <v>1350</v>
      </c>
      <c r="E1232" t="s">
        <v>1307</v>
      </c>
      <c r="F1232" t="s">
        <v>5858</v>
      </c>
      <c r="G1232">
        <v>2025</v>
      </c>
      <c r="H1232" t="s">
        <v>1160</v>
      </c>
      <c r="I1232" t="s">
        <v>115</v>
      </c>
      <c r="J1232">
        <v>17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Y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S1232">
        <v>0</v>
      </c>
      <c r="AU1232">
        <v>0</v>
      </c>
      <c r="AV1232">
        <v>0</v>
      </c>
      <c r="AW1232">
        <v>0</v>
      </c>
      <c r="AX1232">
        <v>0</v>
      </c>
      <c r="AY1232">
        <v>57</v>
      </c>
      <c r="AZ1232">
        <v>0</v>
      </c>
      <c r="BA1232">
        <v>23</v>
      </c>
      <c r="BB1232">
        <v>3</v>
      </c>
      <c r="BC1232">
        <v>4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19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10</v>
      </c>
      <c r="BU1232">
        <v>203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C1232">
        <v>0</v>
      </c>
      <c r="DD1232">
        <v>0</v>
      </c>
      <c r="DE1232">
        <v>0</v>
      </c>
      <c r="DF1232">
        <v>0</v>
      </c>
      <c r="DH1232">
        <v>0</v>
      </c>
      <c r="DI1232">
        <v>0</v>
      </c>
    </row>
    <row r="1233" spans="1:113" ht="15" customHeight="1" x14ac:dyDescent="0.25">
      <c r="A1233" t="s">
        <v>5859</v>
      </c>
      <c r="B1233" t="s">
        <v>5860</v>
      </c>
      <c r="C1233" t="s">
        <v>5861</v>
      </c>
      <c r="D1233" t="s">
        <v>1234</v>
      </c>
      <c r="E1233" t="s">
        <v>1234</v>
      </c>
      <c r="F1233" t="s">
        <v>5862</v>
      </c>
      <c r="G1233">
        <v>2025</v>
      </c>
      <c r="H1233" t="s">
        <v>1160</v>
      </c>
      <c r="I1233" t="s">
        <v>131</v>
      </c>
      <c r="J1233">
        <v>16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Y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S1233">
        <v>0</v>
      </c>
      <c r="AU1233">
        <v>0</v>
      </c>
      <c r="AV1233">
        <v>0</v>
      </c>
      <c r="AW1233">
        <v>0</v>
      </c>
      <c r="AX1233">
        <v>0</v>
      </c>
      <c r="AY1233">
        <v>52</v>
      </c>
      <c r="AZ1233">
        <v>2</v>
      </c>
      <c r="BA1233">
        <v>49</v>
      </c>
      <c r="BB1233">
        <v>5</v>
      </c>
      <c r="BC1233">
        <v>37</v>
      </c>
      <c r="BD1233">
        <v>0</v>
      </c>
      <c r="BE1233">
        <v>3.5</v>
      </c>
      <c r="BF1233">
        <v>31.5</v>
      </c>
      <c r="BG1233">
        <v>6</v>
      </c>
      <c r="BH1233">
        <v>2</v>
      </c>
      <c r="BI1233">
        <v>8</v>
      </c>
      <c r="BJ1233">
        <v>5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2</v>
      </c>
      <c r="BU1233">
        <v>20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C1233">
        <v>0</v>
      </c>
      <c r="DD1233">
        <v>0</v>
      </c>
      <c r="DE1233">
        <v>0</v>
      </c>
      <c r="DF1233">
        <v>0</v>
      </c>
      <c r="DH1233">
        <v>0</v>
      </c>
      <c r="DI1233">
        <v>0</v>
      </c>
    </row>
    <row r="1234" spans="1:113" ht="15" customHeight="1" x14ac:dyDescent="0.25">
      <c r="A1234" t="s">
        <v>5863</v>
      </c>
      <c r="B1234" t="s">
        <v>5864</v>
      </c>
      <c r="C1234" t="s">
        <v>5865</v>
      </c>
      <c r="D1234" t="s">
        <v>1684</v>
      </c>
      <c r="E1234" t="s">
        <v>1307</v>
      </c>
      <c r="F1234" t="s">
        <v>5866</v>
      </c>
      <c r="G1234">
        <v>2025</v>
      </c>
      <c r="H1234" t="s">
        <v>1160</v>
      </c>
      <c r="I1234" t="s">
        <v>141</v>
      </c>
      <c r="J1234">
        <v>16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Y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S1234">
        <v>0</v>
      </c>
      <c r="AU1234">
        <v>0</v>
      </c>
      <c r="AV1234">
        <v>0</v>
      </c>
      <c r="AW1234">
        <v>0</v>
      </c>
      <c r="AX1234">
        <v>0</v>
      </c>
      <c r="AY1234">
        <v>43</v>
      </c>
      <c r="AZ1234">
        <v>1</v>
      </c>
      <c r="BA1234">
        <v>32</v>
      </c>
      <c r="BB1234">
        <v>2</v>
      </c>
      <c r="BC1234">
        <v>2</v>
      </c>
      <c r="BD1234">
        <v>1</v>
      </c>
      <c r="BE1234">
        <v>0</v>
      </c>
      <c r="BF1234">
        <v>0</v>
      </c>
      <c r="BG1234">
        <v>0</v>
      </c>
      <c r="BH1234">
        <v>2</v>
      </c>
      <c r="BI1234">
        <v>4</v>
      </c>
      <c r="BJ1234">
        <v>6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1</v>
      </c>
      <c r="BU1234">
        <v>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C1234">
        <v>0</v>
      </c>
      <c r="DD1234">
        <v>0</v>
      </c>
      <c r="DE1234">
        <v>0</v>
      </c>
      <c r="DF1234">
        <v>0</v>
      </c>
      <c r="DH1234">
        <v>0</v>
      </c>
      <c r="DI1234">
        <v>0</v>
      </c>
    </row>
    <row r="1235" spans="1:113" ht="15" customHeight="1" x14ac:dyDescent="0.25">
      <c r="A1235" t="s">
        <v>5867</v>
      </c>
      <c r="B1235" t="s">
        <v>5868</v>
      </c>
      <c r="C1235" t="s">
        <v>901</v>
      </c>
      <c r="D1235" t="s">
        <v>431</v>
      </c>
      <c r="E1235" t="s">
        <v>431</v>
      </c>
      <c r="F1235" t="s">
        <v>5869</v>
      </c>
      <c r="G1235">
        <v>2025</v>
      </c>
      <c r="H1235" t="s">
        <v>1160</v>
      </c>
      <c r="I1235" t="s">
        <v>120</v>
      </c>
      <c r="J1235">
        <v>15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Y1235">
        <v>0</v>
      </c>
      <c r="AA1235">
        <v>63</v>
      </c>
      <c r="AB1235">
        <v>356</v>
      </c>
      <c r="AC1235">
        <v>2</v>
      </c>
      <c r="AD1235">
        <v>0</v>
      </c>
      <c r="AE1235">
        <v>0</v>
      </c>
      <c r="AF1235">
        <v>19</v>
      </c>
      <c r="AG1235">
        <v>7.2492192726367204</v>
      </c>
      <c r="AH1235">
        <v>0</v>
      </c>
      <c r="AI1235">
        <v>3</v>
      </c>
      <c r="AJ1235">
        <v>4</v>
      </c>
      <c r="AK1235">
        <v>32</v>
      </c>
      <c r="AL1235">
        <v>0</v>
      </c>
      <c r="AM1235">
        <v>0</v>
      </c>
      <c r="AN1235">
        <v>0</v>
      </c>
      <c r="AO1235">
        <v>-6</v>
      </c>
      <c r="AP1235">
        <v>39</v>
      </c>
      <c r="AQ1235">
        <v>1</v>
      </c>
      <c r="AR1235">
        <v>-0.737251585582271</v>
      </c>
      <c r="AS1235">
        <v>0</v>
      </c>
      <c r="AT1235">
        <v>-5.3333333333333304</v>
      </c>
      <c r="AU1235">
        <v>7.3126142595978097E-3</v>
      </c>
      <c r="AV1235">
        <v>-1.2295081967213101E-3</v>
      </c>
      <c r="AW1235">
        <v>1.0108265651691799E-2</v>
      </c>
      <c r="AX1235">
        <v>0</v>
      </c>
      <c r="AY1235">
        <v>1</v>
      </c>
      <c r="AZ1235">
        <v>0</v>
      </c>
      <c r="BA1235">
        <v>1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10</v>
      </c>
      <c r="BY1235">
        <v>207</v>
      </c>
      <c r="BZ1235">
        <v>0</v>
      </c>
      <c r="CA1235">
        <v>0</v>
      </c>
      <c r="CB1235">
        <v>0</v>
      </c>
      <c r="CC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C1235">
        <v>0</v>
      </c>
      <c r="DD1235">
        <v>0</v>
      </c>
      <c r="DE1235">
        <v>0</v>
      </c>
      <c r="DF1235">
        <v>0</v>
      </c>
      <c r="DH1235">
        <v>50.8</v>
      </c>
      <c r="DI1235">
        <v>53.8</v>
      </c>
    </row>
    <row r="1236" spans="1:113" ht="15" customHeight="1" x14ac:dyDescent="0.25">
      <c r="A1236" t="s">
        <v>5870</v>
      </c>
      <c r="B1236" t="s">
        <v>5871</v>
      </c>
      <c r="C1236" t="s">
        <v>5872</v>
      </c>
      <c r="D1236" t="s">
        <v>1234</v>
      </c>
      <c r="E1236" t="s">
        <v>1234</v>
      </c>
      <c r="F1236" t="s">
        <v>5873</v>
      </c>
      <c r="G1236">
        <v>2025</v>
      </c>
      <c r="H1236" t="s">
        <v>1160</v>
      </c>
      <c r="I1236" t="s">
        <v>112</v>
      </c>
      <c r="J1236">
        <v>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Y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S1236">
        <v>0</v>
      </c>
      <c r="AU1236">
        <v>0</v>
      </c>
      <c r="AV1236">
        <v>0</v>
      </c>
      <c r="AW1236">
        <v>0</v>
      </c>
      <c r="AX1236">
        <v>0</v>
      </c>
      <c r="AY1236">
        <v>15</v>
      </c>
      <c r="AZ1236">
        <v>0</v>
      </c>
      <c r="BA1236">
        <v>13</v>
      </c>
      <c r="BB1236">
        <v>1</v>
      </c>
      <c r="BC1236">
        <v>4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C1236">
        <v>0</v>
      </c>
      <c r="DD1236">
        <v>0</v>
      </c>
      <c r="DE1236">
        <v>0</v>
      </c>
      <c r="DF1236">
        <v>0</v>
      </c>
      <c r="DH1236">
        <v>0</v>
      </c>
      <c r="DI1236">
        <v>0</v>
      </c>
    </row>
    <row r="1237" spans="1:113" ht="15" customHeight="1" x14ac:dyDescent="0.25">
      <c r="A1237" t="s">
        <v>5874</v>
      </c>
      <c r="B1237" t="s">
        <v>2381</v>
      </c>
      <c r="C1237" t="s">
        <v>5875</v>
      </c>
      <c r="D1237" t="s">
        <v>1234</v>
      </c>
      <c r="E1237" t="s">
        <v>1234</v>
      </c>
      <c r="F1237" t="s">
        <v>5876</v>
      </c>
      <c r="G1237">
        <v>2025</v>
      </c>
      <c r="H1237" t="s">
        <v>1160</v>
      </c>
      <c r="I1237" t="s">
        <v>99</v>
      </c>
      <c r="J1237">
        <v>16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Y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S1237">
        <v>0</v>
      </c>
      <c r="AU1237">
        <v>0</v>
      </c>
      <c r="AV1237">
        <v>0</v>
      </c>
      <c r="AW1237">
        <v>0</v>
      </c>
      <c r="AX1237">
        <v>0</v>
      </c>
      <c r="AY1237">
        <v>28</v>
      </c>
      <c r="AZ1237">
        <v>1</v>
      </c>
      <c r="BA1237">
        <v>34</v>
      </c>
      <c r="BB1237">
        <v>1</v>
      </c>
      <c r="BC1237">
        <v>1</v>
      </c>
      <c r="BD1237">
        <v>0</v>
      </c>
      <c r="BE1237">
        <v>0</v>
      </c>
      <c r="BF1237">
        <v>0</v>
      </c>
      <c r="BG1237">
        <v>3</v>
      </c>
      <c r="BH1237">
        <v>0</v>
      </c>
      <c r="BI1237">
        <v>0</v>
      </c>
      <c r="BJ1237">
        <v>2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1</v>
      </c>
      <c r="BS1237">
        <v>0</v>
      </c>
      <c r="BT1237">
        <v>3</v>
      </c>
      <c r="BU1237">
        <v>22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C1237">
        <v>0</v>
      </c>
      <c r="DD1237">
        <v>0</v>
      </c>
      <c r="DE1237">
        <v>0</v>
      </c>
      <c r="DF1237">
        <v>0</v>
      </c>
      <c r="DH1237">
        <v>0</v>
      </c>
      <c r="DI1237">
        <v>0</v>
      </c>
    </row>
    <row r="1238" spans="1:113" ht="15" customHeight="1" x14ac:dyDescent="0.25">
      <c r="A1238" t="s">
        <v>5877</v>
      </c>
      <c r="B1238" t="s">
        <v>5878</v>
      </c>
      <c r="C1238" t="s">
        <v>937</v>
      </c>
      <c r="D1238" t="s">
        <v>439</v>
      </c>
      <c r="E1238" t="s">
        <v>439</v>
      </c>
      <c r="F1238" t="s">
        <v>5879</v>
      </c>
      <c r="G1238">
        <v>2025</v>
      </c>
      <c r="H1238" t="s">
        <v>1160</v>
      </c>
      <c r="I1238" t="s">
        <v>103</v>
      </c>
      <c r="J1238">
        <v>13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Y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H1238">
        <v>0</v>
      </c>
      <c r="AI1238">
        <v>31</v>
      </c>
      <c r="AJ1238">
        <v>43</v>
      </c>
      <c r="AK1238">
        <v>364</v>
      </c>
      <c r="AL1238">
        <v>1</v>
      </c>
      <c r="AM1238">
        <v>2</v>
      </c>
      <c r="AN1238">
        <v>1</v>
      </c>
      <c r="AO1238">
        <v>242</v>
      </c>
      <c r="AP1238">
        <v>229</v>
      </c>
      <c r="AQ1238">
        <v>16</v>
      </c>
      <c r="AR1238">
        <v>14.642507879660201</v>
      </c>
      <c r="AS1238">
        <v>1</v>
      </c>
      <c r="AT1238">
        <v>1.5041322314049601</v>
      </c>
      <c r="AU1238">
        <v>8.2375478927203094E-2</v>
      </c>
      <c r="AV1238">
        <v>7.37804878048781E-2</v>
      </c>
      <c r="AW1238">
        <v>0.17520955985421899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1</v>
      </c>
      <c r="BU1238">
        <v>10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C1238">
        <v>0</v>
      </c>
      <c r="DD1238">
        <v>0</v>
      </c>
      <c r="DE1238">
        <v>0</v>
      </c>
      <c r="DF1238">
        <v>0</v>
      </c>
      <c r="DH1238">
        <v>42.4</v>
      </c>
      <c r="DI1238">
        <v>73.400000000000006</v>
      </c>
    </row>
    <row r="1239" spans="1:113" ht="15" customHeight="1" x14ac:dyDescent="0.25">
      <c r="A1239" t="s">
        <v>5880</v>
      </c>
      <c r="B1239" t="s">
        <v>4398</v>
      </c>
      <c r="C1239" t="s">
        <v>453</v>
      </c>
      <c r="D1239" t="s">
        <v>10</v>
      </c>
      <c r="E1239" t="s">
        <v>10</v>
      </c>
      <c r="F1239" t="s">
        <v>5881</v>
      </c>
      <c r="G1239">
        <v>2025</v>
      </c>
      <c r="H1239" t="s">
        <v>1160</v>
      </c>
      <c r="I1239" t="s">
        <v>90</v>
      </c>
      <c r="J1239">
        <v>17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Y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H1239">
        <v>0</v>
      </c>
      <c r="AI1239">
        <v>78</v>
      </c>
      <c r="AJ1239">
        <v>126</v>
      </c>
      <c r="AK1239">
        <v>1006</v>
      </c>
      <c r="AL1239">
        <v>7</v>
      </c>
      <c r="AM1239">
        <v>0</v>
      </c>
      <c r="AN1239">
        <v>0</v>
      </c>
      <c r="AO1239">
        <v>1502</v>
      </c>
      <c r="AP1239">
        <v>273</v>
      </c>
      <c r="AQ1239">
        <v>51</v>
      </c>
      <c r="AR1239">
        <v>25.752180702367699</v>
      </c>
      <c r="AS1239">
        <v>0</v>
      </c>
      <c r="AT1239">
        <v>0.66977363515312904</v>
      </c>
      <c r="AU1239">
        <v>0.20421393841166899</v>
      </c>
      <c r="AV1239">
        <v>0.32231759656652398</v>
      </c>
      <c r="AW1239">
        <v>0.531943225214071</v>
      </c>
      <c r="AX1239">
        <v>0</v>
      </c>
      <c r="AY1239">
        <v>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</v>
      </c>
      <c r="BU1239">
        <v>10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C1239">
        <v>0</v>
      </c>
      <c r="DD1239">
        <v>0</v>
      </c>
      <c r="DE1239">
        <v>0</v>
      </c>
      <c r="DF1239">
        <v>0</v>
      </c>
      <c r="DH1239">
        <v>142.6</v>
      </c>
      <c r="DI1239">
        <v>220.6</v>
      </c>
    </row>
    <row r="1240" spans="1:113" ht="15" customHeight="1" x14ac:dyDescent="0.25">
      <c r="A1240" t="s">
        <v>5882</v>
      </c>
      <c r="B1240" t="s">
        <v>5883</v>
      </c>
      <c r="C1240" t="s">
        <v>5884</v>
      </c>
      <c r="D1240" t="s">
        <v>1684</v>
      </c>
      <c r="E1240" t="s">
        <v>1307</v>
      </c>
      <c r="F1240" t="s">
        <v>5885</v>
      </c>
      <c r="G1240">
        <v>2025</v>
      </c>
      <c r="H1240" t="s">
        <v>1160</v>
      </c>
      <c r="I1240" t="s">
        <v>107</v>
      </c>
      <c r="J1240">
        <v>17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Y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S1240">
        <v>0</v>
      </c>
      <c r="AU1240">
        <v>0</v>
      </c>
      <c r="AV1240">
        <v>0</v>
      </c>
      <c r="AW1240">
        <v>0</v>
      </c>
      <c r="AX1240">
        <v>0</v>
      </c>
      <c r="AY1240">
        <v>60</v>
      </c>
      <c r="AZ1240">
        <v>2</v>
      </c>
      <c r="BA1240">
        <v>63</v>
      </c>
      <c r="BB1240">
        <v>2</v>
      </c>
      <c r="BC1240">
        <v>2</v>
      </c>
      <c r="BD1240">
        <v>2</v>
      </c>
      <c r="BE1240">
        <v>0</v>
      </c>
      <c r="BF1240">
        <v>0</v>
      </c>
      <c r="BG1240">
        <v>0</v>
      </c>
      <c r="BH1240">
        <v>4</v>
      </c>
      <c r="BI1240">
        <v>6</v>
      </c>
      <c r="BJ1240">
        <v>6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C1240">
        <v>0</v>
      </c>
      <c r="DD1240">
        <v>0</v>
      </c>
      <c r="DE1240">
        <v>0</v>
      </c>
      <c r="DF1240">
        <v>0</v>
      </c>
      <c r="DH1240">
        <v>0</v>
      </c>
      <c r="DI1240">
        <v>0</v>
      </c>
    </row>
    <row r="1241" spans="1:113" ht="15" customHeight="1" x14ac:dyDescent="0.25">
      <c r="A1241" t="s">
        <v>5886</v>
      </c>
      <c r="B1241" t="s">
        <v>5887</v>
      </c>
      <c r="C1241" t="s">
        <v>5888</v>
      </c>
      <c r="D1241" t="s">
        <v>1168</v>
      </c>
      <c r="E1241" t="s">
        <v>1169</v>
      </c>
      <c r="F1241" t="s">
        <v>5889</v>
      </c>
      <c r="G1241">
        <v>2025</v>
      </c>
      <c r="H1241" t="s">
        <v>1160</v>
      </c>
      <c r="I1241" t="s">
        <v>143</v>
      </c>
      <c r="J1241">
        <v>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Y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S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19</v>
      </c>
      <c r="CA1241">
        <v>23</v>
      </c>
      <c r="CB1241">
        <v>2</v>
      </c>
      <c r="CC1241">
        <v>2</v>
      </c>
      <c r="CD1241">
        <v>56</v>
      </c>
      <c r="CE1241">
        <v>0.82608695652173902</v>
      </c>
      <c r="CF1241">
        <v>0</v>
      </c>
      <c r="CG1241">
        <v>5</v>
      </c>
      <c r="CH1241">
        <v>7</v>
      </c>
      <c r="CI1241">
        <v>5</v>
      </c>
      <c r="CJ1241">
        <v>2</v>
      </c>
      <c r="CK1241">
        <v>0</v>
      </c>
      <c r="CL1241">
        <v>0</v>
      </c>
      <c r="CM1241">
        <v>2</v>
      </c>
      <c r="CN1241">
        <v>0</v>
      </c>
      <c r="CO1241">
        <v>0</v>
      </c>
      <c r="CP1241">
        <v>0</v>
      </c>
      <c r="CQ1241">
        <v>0</v>
      </c>
      <c r="CR1241" t="s">
        <v>5890</v>
      </c>
      <c r="CS1241" t="s">
        <v>5891</v>
      </c>
      <c r="CT1241" t="s">
        <v>5892</v>
      </c>
      <c r="CU1241">
        <v>705</v>
      </c>
      <c r="CV1241">
        <v>51</v>
      </c>
      <c r="CW1241">
        <v>84</v>
      </c>
      <c r="CX1241">
        <v>15</v>
      </c>
      <c r="CY1241">
        <v>16</v>
      </c>
      <c r="CZ1241">
        <v>1</v>
      </c>
      <c r="DA1241">
        <v>0</v>
      </c>
      <c r="DB1241">
        <v>0.9375</v>
      </c>
      <c r="DC1241">
        <v>1</v>
      </c>
      <c r="DD1241">
        <v>1</v>
      </c>
      <c r="DE1241">
        <v>0</v>
      </c>
      <c r="DF1241">
        <v>0</v>
      </c>
      <c r="DG1241">
        <v>38</v>
      </c>
      <c r="DH1241">
        <v>0</v>
      </c>
      <c r="DI1241">
        <v>0</v>
      </c>
    </row>
    <row r="1242" spans="1:113" ht="15" customHeight="1" x14ac:dyDescent="0.25">
      <c r="A1242" t="s">
        <v>5893</v>
      </c>
      <c r="B1242" t="s">
        <v>5894</v>
      </c>
      <c r="C1242" t="s">
        <v>775</v>
      </c>
      <c r="D1242" t="s">
        <v>10</v>
      </c>
      <c r="E1242" t="s">
        <v>10</v>
      </c>
      <c r="F1242" t="s">
        <v>5895</v>
      </c>
      <c r="G1242">
        <v>2025</v>
      </c>
      <c r="H1242" t="s">
        <v>1160</v>
      </c>
      <c r="I1242" t="s">
        <v>89</v>
      </c>
      <c r="J1242">
        <v>17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Y1242">
        <v>0</v>
      </c>
      <c r="AA1242">
        <v>11</v>
      </c>
      <c r="AB1242">
        <v>51</v>
      </c>
      <c r="AC1242">
        <v>0</v>
      </c>
      <c r="AD1242">
        <v>0</v>
      </c>
      <c r="AE1242">
        <v>0</v>
      </c>
      <c r="AF1242">
        <v>2</v>
      </c>
      <c r="AG1242">
        <v>-0.469534552539699</v>
      </c>
      <c r="AH1242">
        <v>0</v>
      </c>
      <c r="AI1242">
        <v>57</v>
      </c>
      <c r="AJ1242">
        <v>92</v>
      </c>
      <c r="AK1242">
        <v>696</v>
      </c>
      <c r="AL1242">
        <v>5</v>
      </c>
      <c r="AM1242">
        <v>0</v>
      </c>
      <c r="AN1242">
        <v>0</v>
      </c>
      <c r="AO1242">
        <v>935</v>
      </c>
      <c r="AP1242">
        <v>291</v>
      </c>
      <c r="AQ1242">
        <v>32</v>
      </c>
      <c r="AR1242">
        <v>21.818872602487001</v>
      </c>
      <c r="AS1242">
        <v>0</v>
      </c>
      <c r="AT1242">
        <v>0.74438502673796803</v>
      </c>
      <c r="AU1242">
        <v>0.186234817813765</v>
      </c>
      <c r="AV1242">
        <v>0.29145885286783002</v>
      </c>
      <c r="AW1242">
        <v>0.48337342372812903</v>
      </c>
      <c r="AX1242">
        <v>0</v>
      </c>
      <c r="AY1242">
        <v>2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4</v>
      </c>
      <c r="BU1242">
        <v>15</v>
      </c>
      <c r="BV1242">
        <v>7</v>
      </c>
      <c r="BW1242">
        <v>49</v>
      </c>
      <c r="BX1242">
        <v>1</v>
      </c>
      <c r="BY1242">
        <v>23</v>
      </c>
      <c r="BZ1242">
        <v>0</v>
      </c>
      <c r="CA1242">
        <v>0</v>
      </c>
      <c r="CB1242">
        <v>0</v>
      </c>
      <c r="CC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C1242">
        <v>0</v>
      </c>
      <c r="DD1242">
        <v>0</v>
      </c>
      <c r="DE1242">
        <v>0</v>
      </c>
      <c r="DF1242">
        <v>0</v>
      </c>
      <c r="DH1242">
        <v>104.7</v>
      </c>
      <c r="DI1242">
        <v>161.69999999999999</v>
      </c>
    </row>
    <row r="1243" spans="1:113" ht="15" customHeight="1" x14ac:dyDescent="0.25">
      <c r="A1243" t="s">
        <v>5896</v>
      </c>
      <c r="B1243" t="s">
        <v>5897</v>
      </c>
      <c r="C1243" t="s">
        <v>910</v>
      </c>
      <c r="D1243" t="s">
        <v>439</v>
      </c>
      <c r="E1243" t="s">
        <v>439</v>
      </c>
      <c r="F1243" t="s">
        <v>5898</v>
      </c>
      <c r="G1243">
        <v>2025</v>
      </c>
      <c r="H1243" t="s">
        <v>1160</v>
      </c>
      <c r="I1243" t="s">
        <v>120</v>
      </c>
      <c r="J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Y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S1243">
        <v>0</v>
      </c>
      <c r="AU1243">
        <v>0</v>
      </c>
      <c r="AV1243">
        <v>0</v>
      </c>
      <c r="AW1243">
        <v>0</v>
      </c>
      <c r="AX1243">
        <v>0</v>
      </c>
      <c r="AY1243">
        <v>7</v>
      </c>
      <c r="AZ1243">
        <v>0</v>
      </c>
      <c r="BA1243">
        <v>4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5</v>
      </c>
      <c r="BU1243">
        <v>35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C1243">
        <v>0</v>
      </c>
      <c r="DD1243">
        <v>0</v>
      </c>
      <c r="DE1243">
        <v>0</v>
      </c>
      <c r="DF1243">
        <v>0</v>
      </c>
      <c r="DH1243">
        <v>0</v>
      </c>
      <c r="DI1243">
        <v>0</v>
      </c>
    </row>
    <row r="1244" spans="1:113" ht="15" customHeight="1" x14ac:dyDescent="0.25">
      <c r="A1244" t="s">
        <v>5899</v>
      </c>
      <c r="B1244" t="s">
        <v>5900</v>
      </c>
      <c r="C1244" t="s">
        <v>5901</v>
      </c>
      <c r="D1244" t="s">
        <v>1350</v>
      </c>
      <c r="E1244" t="s">
        <v>1307</v>
      </c>
      <c r="F1244" t="s">
        <v>5902</v>
      </c>
      <c r="G1244">
        <v>2025</v>
      </c>
      <c r="H1244" t="s">
        <v>1160</v>
      </c>
      <c r="I1244" t="s">
        <v>124</v>
      </c>
      <c r="J1244">
        <v>17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Y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S1244">
        <v>0</v>
      </c>
      <c r="AU1244">
        <v>0</v>
      </c>
      <c r="AV1244">
        <v>0</v>
      </c>
      <c r="AW1244">
        <v>0</v>
      </c>
      <c r="AX1244">
        <v>0</v>
      </c>
      <c r="AY1244">
        <v>50</v>
      </c>
      <c r="AZ1244">
        <v>0</v>
      </c>
      <c r="BA1244">
        <v>14</v>
      </c>
      <c r="BB1244">
        <v>2</v>
      </c>
      <c r="BC1244">
        <v>7</v>
      </c>
      <c r="BD1244">
        <v>0</v>
      </c>
      <c r="BE1244">
        <v>1</v>
      </c>
      <c r="BF1244">
        <v>0</v>
      </c>
      <c r="BG1244">
        <v>0</v>
      </c>
      <c r="BH1244">
        <v>2</v>
      </c>
      <c r="BI1244">
        <v>41</v>
      </c>
      <c r="BJ1244">
        <v>7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6</v>
      </c>
      <c r="BU1244">
        <v>92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C1244">
        <v>0</v>
      </c>
      <c r="DD1244">
        <v>0</v>
      </c>
      <c r="DE1244">
        <v>0</v>
      </c>
      <c r="DF1244">
        <v>0</v>
      </c>
      <c r="DH1244">
        <v>0</v>
      </c>
      <c r="DI1244">
        <v>0</v>
      </c>
    </row>
    <row r="1245" spans="1:113" ht="15" customHeight="1" x14ac:dyDescent="0.25">
      <c r="A1245" t="s">
        <v>5903</v>
      </c>
      <c r="B1245" t="s">
        <v>5904</v>
      </c>
      <c r="C1245" t="s">
        <v>5905</v>
      </c>
      <c r="D1245" t="s">
        <v>1168</v>
      </c>
      <c r="E1245" t="s">
        <v>1169</v>
      </c>
      <c r="F1245" t="s">
        <v>5906</v>
      </c>
      <c r="G1245">
        <v>2025</v>
      </c>
      <c r="H1245" t="s">
        <v>1160</v>
      </c>
      <c r="I1245" t="s">
        <v>90</v>
      </c>
      <c r="J1245">
        <v>17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Y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S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3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25</v>
      </c>
      <c r="CA1245">
        <v>33</v>
      </c>
      <c r="CB1245">
        <v>7</v>
      </c>
      <c r="CC1245">
        <v>1</v>
      </c>
      <c r="CD1245">
        <v>57</v>
      </c>
      <c r="CE1245">
        <v>0.75757575757575801</v>
      </c>
      <c r="CF1245">
        <v>0</v>
      </c>
      <c r="CG1245">
        <v>5</v>
      </c>
      <c r="CH1245">
        <v>7</v>
      </c>
      <c r="CI1245">
        <v>7</v>
      </c>
      <c r="CJ1245">
        <v>6</v>
      </c>
      <c r="CK1245">
        <v>0</v>
      </c>
      <c r="CL1245">
        <v>0</v>
      </c>
      <c r="CM1245">
        <v>0</v>
      </c>
      <c r="CN1245">
        <v>1</v>
      </c>
      <c r="CO1245">
        <v>2</v>
      </c>
      <c r="CP1245">
        <v>3</v>
      </c>
      <c r="CQ1245">
        <v>1</v>
      </c>
      <c r="CR1245" t="s">
        <v>5907</v>
      </c>
      <c r="CS1245" t="s">
        <v>5908</v>
      </c>
      <c r="CT1245">
        <v>46</v>
      </c>
      <c r="CU1245">
        <v>1003</v>
      </c>
      <c r="CV1245">
        <v>348</v>
      </c>
      <c r="CW1245">
        <v>46</v>
      </c>
      <c r="CX1245">
        <v>36</v>
      </c>
      <c r="CY1245">
        <v>36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0</v>
      </c>
      <c r="DF1245">
        <v>0</v>
      </c>
      <c r="DH1245">
        <v>0</v>
      </c>
      <c r="DI1245">
        <v>0</v>
      </c>
    </row>
    <row r="1246" spans="1:113" ht="15" customHeight="1" x14ac:dyDescent="0.25">
      <c r="A1246" t="s">
        <v>5909</v>
      </c>
      <c r="B1246" t="s">
        <v>5910</v>
      </c>
      <c r="C1246" t="s">
        <v>5911</v>
      </c>
      <c r="D1246" t="s">
        <v>1350</v>
      </c>
      <c r="E1246" t="s">
        <v>1307</v>
      </c>
      <c r="F1246" t="s">
        <v>5912</v>
      </c>
      <c r="G1246">
        <v>2025</v>
      </c>
      <c r="H1246" t="s">
        <v>1160</v>
      </c>
      <c r="I1246" t="s">
        <v>93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Y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S1246">
        <v>0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C1246">
        <v>0</v>
      </c>
      <c r="DD1246">
        <v>0</v>
      </c>
      <c r="DE1246">
        <v>0</v>
      </c>
      <c r="DF1246">
        <v>0</v>
      </c>
      <c r="DH1246">
        <v>0</v>
      </c>
      <c r="DI1246">
        <v>0</v>
      </c>
    </row>
    <row r="1247" spans="1:113" ht="15" customHeight="1" x14ac:dyDescent="0.25">
      <c r="A1247" t="s">
        <v>5913</v>
      </c>
      <c r="B1247" t="s">
        <v>1231</v>
      </c>
      <c r="C1247" t="s">
        <v>5914</v>
      </c>
      <c r="D1247" t="s">
        <v>1234</v>
      </c>
      <c r="E1247" t="s">
        <v>1234</v>
      </c>
      <c r="F1247" t="s">
        <v>5915</v>
      </c>
      <c r="G1247">
        <v>2025</v>
      </c>
      <c r="H1247" t="s">
        <v>1160</v>
      </c>
      <c r="I1247" t="s">
        <v>106</v>
      </c>
      <c r="J1247">
        <v>15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Y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S1247">
        <v>0</v>
      </c>
      <c r="AU1247">
        <v>0</v>
      </c>
      <c r="AV1247">
        <v>0</v>
      </c>
      <c r="AW1247">
        <v>0</v>
      </c>
      <c r="AX1247">
        <v>0</v>
      </c>
      <c r="AY1247">
        <v>17</v>
      </c>
      <c r="AZ1247">
        <v>0</v>
      </c>
      <c r="BA1247">
        <v>21</v>
      </c>
      <c r="BB1247">
        <v>0</v>
      </c>
      <c r="BC1247">
        <v>0</v>
      </c>
      <c r="BD1247">
        <v>2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4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6</v>
      </c>
      <c r="BU1247">
        <v>58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C1247">
        <v>0</v>
      </c>
      <c r="DD1247">
        <v>0</v>
      </c>
      <c r="DE1247">
        <v>0</v>
      </c>
      <c r="DF1247">
        <v>0</v>
      </c>
      <c r="DH1247">
        <v>0</v>
      </c>
      <c r="DI1247">
        <v>0</v>
      </c>
    </row>
    <row r="1248" spans="1:113" ht="15" customHeight="1" x14ac:dyDescent="0.25">
      <c r="A1248" t="s">
        <v>5916</v>
      </c>
      <c r="B1248" t="s">
        <v>5917</v>
      </c>
      <c r="C1248" t="s">
        <v>5918</v>
      </c>
      <c r="D1248" t="s">
        <v>1297</v>
      </c>
      <c r="E1248" t="s">
        <v>1220</v>
      </c>
      <c r="F1248" t="s">
        <v>5919</v>
      </c>
      <c r="G1248">
        <v>2025</v>
      </c>
      <c r="H1248" t="s">
        <v>1160</v>
      </c>
      <c r="I1248" t="s">
        <v>90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Y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S1248">
        <v>0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2</v>
      </c>
      <c r="BU1248">
        <v>20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C1248">
        <v>0</v>
      </c>
      <c r="DD1248">
        <v>0</v>
      </c>
      <c r="DE1248">
        <v>0</v>
      </c>
      <c r="DF1248">
        <v>0</v>
      </c>
      <c r="DH1248">
        <v>0</v>
      </c>
      <c r="DI1248">
        <v>0</v>
      </c>
    </row>
    <row r="1249" spans="1:113" ht="15" customHeight="1" x14ac:dyDescent="0.25">
      <c r="A1249" t="s">
        <v>5920</v>
      </c>
      <c r="B1249" t="s">
        <v>1310</v>
      </c>
      <c r="C1249" t="s">
        <v>724</v>
      </c>
      <c r="D1249" t="s">
        <v>10</v>
      </c>
      <c r="E1249" t="s">
        <v>10</v>
      </c>
      <c r="F1249" t="s">
        <v>5921</v>
      </c>
      <c r="G1249">
        <v>2025</v>
      </c>
      <c r="H1249" t="s">
        <v>1160</v>
      </c>
      <c r="I1249" t="s">
        <v>131</v>
      </c>
      <c r="J1249">
        <v>11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Y1249">
        <v>0</v>
      </c>
      <c r="AA1249">
        <v>2</v>
      </c>
      <c r="AB1249">
        <v>5</v>
      </c>
      <c r="AC1249">
        <v>0</v>
      </c>
      <c r="AD1249">
        <v>0</v>
      </c>
      <c r="AE1249">
        <v>0</v>
      </c>
      <c r="AF1249">
        <v>0</v>
      </c>
      <c r="AG1249">
        <v>-0.62148806470213502</v>
      </c>
      <c r="AH1249">
        <v>0</v>
      </c>
      <c r="AI1249">
        <v>2</v>
      </c>
      <c r="AJ1249">
        <v>3</v>
      </c>
      <c r="AK1249">
        <v>10</v>
      </c>
      <c r="AL1249">
        <v>0</v>
      </c>
      <c r="AM1249">
        <v>0</v>
      </c>
      <c r="AN1249">
        <v>0</v>
      </c>
      <c r="AO1249">
        <v>33</v>
      </c>
      <c r="AP1249">
        <v>8</v>
      </c>
      <c r="AQ1249">
        <v>0</v>
      </c>
      <c r="AR1249">
        <v>-1.02582044503652</v>
      </c>
      <c r="AS1249">
        <v>0</v>
      </c>
      <c r="AT1249">
        <v>0.30303030303030298</v>
      </c>
      <c r="AU1249">
        <v>5.5147058823529398E-3</v>
      </c>
      <c r="AV1249">
        <v>7.2591289045314603E-3</v>
      </c>
      <c r="AW1249">
        <v>1.33534490567014E-2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1</v>
      </c>
      <c r="BP1249">
        <v>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11</v>
      </c>
      <c r="BW1249">
        <v>77</v>
      </c>
      <c r="BX1249">
        <v>18</v>
      </c>
      <c r="BY1249">
        <v>464</v>
      </c>
      <c r="BZ1249">
        <v>0</v>
      </c>
      <c r="CA1249">
        <v>0</v>
      </c>
      <c r="CB1249">
        <v>0</v>
      </c>
      <c r="CC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C1249">
        <v>0</v>
      </c>
      <c r="DD1249">
        <v>0</v>
      </c>
      <c r="DE1249">
        <v>0</v>
      </c>
      <c r="DF1249">
        <v>0</v>
      </c>
      <c r="DH1249">
        <v>1.5</v>
      </c>
      <c r="DI1249">
        <v>3.5</v>
      </c>
    </row>
    <row r="1250" spans="1:113" ht="15" customHeight="1" x14ac:dyDescent="0.25">
      <c r="A1250" t="s">
        <v>5922</v>
      </c>
      <c r="B1250" t="s">
        <v>5923</v>
      </c>
      <c r="C1250" t="s">
        <v>5924</v>
      </c>
      <c r="D1250" t="s">
        <v>1189</v>
      </c>
      <c r="E1250" t="s">
        <v>1190</v>
      </c>
      <c r="F1250" t="s">
        <v>5925</v>
      </c>
      <c r="G1250">
        <v>2025</v>
      </c>
      <c r="H1250" t="s">
        <v>1160</v>
      </c>
      <c r="I1250" t="s">
        <v>109</v>
      </c>
      <c r="J1250">
        <v>15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Y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S1250">
        <v>0</v>
      </c>
      <c r="AU1250">
        <v>0</v>
      </c>
      <c r="AV1250">
        <v>0</v>
      </c>
      <c r="AW1250">
        <v>0</v>
      </c>
      <c r="AX1250">
        <v>0</v>
      </c>
      <c r="AY1250">
        <v>13</v>
      </c>
      <c r="AZ1250">
        <v>4</v>
      </c>
      <c r="BA1250">
        <v>13</v>
      </c>
      <c r="BB1250">
        <v>8</v>
      </c>
      <c r="BC1250">
        <v>28</v>
      </c>
      <c r="BD1250">
        <v>1</v>
      </c>
      <c r="BE1250">
        <v>2</v>
      </c>
      <c r="BF1250">
        <v>15</v>
      </c>
      <c r="BG1250">
        <v>6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C1250">
        <v>0</v>
      </c>
      <c r="DD1250">
        <v>0</v>
      </c>
      <c r="DE1250">
        <v>0</v>
      </c>
      <c r="DF1250">
        <v>0</v>
      </c>
      <c r="DH1250">
        <v>0</v>
      </c>
      <c r="DI1250">
        <v>0</v>
      </c>
    </row>
    <row r="1251" spans="1:113" ht="15" customHeight="1" x14ac:dyDescent="0.25">
      <c r="A1251" t="s">
        <v>5926</v>
      </c>
      <c r="B1251" t="s">
        <v>1755</v>
      </c>
      <c r="C1251" t="s">
        <v>547</v>
      </c>
      <c r="D1251" t="s">
        <v>10</v>
      </c>
      <c r="E1251" t="s">
        <v>10</v>
      </c>
      <c r="F1251" t="s">
        <v>5927</v>
      </c>
      <c r="G1251">
        <v>2025</v>
      </c>
      <c r="H1251" t="s">
        <v>1160</v>
      </c>
      <c r="I1251" t="s">
        <v>107</v>
      </c>
      <c r="J1251">
        <v>14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Y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H1251">
        <v>0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42</v>
      </c>
      <c r="AP1251">
        <v>0</v>
      </c>
      <c r="AQ1251">
        <v>0</v>
      </c>
      <c r="AR1251">
        <v>-0.533708999399096</v>
      </c>
      <c r="AS1251">
        <v>0</v>
      </c>
      <c r="AT1251">
        <v>0</v>
      </c>
      <c r="AU1251">
        <v>1.64473684210526E-3</v>
      </c>
      <c r="AV1251">
        <v>8.92288081580625E-3</v>
      </c>
      <c r="AW1251">
        <v>8.7131218342222701E-3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13</v>
      </c>
      <c r="BW1251">
        <v>115</v>
      </c>
      <c r="BX1251">
        <v>42</v>
      </c>
      <c r="BY1251">
        <v>1084</v>
      </c>
      <c r="BZ1251">
        <v>0</v>
      </c>
      <c r="CA1251">
        <v>0</v>
      </c>
      <c r="CB1251">
        <v>0</v>
      </c>
      <c r="CC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C1251">
        <v>0</v>
      </c>
      <c r="DD1251">
        <v>0</v>
      </c>
      <c r="DE1251">
        <v>0</v>
      </c>
      <c r="DF1251">
        <v>0</v>
      </c>
      <c r="DH1251">
        <v>6</v>
      </c>
      <c r="DI1251">
        <v>6</v>
      </c>
    </row>
    <row r="1252" spans="1:113" ht="15" customHeight="1" x14ac:dyDescent="0.25">
      <c r="A1252" t="s">
        <v>5928</v>
      </c>
      <c r="B1252" t="s">
        <v>5929</v>
      </c>
      <c r="C1252" t="s">
        <v>5930</v>
      </c>
      <c r="D1252" t="s">
        <v>1234</v>
      </c>
      <c r="E1252" t="s">
        <v>1234</v>
      </c>
      <c r="F1252" t="s">
        <v>5931</v>
      </c>
      <c r="G1252">
        <v>2025</v>
      </c>
      <c r="H1252" t="s">
        <v>1160</v>
      </c>
      <c r="I1252" t="s">
        <v>103</v>
      </c>
      <c r="J1252">
        <v>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Y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S1252">
        <v>0</v>
      </c>
      <c r="AU1252">
        <v>0</v>
      </c>
      <c r="AV1252">
        <v>0</v>
      </c>
      <c r="AW1252">
        <v>0</v>
      </c>
      <c r="AX1252">
        <v>0</v>
      </c>
      <c r="AY1252">
        <v>18</v>
      </c>
      <c r="AZ1252">
        <v>3</v>
      </c>
      <c r="BA1252">
        <v>9</v>
      </c>
      <c r="BB1252">
        <v>13</v>
      </c>
      <c r="BC1252">
        <v>76</v>
      </c>
      <c r="BD1252">
        <v>3</v>
      </c>
      <c r="BE1252">
        <v>7.5</v>
      </c>
      <c r="BF1252">
        <v>59</v>
      </c>
      <c r="BG1252">
        <v>18</v>
      </c>
      <c r="BH1252">
        <v>1</v>
      </c>
      <c r="BI1252">
        <v>41</v>
      </c>
      <c r="BJ1252">
        <v>3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1</v>
      </c>
      <c r="BS1252">
        <v>1</v>
      </c>
      <c r="BT1252">
        <v>4</v>
      </c>
      <c r="BU1252">
        <v>30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C1252">
        <v>0</v>
      </c>
      <c r="DD1252">
        <v>0</v>
      </c>
      <c r="DE1252">
        <v>0</v>
      </c>
      <c r="DF1252">
        <v>0</v>
      </c>
      <c r="DH1252">
        <v>0</v>
      </c>
      <c r="DI1252">
        <v>0</v>
      </c>
    </row>
    <row r="1253" spans="1:113" ht="15" customHeight="1" x14ac:dyDescent="0.25">
      <c r="A1253" t="s">
        <v>5932</v>
      </c>
      <c r="B1253" t="s">
        <v>1812</v>
      </c>
      <c r="C1253" t="s">
        <v>5933</v>
      </c>
      <c r="D1253" t="s">
        <v>1684</v>
      </c>
      <c r="E1253" t="s">
        <v>1307</v>
      </c>
      <c r="F1253" t="s">
        <v>5934</v>
      </c>
      <c r="G1253">
        <v>2025</v>
      </c>
      <c r="H1253" t="s">
        <v>1160</v>
      </c>
      <c r="I1253" t="s">
        <v>137</v>
      </c>
      <c r="J1253">
        <v>12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Y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S1253">
        <v>0</v>
      </c>
      <c r="AU1253">
        <v>0</v>
      </c>
      <c r="AV1253">
        <v>0</v>
      </c>
      <c r="AW1253">
        <v>0</v>
      </c>
      <c r="AX1253">
        <v>0</v>
      </c>
      <c r="AY1253">
        <v>13</v>
      </c>
      <c r="AZ1253">
        <v>0</v>
      </c>
      <c r="BA1253">
        <v>14</v>
      </c>
      <c r="BB1253">
        <v>1</v>
      </c>
      <c r="BC1253">
        <v>2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1</v>
      </c>
      <c r="BR1253">
        <v>1</v>
      </c>
      <c r="BS1253">
        <v>0</v>
      </c>
      <c r="BT1253">
        <v>4</v>
      </c>
      <c r="BU1253">
        <v>40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C1253">
        <v>0</v>
      </c>
      <c r="DD1253">
        <v>0</v>
      </c>
      <c r="DE1253">
        <v>0</v>
      </c>
      <c r="DF1253">
        <v>0</v>
      </c>
      <c r="DH1253">
        <v>0</v>
      </c>
      <c r="DI1253">
        <v>0</v>
      </c>
    </row>
    <row r="1254" spans="1:113" ht="15" customHeight="1" x14ac:dyDescent="0.25">
      <c r="A1254" t="s">
        <v>5935</v>
      </c>
      <c r="B1254" t="s">
        <v>5936</v>
      </c>
      <c r="C1254" t="s">
        <v>5937</v>
      </c>
      <c r="D1254" t="s">
        <v>1158</v>
      </c>
      <c r="E1254" t="s">
        <v>1158</v>
      </c>
      <c r="F1254" t="s">
        <v>5938</v>
      </c>
      <c r="G1254">
        <v>2025</v>
      </c>
      <c r="H1254" t="s">
        <v>1160</v>
      </c>
      <c r="I1254" t="s">
        <v>89</v>
      </c>
      <c r="J1254">
        <v>1</v>
      </c>
      <c r="K1254">
        <v>10</v>
      </c>
      <c r="L1254">
        <v>22</v>
      </c>
      <c r="M1254">
        <v>102</v>
      </c>
      <c r="N1254">
        <v>0</v>
      </c>
      <c r="O1254">
        <v>0</v>
      </c>
      <c r="P1254">
        <v>1</v>
      </c>
      <c r="Q1254">
        <v>-5</v>
      </c>
      <c r="R1254">
        <v>0</v>
      </c>
      <c r="S1254">
        <v>0</v>
      </c>
      <c r="T1254">
        <v>184</v>
      </c>
      <c r="U1254">
        <v>31</v>
      </c>
      <c r="V1254">
        <v>5</v>
      </c>
      <c r="W1254">
        <v>-5.8636921703453799</v>
      </c>
      <c r="X1254">
        <v>-23.571797934445499</v>
      </c>
      <c r="Y1254">
        <v>0</v>
      </c>
      <c r="Z1254">
        <v>0.55434782608695699</v>
      </c>
      <c r="AA1254">
        <v>1</v>
      </c>
      <c r="AB1254">
        <v>7</v>
      </c>
      <c r="AC1254">
        <v>0</v>
      </c>
      <c r="AD1254">
        <v>0</v>
      </c>
      <c r="AE1254">
        <v>0</v>
      </c>
      <c r="AF1254">
        <v>0</v>
      </c>
      <c r="AG1254">
        <v>0.156770496862009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S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C1254">
        <v>0</v>
      </c>
      <c r="DD1254">
        <v>0</v>
      </c>
      <c r="DE1254">
        <v>0</v>
      </c>
      <c r="DF1254">
        <v>0</v>
      </c>
      <c r="DH1254">
        <v>4.78</v>
      </c>
      <c r="DI1254">
        <v>4.78</v>
      </c>
    </row>
    <row r="1255" spans="1:113" ht="15" customHeight="1" x14ac:dyDescent="0.25">
      <c r="A1255" t="s">
        <v>5939</v>
      </c>
      <c r="B1255" t="s">
        <v>5940</v>
      </c>
      <c r="C1255" t="s">
        <v>5941</v>
      </c>
      <c r="D1255" t="s">
        <v>1234</v>
      </c>
      <c r="E1255" t="s">
        <v>1234</v>
      </c>
      <c r="F1255" t="s">
        <v>5942</v>
      </c>
      <c r="G1255">
        <v>2025</v>
      </c>
      <c r="H1255" t="s">
        <v>1160</v>
      </c>
      <c r="I1255" t="s">
        <v>106</v>
      </c>
      <c r="J1255">
        <v>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Y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S1255">
        <v>0</v>
      </c>
      <c r="AU1255">
        <v>0</v>
      </c>
      <c r="AV1255">
        <v>0</v>
      </c>
      <c r="AW1255">
        <v>0</v>
      </c>
      <c r="AX1255">
        <v>0</v>
      </c>
      <c r="AY1255">
        <v>6</v>
      </c>
      <c r="AZ1255">
        <v>0</v>
      </c>
      <c r="BA1255">
        <v>3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</v>
      </c>
      <c r="BU1255">
        <v>15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C1255">
        <v>0</v>
      </c>
      <c r="DD1255">
        <v>0</v>
      </c>
      <c r="DE1255">
        <v>0</v>
      </c>
      <c r="DF1255">
        <v>0</v>
      </c>
      <c r="DH1255">
        <v>0</v>
      </c>
      <c r="DI1255">
        <v>0</v>
      </c>
    </row>
    <row r="1256" spans="1:113" ht="15" customHeight="1" x14ac:dyDescent="0.25">
      <c r="A1256" t="s">
        <v>5943</v>
      </c>
      <c r="B1256" t="s">
        <v>5944</v>
      </c>
      <c r="C1256" t="s">
        <v>5945</v>
      </c>
      <c r="D1256" t="s">
        <v>1158</v>
      </c>
      <c r="E1256" t="s">
        <v>1158</v>
      </c>
      <c r="F1256" t="s">
        <v>5946</v>
      </c>
      <c r="G1256">
        <v>2025</v>
      </c>
      <c r="H1256" t="s">
        <v>1160</v>
      </c>
      <c r="I1256" t="s">
        <v>118</v>
      </c>
      <c r="J1256">
        <v>2</v>
      </c>
      <c r="K1256">
        <v>7</v>
      </c>
      <c r="L1256">
        <v>15</v>
      </c>
      <c r="M1256">
        <v>42</v>
      </c>
      <c r="N1256">
        <v>0</v>
      </c>
      <c r="O1256">
        <v>1</v>
      </c>
      <c r="P1256">
        <v>5</v>
      </c>
      <c r="Q1256">
        <v>-44</v>
      </c>
      <c r="R1256">
        <v>1</v>
      </c>
      <c r="S1256">
        <v>0</v>
      </c>
      <c r="T1256">
        <v>58</v>
      </c>
      <c r="U1256">
        <v>28</v>
      </c>
      <c r="V1256">
        <v>2</v>
      </c>
      <c r="W1256">
        <v>-19.899344522098499</v>
      </c>
      <c r="X1256">
        <v>-21.888706939561001</v>
      </c>
      <c r="Y1256">
        <v>0</v>
      </c>
      <c r="Z1256">
        <v>0.72413793103448298</v>
      </c>
      <c r="AA1256">
        <v>5</v>
      </c>
      <c r="AB1256">
        <v>23</v>
      </c>
      <c r="AC1256">
        <v>0</v>
      </c>
      <c r="AD1256">
        <v>0</v>
      </c>
      <c r="AE1256">
        <v>0</v>
      </c>
      <c r="AF1256">
        <v>2</v>
      </c>
      <c r="AG1256">
        <v>2.17913718568161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S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C1256">
        <v>0</v>
      </c>
      <c r="DD1256">
        <v>0</v>
      </c>
      <c r="DE1256">
        <v>0</v>
      </c>
      <c r="DF1256">
        <v>0</v>
      </c>
      <c r="DH1256">
        <v>1.98</v>
      </c>
      <c r="DI1256">
        <v>1.98</v>
      </c>
    </row>
    <row r="1257" spans="1:113" ht="15" customHeight="1" x14ac:dyDescent="0.25">
      <c r="A1257" t="s">
        <v>5947</v>
      </c>
      <c r="B1257" t="s">
        <v>5948</v>
      </c>
      <c r="C1257" t="s">
        <v>5949</v>
      </c>
      <c r="D1257" t="s">
        <v>1350</v>
      </c>
      <c r="E1257" t="s">
        <v>1307</v>
      </c>
      <c r="F1257" t="s">
        <v>5950</v>
      </c>
      <c r="G1257">
        <v>2025</v>
      </c>
      <c r="H1257" t="s">
        <v>1160</v>
      </c>
      <c r="I1257" t="s">
        <v>124</v>
      </c>
      <c r="J1257">
        <v>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Y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S1257">
        <v>0</v>
      </c>
      <c r="AU1257">
        <v>0</v>
      </c>
      <c r="AV1257">
        <v>0</v>
      </c>
      <c r="AW1257">
        <v>0</v>
      </c>
      <c r="AX1257">
        <v>0</v>
      </c>
      <c r="AY1257">
        <v>13</v>
      </c>
      <c r="AZ1257">
        <v>1</v>
      </c>
      <c r="BA1257">
        <v>5</v>
      </c>
      <c r="BB1257">
        <v>2</v>
      </c>
      <c r="BC1257">
        <v>2</v>
      </c>
      <c r="BD1257">
        <v>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4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</v>
      </c>
      <c r="BU1257">
        <v>12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C1257">
        <v>0</v>
      </c>
      <c r="DD1257">
        <v>0</v>
      </c>
      <c r="DE1257">
        <v>0</v>
      </c>
      <c r="DF1257">
        <v>0</v>
      </c>
      <c r="DH1257">
        <v>0</v>
      </c>
      <c r="DI1257">
        <v>0</v>
      </c>
    </row>
    <row r="1258" spans="1:113" ht="15" customHeight="1" x14ac:dyDescent="0.25">
      <c r="A1258" t="s">
        <v>5951</v>
      </c>
      <c r="B1258" t="s">
        <v>5952</v>
      </c>
      <c r="C1258" t="s">
        <v>5953</v>
      </c>
      <c r="D1258" t="s">
        <v>1297</v>
      </c>
      <c r="E1258" t="s">
        <v>1220</v>
      </c>
      <c r="F1258" t="s">
        <v>5954</v>
      </c>
      <c r="G1258">
        <v>2025</v>
      </c>
      <c r="H1258" t="s">
        <v>1160</v>
      </c>
      <c r="I1258" t="s">
        <v>89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Y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S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2</v>
      </c>
      <c r="BU1258">
        <v>20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C1258">
        <v>0</v>
      </c>
      <c r="DD1258">
        <v>0</v>
      </c>
      <c r="DE1258">
        <v>0</v>
      </c>
      <c r="DF1258">
        <v>0</v>
      </c>
      <c r="DH1258">
        <v>0</v>
      </c>
      <c r="DI1258">
        <v>0</v>
      </c>
    </row>
    <row r="1259" spans="1:113" ht="15" customHeight="1" x14ac:dyDescent="0.25">
      <c r="A1259" t="s">
        <v>5955</v>
      </c>
      <c r="B1259" t="s">
        <v>5956</v>
      </c>
      <c r="C1259" t="s">
        <v>5957</v>
      </c>
      <c r="D1259" t="s">
        <v>1684</v>
      </c>
      <c r="E1259" t="s">
        <v>1307</v>
      </c>
      <c r="F1259" t="s">
        <v>5958</v>
      </c>
      <c r="G1259">
        <v>2025</v>
      </c>
      <c r="H1259" t="s">
        <v>1160</v>
      </c>
      <c r="I1259" t="s">
        <v>93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Y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S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C1259">
        <v>0</v>
      </c>
      <c r="DD1259">
        <v>0</v>
      </c>
      <c r="DE1259">
        <v>0</v>
      </c>
      <c r="DF1259">
        <v>0</v>
      </c>
      <c r="DH1259">
        <v>0</v>
      </c>
      <c r="DI1259">
        <v>0</v>
      </c>
    </row>
    <row r="1260" spans="1:113" ht="15" customHeight="1" x14ac:dyDescent="0.25">
      <c r="A1260" t="s">
        <v>5959</v>
      </c>
      <c r="B1260" t="s">
        <v>5960</v>
      </c>
      <c r="C1260" t="s">
        <v>5961</v>
      </c>
      <c r="D1260" t="s">
        <v>1684</v>
      </c>
      <c r="E1260" t="s">
        <v>1307</v>
      </c>
      <c r="F1260" t="s">
        <v>5962</v>
      </c>
      <c r="G1260">
        <v>2025</v>
      </c>
      <c r="H1260" t="s">
        <v>1160</v>
      </c>
      <c r="I1260" t="s">
        <v>138</v>
      </c>
      <c r="J1260">
        <v>12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Y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S1260">
        <v>0</v>
      </c>
      <c r="AU1260">
        <v>0</v>
      </c>
      <c r="AV1260">
        <v>0</v>
      </c>
      <c r="AW1260">
        <v>0</v>
      </c>
      <c r="AX1260">
        <v>0</v>
      </c>
      <c r="AY1260">
        <v>18</v>
      </c>
      <c r="AZ1260">
        <v>0</v>
      </c>
      <c r="BA1260">
        <v>11</v>
      </c>
      <c r="BB1260">
        <v>1</v>
      </c>
      <c r="BC1260">
        <v>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1</v>
      </c>
      <c r="BR1260">
        <v>1</v>
      </c>
      <c r="BS1260">
        <v>1</v>
      </c>
      <c r="BT1260">
        <v>3</v>
      </c>
      <c r="BU1260">
        <v>30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C1260">
        <v>0</v>
      </c>
      <c r="DD1260">
        <v>0</v>
      </c>
      <c r="DE1260">
        <v>0</v>
      </c>
      <c r="DF1260">
        <v>0</v>
      </c>
      <c r="DH1260">
        <v>0</v>
      </c>
      <c r="DI1260">
        <v>0</v>
      </c>
    </row>
    <row r="1261" spans="1:113" ht="15" customHeight="1" x14ac:dyDescent="0.25">
      <c r="A1261" t="s">
        <v>5963</v>
      </c>
      <c r="B1261" t="s">
        <v>5964</v>
      </c>
      <c r="C1261" t="s">
        <v>647</v>
      </c>
      <c r="D1261" t="s">
        <v>439</v>
      </c>
      <c r="E1261" t="s">
        <v>439</v>
      </c>
      <c r="F1261" t="s">
        <v>5965</v>
      </c>
      <c r="G1261">
        <v>2025</v>
      </c>
      <c r="H1261" t="s">
        <v>1160</v>
      </c>
      <c r="I1261" t="s">
        <v>118</v>
      </c>
      <c r="J1261">
        <v>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Y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H1261">
        <v>0</v>
      </c>
      <c r="AI1261">
        <v>5</v>
      </c>
      <c r="AJ1261">
        <v>6</v>
      </c>
      <c r="AK1261">
        <v>36</v>
      </c>
      <c r="AL1261">
        <v>1</v>
      </c>
      <c r="AM1261">
        <v>0</v>
      </c>
      <c r="AN1261">
        <v>0</v>
      </c>
      <c r="AO1261">
        <v>23</v>
      </c>
      <c r="AP1261">
        <v>21</v>
      </c>
      <c r="AQ1261">
        <v>2</v>
      </c>
      <c r="AR1261">
        <v>2.1990358700144301</v>
      </c>
      <c r="AS1261">
        <v>0</v>
      </c>
      <c r="AT1261">
        <v>1.5652173913043499</v>
      </c>
      <c r="AU1261">
        <v>1.3043478260869599E-2</v>
      </c>
      <c r="AV1261">
        <v>5.3700677095493803E-3</v>
      </c>
      <c r="AW1261">
        <v>2.3324264787988901E-2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10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C1261">
        <v>0</v>
      </c>
      <c r="DD1261">
        <v>0</v>
      </c>
      <c r="DE1261">
        <v>0</v>
      </c>
      <c r="DF1261">
        <v>0</v>
      </c>
      <c r="DH1261">
        <v>9.6</v>
      </c>
      <c r="DI1261">
        <v>14.6</v>
      </c>
    </row>
    <row r="1262" spans="1:113" ht="15" customHeight="1" x14ac:dyDescent="0.25">
      <c r="A1262" t="s">
        <v>5966</v>
      </c>
      <c r="B1262" t="s">
        <v>5967</v>
      </c>
      <c r="C1262" t="s">
        <v>773</v>
      </c>
      <c r="D1262" t="s">
        <v>439</v>
      </c>
      <c r="E1262" t="s">
        <v>439</v>
      </c>
      <c r="F1262" t="s">
        <v>5968</v>
      </c>
      <c r="G1262">
        <v>2025</v>
      </c>
      <c r="H1262" t="s">
        <v>1160</v>
      </c>
      <c r="I1262" t="s">
        <v>89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Y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S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3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</v>
      </c>
      <c r="BU1262">
        <v>10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C1262">
        <v>0</v>
      </c>
      <c r="DD1262">
        <v>0</v>
      </c>
      <c r="DE1262">
        <v>0</v>
      </c>
      <c r="DF1262">
        <v>0</v>
      </c>
      <c r="DH1262">
        <v>0</v>
      </c>
      <c r="DI1262">
        <v>0</v>
      </c>
    </row>
    <row r="1263" spans="1:113" ht="15" customHeight="1" x14ac:dyDescent="0.25">
      <c r="A1263" t="s">
        <v>5969</v>
      </c>
      <c r="B1263" t="s">
        <v>5970</v>
      </c>
      <c r="C1263" t="s">
        <v>5971</v>
      </c>
      <c r="D1263" t="s">
        <v>1189</v>
      </c>
      <c r="E1263" t="s">
        <v>1190</v>
      </c>
      <c r="F1263" t="s">
        <v>5972</v>
      </c>
      <c r="G1263">
        <v>2025</v>
      </c>
      <c r="H1263" t="s">
        <v>1160</v>
      </c>
      <c r="I1263" t="s">
        <v>140</v>
      </c>
      <c r="J1263">
        <v>11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Y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S1263">
        <v>0</v>
      </c>
      <c r="AU1263">
        <v>0</v>
      </c>
      <c r="AV1263">
        <v>0</v>
      </c>
      <c r="AW1263">
        <v>0</v>
      </c>
      <c r="AX1263">
        <v>0</v>
      </c>
      <c r="AY1263">
        <v>11</v>
      </c>
      <c r="AZ1263">
        <v>0</v>
      </c>
      <c r="BA1263">
        <v>7</v>
      </c>
      <c r="BB1263">
        <v>2</v>
      </c>
      <c r="BC1263">
        <v>4</v>
      </c>
      <c r="BD1263">
        <v>0</v>
      </c>
      <c r="BE1263">
        <v>0</v>
      </c>
      <c r="BF1263">
        <v>0</v>
      </c>
      <c r="BG1263">
        <v>2</v>
      </c>
      <c r="BH1263">
        <v>0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15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C1263">
        <v>0</v>
      </c>
      <c r="DD1263">
        <v>0</v>
      </c>
      <c r="DE1263">
        <v>0</v>
      </c>
      <c r="DF1263">
        <v>0</v>
      </c>
      <c r="DH1263">
        <v>0</v>
      </c>
      <c r="DI1263">
        <v>0</v>
      </c>
    </row>
    <row r="1264" spans="1:113" ht="15" customHeight="1" x14ac:dyDescent="0.25">
      <c r="A1264" t="s">
        <v>5973</v>
      </c>
      <c r="B1264" t="s">
        <v>5974</v>
      </c>
      <c r="C1264" t="s">
        <v>5975</v>
      </c>
      <c r="D1264" t="s">
        <v>1655</v>
      </c>
      <c r="E1264" t="s">
        <v>1220</v>
      </c>
      <c r="F1264" t="s">
        <v>5976</v>
      </c>
      <c r="G1264">
        <v>2025</v>
      </c>
      <c r="H1264" t="s">
        <v>1160</v>
      </c>
      <c r="I1264" t="s">
        <v>140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Y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S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</v>
      </c>
      <c r="BU1264">
        <v>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C1264">
        <v>0</v>
      </c>
      <c r="DD1264">
        <v>0</v>
      </c>
      <c r="DE1264">
        <v>0</v>
      </c>
      <c r="DF1264">
        <v>0</v>
      </c>
      <c r="DH1264">
        <v>0</v>
      </c>
      <c r="DI1264">
        <v>0</v>
      </c>
    </row>
    <row r="1265" spans="1:113" ht="15" customHeight="1" x14ac:dyDescent="0.25">
      <c r="A1265" t="s">
        <v>5977</v>
      </c>
      <c r="B1265" t="s">
        <v>5978</v>
      </c>
      <c r="C1265" t="s">
        <v>5979</v>
      </c>
      <c r="D1265" t="s">
        <v>1350</v>
      </c>
      <c r="E1265" t="s">
        <v>1307</v>
      </c>
      <c r="F1265" t="s">
        <v>5980</v>
      </c>
      <c r="G1265">
        <v>2025</v>
      </c>
      <c r="H1265" t="s">
        <v>1160</v>
      </c>
      <c r="I1265" t="s">
        <v>141</v>
      </c>
      <c r="J1265">
        <v>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Y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S1265">
        <v>0</v>
      </c>
      <c r="AU1265">
        <v>0</v>
      </c>
      <c r="AV1265">
        <v>0</v>
      </c>
      <c r="AW1265">
        <v>0</v>
      </c>
      <c r="AX1265">
        <v>0</v>
      </c>
      <c r="AY1265">
        <v>16</v>
      </c>
      <c r="AZ1265">
        <v>1</v>
      </c>
      <c r="BA1265">
        <v>11</v>
      </c>
      <c r="BB1265">
        <v>1</v>
      </c>
      <c r="BC1265">
        <v>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1</v>
      </c>
      <c r="BR1265">
        <v>1</v>
      </c>
      <c r="BS1265">
        <v>0</v>
      </c>
      <c r="BT1265">
        <v>1</v>
      </c>
      <c r="BU1265">
        <v>21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C1265">
        <v>0</v>
      </c>
      <c r="DD1265">
        <v>0</v>
      </c>
      <c r="DE1265">
        <v>0</v>
      </c>
      <c r="DF1265">
        <v>0</v>
      </c>
      <c r="DH1265">
        <v>0</v>
      </c>
      <c r="DI1265">
        <v>0</v>
      </c>
    </row>
    <row r="1266" spans="1:113" ht="15" customHeight="1" x14ac:dyDescent="0.25">
      <c r="A1266" t="s">
        <v>5981</v>
      </c>
      <c r="B1266" t="s">
        <v>5982</v>
      </c>
      <c r="C1266" t="s">
        <v>5983</v>
      </c>
      <c r="D1266" t="s">
        <v>1684</v>
      </c>
      <c r="E1266" t="s">
        <v>1307</v>
      </c>
      <c r="F1266" t="s">
        <v>5984</v>
      </c>
      <c r="G1266">
        <v>2025</v>
      </c>
      <c r="H1266" t="s">
        <v>1160</v>
      </c>
      <c r="I1266" t="s">
        <v>106</v>
      </c>
      <c r="J1266">
        <v>16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Y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S1266">
        <v>0</v>
      </c>
      <c r="AU1266">
        <v>0</v>
      </c>
      <c r="AV1266">
        <v>0</v>
      </c>
      <c r="AW1266">
        <v>0</v>
      </c>
      <c r="AX1266">
        <v>0</v>
      </c>
      <c r="AY1266">
        <v>37</v>
      </c>
      <c r="AZ1266">
        <v>0</v>
      </c>
      <c r="BA1266">
        <v>21</v>
      </c>
      <c r="BB1266">
        <v>2</v>
      </c>
      <c r="BC1266">
        <v>8</v>
      </c>
      <c r="BD1266">
        <v>0</v>
      </c>
      <c r="BE1266">
        <v>2</v>
      </c>
      <c r="BF1266">
        <v>8</v>
      </c>
      <c r="BG1266">
        <v>1</v>
      </c>
      <c r="BH1266">
        <v>5</v>
      </c>
      <c r="BI1266">
        <v>107</v>
      </c>
      <c r="BJ1266">
        <v>9</v>
      </c>
      <c r="BK1266">
        <v>1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</v>
      </c>
      <c r="BU1266">
        <v>15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C1266">
        <v>0</v>
      </c>
      <c r="DD1266">
        <v>0</v>
      </c>
      <c r="DE1266">
        <v>0</v>
      </c>
      <c r="DF1266">
        <v>0</v>
      </c>
      <c r="DH1266">
        <v>0</v>
      </c>
      <c r="DI1266">
        <v>0</v>
      </c>
    </row>
    <row r="1267" spans="1:113" ht="15" customHeight="1" x14ac:dyDescent="0.25">
      <c r="A1267" t="s">
        <v>5985</v>
      </c>
      <c r="B1267" t="s">
        <v>5986</v>
      </c>
      <c r="C1267" t="s">
        <v>539</v>
      </c>
      <c r="D1267" t="s">
        <v>431</v>
      </c>
      <c r="E1267" t="s">
        <v>431</v>
      </c>
      <c r="F1267" t="s">
        <v>5987</v>
      </c>
      <c r="G1267">
        <v>2025</v>
      </c>
      <c r="H1267" t="s">
        <v>1160</v>
      </c>
      <c r="I1267" t="s">
        <v>107</v>
      </c>
      <c r="J1267">
        <v>17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Y1267">
        <v>0</v>
      </c>
      <c r="AA1267">
        <v>232</v>
      </c>
      <c r="AB1267">
        <v>1019</v>
      </c>
      <c r="AC1267">
        <v>6</v>
      </c>
      <c r="AD1267">
        <v>1</v>
      </c>
      <c r="AE1267">
        <v>0</v>
      </c>
      <c r="AF1267">
        <v>52</v>
      </c>
      <c r="AG1267">
        <v>-4.2413606580083698</v>
      </c>
      <c r="AH1267">
        <v>0</v>
      </c>
      <c r="AI1267">
        <v>69</v>
      </c>
      <c r="AJ1267">
        <v>88</v>
      </c>
      <c r="AK1267">
        <v>437</v>
      </c>
      <c r="AL1267">
        <v>5</v>
      </c>
      <c r="AM1267">
        <v>1</v>
      </c>
      <c r="AN1267">
        <v>0</v>
      </c>
      <c r="AO1267">
        <v>46</v>
      </c>
      <c r="AP1267">
        <v>450</v>
      </c>
      <c r="AQ1267">
        <v>18</v>
      </c>
      <c r="AR1267">
        <v>-10.3290834767274</v>
      </c>
      <c r="AS1267">
        <v>1</v>
      </c>
      <c r="AT1267">
        <v>9.5</v>
      </c>
      <c r="AU1267">
        <v>0.144736842105263</v>
      </c>
      <c r="AV1267">
        <v>9.7726789887401799E-3</v>
      </c>
      <c r="AW1267">
        <v>0.22394613845001299</v>
      </c>
      <c r="AX1267">
        <v>0</v>
      </c>
      <c r="AY1267">
        <v>3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</v>
      </c>
      <c r="BP1267">
        <v>1</v>
      </c>
      <c r="BQ1267">
        <v>0</v>
      </c>
      <c r="BR1267">
        <v>0</v>
      </c>
      <c r="BS1267">
        <v>0</v>
      </c>
      <c r="BT1267">
        <v>1</v>
      </c>
      <c r="BU1267">
        <v>10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C1267">
        <v>0</v>
      </c>
      <c r="DD1267">
        <v>0</v>
      </c>
      <c r="DE1267">
        <v>0</v>
      </c>
      <c r="DF1267">
        <v>0</v>
      </c>
      <c r="DH1267">
        <v>213.6</v>
      </c>
      <c r="DI1267">
        <v>282.60000000000002</v>
      </c>
    </row>
    <row r="1268" spans="1:113" ht="15" customHeight="1" x14ac:dyDescent="0.25">
      <c r="A1268" t="s">
        <v>5988</v>
      </c>
      <c r="B1268" t="s">
        <v>5989</v>
      </c>
      <c r="C1268" t="s">
        <v>5990</v>
      </c>
      <c r="D1268" t="s">
        <v>1234</v>
      </c>
      <c r="E1268" t="s">
        <v>1234</v>
      </c>
      <c r="F1268" t="s">
        <v>5991</v>
      </c>
      <c r="G1268">
        <v>2025</v>
      </c>
      <c r="H1268" t="s">
        <v>1160</v>
      </c>
      <c r="I1268" t="s">
        <v>121</v>
      </c>
      <c r="J1268">
        <v>17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Y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S1268">
        <v>0</v>
      </c>
      <c r="AU1268">
        <v>0</v>
      </c>
      <c r="AV1268">
        <v>0</v>
      </c>
      <c r="AW1268">
        <v>0</v>
      </c>
      <c r="AX1268">
        <v>0</v>
      </c>
      <c r="AY1268">
        <v>42</v>
      </c>
      <c r="AZ1268">
        <v>0</v>
      </c>
      <c r="BA1268">
        <v>53</v>
      </c>
      <c r="BB1268">
        <v>9</v>
      </c>
      <c r="BC1268">
        <v>38</v>
      </c>
      <c r="BD1268">
        <v>0</v>
      </c>
      <c r="BE1268">
        <v>2.5</v>
      </c>
      <c r="BF1268">
        <v>19.5</v>
      </c>
      <c r="BG1268">
        <v>4</v>
      </c>
      <c r="BH1268">
        <v>0</v>
      </c>
      <c r="BI1268">
        <v>0</v>
      </c>
      <c r="BJ1268">
        <v>4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1</v>
      </c>
      <c r="BR1268">
        <v>1</v>
      </c>
      <c r="BS1268">
        <v>0</v>
      </c>
      <c r="BT1268">
        <v>3</v>
      </c>
      <c r="BU1268">
        <v>26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C1268">
        <v>0</v>
      </c>
      <c r="DD1268">
        <v>0</v>
      </c>
      <c r="DE1268">
        <v>0</v>
      </c>
      <c r="DF1268">
        <v>0</v>
      </c>
      <c r="DH1268">
        <v>0</v>
      </c>
      <c r="DI1268">
        <v>0</v>
      </c>
    </row>
    <row r="1269" spans="1:113" ht="15" customHeight="1" x14ac:dyDescent="0.25">
      <c r="A1269" t="s">
        <v>5992</v>
      </c>
      <c r="B1269" t="s">
        <v>5993</v>
      </c>
      <c r="C1269" t="s">
        <v>5994</v>
      </c>
      <c r="D1269" t="s">
        <v>1234</v>
      </c>
      <c r="E1269" t="s">
        <v>1234</v>
      </c>
      <c r="F1269" t="s">
        <v>5995</v>
      </c>
      <c r="G1269">
        <v>2025</v>
      </c>
      <c r="H1269" t="s">
        <v>1160</v>
      </c>
      <c r="I1269" t="s">
        <v>90</v>
      </c>
      <c r="J1269">
        <v>13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Y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S1269">
        <v>0</v>
      </c>
      <c r="AU1269">
        <v>0</v>
      </c>
      <c r="AV1269">
        <v>0</v>
      </c>
      <c r="AW1269">
        <v>0</v>
      </c>
      <c r="AX1269">
        <v>0</v>
      </c>
      <c r="AY1269">
        <v>12</v>
      </c>
      <c r="AZ1269">
        <v>0</v>
      </c>
      <c r="BA1269">
        <v>15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2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1</v>
      </c>
      <c r="BU1269">
        <v>12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C1269">
        <v>0</v>
      </c>
      <c r="DD1269">
        <v>0</v>
      </c>
      <c r="DE1269">
        <v>0</v>
      </c>
      <c r="DF1269">
        <v>0</v>
      </c>
      <c r="DH1269">
        <v>0</v>
      </c>
      <c r="DI1269">
        <v>0</v>
      </c>
    </row>
    <row r="1270" spans="1:113" ht="15" customHeight="1" x14ac:dyDescent="0.25">
      <c r="A1270" t="s">
        <v>5996</v>
      </c>
      <c r="B1270" t="s">
        <v>5997</v>
      </c>
      <c r="C1270" t="s">
        <v>5998</v>
      </c>
      <c r="D1270" t="s">
        <v>1219</v>
      </c>
      <c r="E1270" t="s">
        <v>1220</v>
      </c>
      <c r="F1270" t="s">
        <v>5999</v>
      </c>
      <c r="G1270">
        <v>2025</v>
      </c>
      <c r="H1270" t="s">
        <v>1160</v>
      </c>
      <c r="I1270" t="s">
        <v>138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Y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S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2</v>
      </c>
      <c r="BU1270">
        <v>10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C1270">
        <v>0</v>
      </c>
      <c r="DD1270">
        <v>0</v>
      </c>
      <c r="DE1270">
        <v>0</v>
      </c>
      <c r="DF1270">
        <v>0</v>
      </c>
      <c r="DH1270">
        <v>0</v>
      </c>
      <c r="DI1270">
        <v>0</v>
      </c>
    </row>
    <row r="1271" spans="1:113" ht="15" customHeight="1" x14ac:dyDescent="0.25">
      <c r="A1271" t="s">
        <v>6000</v>
      </c>
      <c r="B1271" t="s">
        <v>6001</v>
      </c>
      <c r="C1271" t="s">
        <v>6002</v>
      </c>
      <c r="D1271" t="s">
        <v>1375</v>
      </c>
      <c r="E1271" t="s">
        <v>1307</v>
      </c>
      <c r="F1271" t="s">
        <v>6003</v>
      </c>
      <c r="G1271">
        <v>2025</v>
      </c>
      <c r="H1271" t="s">
        <v>1160</v>
      </c>
      <c r="I1271" t="s">
        <v>89</v>
      </c>
      <c r="J1271">
        <v>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Y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S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2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C1271">
        <v>0</v>
      </c>
      <c r="DD1271">
        <v>0</v>
      </c>
      <c r="DE1271">
        <v>0</v>
      </c>
      <c r="DF1271">
        <v>0</v>
      </c>
      <c r="DH1271">
        <v>0</v>
      </c>
      <c r="DI1271">
        <v>0</v>
      </c>
    </row>
    <row r="1272" spans="1:113" ht="15" customHeight="1" x14ac:dyDescent="0.25">
      <c r="A1272" t="s">
        <v>6004</v>
      </c>
      <c r="B1272" t="s">
        <v>6005</v>
      </c>
      <c r="C1272" t="s">
        <v>6006</v>
      </c>
      <c r="D1272" t="s">
        <v>1189</v>
      </c>
      <c r="E1272" t="s">
        <v>1190</v>
      </c>
      <c r="F1272" t="s">
        <v>6007</v>
      </c>
      <c r="G1272">
        <v>2025</v>
      </c>
      <c r="H1272" t="s">
        <v>1160</v>
      </c>
      <c r="I1272" t="s">
        <v>141</v>
      </c>
      <c r="J1272">
        <v>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Y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S1272">
        <v>0</v>
      </c>
      <c r="AU1272">
        <v>0</v>
      </c>
      <c r="AV1272">
        <v>0</v>
      </c>
      <c r="AW1272">
        <v>0</v>
      </c>
      <c r="AX1272">
        <v>0</v>
      </c>
      <c r="AY1272">
        <v>3</v>
      </c>
      <c r="AZ1272">
        <v>0</v>
      </c>
      <c r="BA1272">
        <v>11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C1272">
        <v>0</v>
      </c>
      <c r="DD1272">
        <v>0</v>
      </c>
      <c r="DE1272">
        <v>0</v>
      </c>
      <c r="DF1272">
        <v>0</v>
      </c>
      <c r="DH1272">
        <v>0</v>
      </c>
      <c r="DI1272">
        <v>0</v>
      </c>
    </row>
    <row r="1273" spans="1:113" ht="15" customHeight="1" x14ac:dyDescent="0.25">
      <c r="A1273" t="s">
        <v>6008</v>
      </c>
      <c r="B1273" t="s">
        <v>6009</v>
      </c>
      <c r="C1273" t="s">
        <v>6010</v>
      </c>
      <c r="D1273" t="s">
        <v>1684</v>
      </c>
      <c r="E1273" t="s">
        <v>1307</v>
      </c>
      <c r="F1273" t="s">
        <v>6011</v>
      </c>
      <c r="G1273">
        <v>2025</v>
      </c>
      <c r="H1273" t="s">
        <v>1160</v>
      </c>
      <c r="I1273" t="s">
        <v>115</v>
      </c>
      <c r="J1273">
        <v>12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Y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S1273">
        <v>0</v>
      </c>
      <c r="AU1273">
        <v>0</v>
      </c>
      <c r="AV1273">
        <v>0</v>
      </c>
      <c r="AW1273">
        <v>0</v>
      </c>
      <c r="AX1273">
        <v>0</v>
      </c>
      <c r="AY1273">
        <v>8</v>
      </c>
      <c r="AZ1273">
        <v>0</v>
      </c>
      <c r="BA1273">
        <v>4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5</v>
      </c>
      <c r="BU1273">
        <v>53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C1273">
        <v>0</v>
      </c>
      <c r="DD1273">
        <v>0</v>
      </c>
      <c r="DE1273">
        <v>0</v>
      </c>
      <c r="DF1273">
        <v>0</v>
      </c>
      <c r="DH1273">
        <v>0</v>
      </c>
      <c r="DI1273">
        <v>0</v>
      </c>
    </row>
    <row r="1274" spans="1:113" ht="15" customHeight="1" x14ac:dyDescent="0.25">
      <c r="A1274" t="s">
        <v>6012</v>
      </c>
      <c r="B1274" t="s">
        <v>6013</v>
      </c>
      <c r="C1274" t="s">
        <v>704</v>
      </c>
      <c r="D1274" t="s">
        <v>10</v>
      </c>
      <c r="E1274" t="s">
        <v>10</v>
      </c>
      <c r="F1274" t="s">
        <v>6014</v>
      </c>
      <c r="G1274">
        <v>2025</v>
      </c>
      <c r="H1274" t="s">
        <v>1160</v>
      </c>
      <c r="I1274" t="s">
        <v>106</v>
      </c>
      <c r="J1274">
        <v>16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Y1274">
        <v>0</v>
      </c>
      <c r="AA1274">
        <v>7</v>
      </c>
      <c r="AB1274">
        <v>0</v>
      </c>
      <c r="AC1274">
        <v>0</v>
      </c>
      <c r="AD1274">
        <v>0</v>
      </c>
      <c r="AE1274">
        <v>0</v>
      </c>
      <c r="AF1274">
        <v>2</v>
      </c>
      <c r="AG1274">
        <v>-1.42254256390802</v>
      </c>
      <c r="AH1274">
        <v>0</v>
      </c>
      <c r="AI1274">
        <v>58</v>
      </c>
      <c r="AJ1274">
        <v>95</v>
      </c>
      <c r="AK1274">
        <v>847</v>
      </c>
      <c r="AL1274">
        <v>5</v>
      </c>
      <c r="AM1274">
        <v>0</v>
      </c>
      <c r="AN1274">
        <v>0</v>
      </c>
      <c r="AO1274">
        <v>1187</v>
      </c>
      <c r="AP1274">
        <v>265</v>
      </c>
      <c r="AQ1274">
        <v>37</v>
      </c>
      <c r="AR1274">
        <v>29.718381770590799</v>
      </c>
      <c r="AS1274">
        <v>0</v>
      </c>
      <c r="AT1274">
        <v>0.71356360572872801</v>
      </c>
      <c r="AU1274">
        <v>0.17367458866544799</v>
      </c>
      <c r="AV1274">
        <v>0.24323770491803301</v>
      </c>
      <c r="AW1274">
        <v>0.43077827644079503</v>
      </c>
      <c r="AX1274">
        <v>2</v>
      </c>
      <c r="AY1274">
        <v>2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3</v>
      </c>
      <c r="BM1274">
        <v>0</v>
      </c>
      <c r="BN1274">
        <v>0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25</v>
      </c>
      <c r="BW1274">
        <v>341</v>
      </c>
      <c r="BX1274">
        <v>3</v>
      </c>
      <c r="BY1274">
        <v>75</v>
      </c>
      <c r="BZ1274">
        <v>0</v>
      </c>
      <c r="CA1274">
        <v>0</v>
      </c>
      <c r="CB1274">
        <v>0</v>
      </c>
      <c r="CC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C1274">
        <v>0</v>
      </c>
      <c r="DD1274">
        <v>0</v>
      </c>
      <c r="DE1274">
        <v>0</v>
      </c>
      <c r="DF1274">
        <v>0</v>
      </c>
      <c r="DH1274">
        <v>126.7</v>
      </c>
      <c r="DI1274">
        <v>184.7</v>
      </c>
    </row>
    <row r="1275" spans="1:113" ht="15" customHeight="1" x14ac:dyDescent="0.25">
      <c r="A1275" t="s">
        <v>6015</v>
      </c>
      <c r="B1275" t="s">
        <v>6016</v>
      </c>
      <c r="C1275" t="s">
        <v>812</v>
      </c>
      <c r="D1275" t="s">
        <v>10</v>
      </c>
      <c r="E1275" t="s">
        <v>10</v>
      </c>
      <c r="F1275" t="s">
        <v>6017</v>
      </c>
      <c r="G1275">
        <v>2025</v>
      </c>
      <c r="H1275" t="s">
        <v>1160</v>
      </c>
      <c r="I1275" t="s">
        <v>114</v>
      </c>
      <c r="J1275">
        <v>14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Y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H1275">
        <v>0</v>
      </c>
      <c r="AI1275">
        <v>33</v>
      </c>
      <c r="AJ1275">
        <v>46</v>
      </c>
      <c r="AK1275">
        <v>551</v>
      </c>
      <c r="AL1275">
        <v>6</v>
      </c>
      <c r="AM1275">
        <v>0</v>
      </c>
      <c r="AN1275">
        <v>0</v>
      </c>
      <c r="AO1275">
        <v>781</v>
      </c>
      <c r="AP1275">
        <v>38</v>
      </c>
      <c r="AQ1275">
        <v>27</v>
      </c>
      <c r="AR1275">
        <v>36.8603411761869</v>
      </c>
      <c r="AS1275">
        <v>0</v>
      </c>
      <c r="AT1275">
        <v>0.70550576184378999</v>
      </c>
      <c r="AU1275">
        <v>9.5435684647302899E-2</v>
      </c>
      <c r="AV1275">
        <v>0.16934084995663501</v>
      </c>
      <c r="AW1275">
        <v>0.26169212194059899</v>
      </c>
      <c r="AX1275">
        <v>0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3</v>
      </c>
      <c r="BU1275">
        <v>30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C1275">
        <v>0</v>
      </c>
      <c r="DD1275">
        <v>0</v>
      </c>
      <c r="DE1275">
        <v>0</v>
      </c>
      <c r="DF1275">
        <v>0</v>
      </c>
      <c r="DH1275">
        <v>91.1</v>
      </c>
      <c r="DI1275">
        <v>124.1</v>
      </c>
    </row>
    <row r="1276" spans="1:113" ht="15" customHeight="1" x14ac:dyDescent="0.25">
      <c r="A1276" t="s">
        <v>6018</v>
      </c>
      <c r="B1276" t="s">
        <v>6019</v>
      </c>
      <c r="C1276" t="s">
        <v>6020</v>
      </c>
      <c r="D1276" t="s">
        <v>1655</v>
      </c>
      <c r="E1276" t="s">
        <v>1220</v>
      </c>
      <c r="F1276" t="s">
        <v>6021</v>
      </c>
      <c r="G1276">
        <v>2025</v>
      </c>
      <c r="H1276" t="s">
        <v>1160</v>
      </c>
      <c r="I1276" t="s">
        <v>109</v>
      </c>
      <c r="J1276">
        <v>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Y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-0.24714013846823901</v>
      </c>
      <c r="AS1276">
        <v>0</v>
      </c>
      <c r="AT1276">
        <v>0</v>
      </c>
      <c r="AU1276">
        <v>1.91570881226054E-3</v>
      </c>
      <c r="AV1276">
        <v>2.6420079260237802E-4</v>
      </c>
      <c r="AW1276">
        <v>3.0585037732124699E-3</v>
      </c>
      <c r="AX1276">
        <v>0</v>
      </c>
      <c r="AY1276">
        <v>1</v>
      </c>
      <c r="AZ1276">
        <v>0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4</v>
      </c>
      <c r="BU1276">
        <v>30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C1276">
        <v>0</v>
      </c>
      <c r="DD1276">
        <v>0</v>
      </c>
      <c r="DE1276">
        <v>0</v>
      </c>
      <c r="DF1276">
        <v>0</v>
      </c>
      <c r="DH1276">
        <v>0</v>
      </c>
      <c r="DI1276">
        <v>0</v>
      </c>
    </row>
    <row r="1277" spans="1:113" ht="15" customHeight="1" x14ac:dyDescent="0.25">
      <c r="A1277" t="s">
        <v>6022</v>
      </c>
      <c r="B1277" t="s">
        <v>6023</v>
      </c>
      <c r="C1277" t="s">
        <v>6024</v>
      </c>
      <c r="D1277" t="s">
        <v>1209</v>
      </c>
      <c r="E1277" t="s">
        <v>1169</v>
      </c>
      <c r="F1277" t="s">
        <v>6025</v>
      </c>
      <c r="G1277">
        <v>2025</v>
      </c>
      <c r="H1277" t="s">
        <v>1160</v>
      </c>
      <c r="I1277" t="s">
        <v>114</v>
      </c>
      <c r="J1277">
        <v>17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Y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S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C1277">
        <v>0</v>
      </c>
      <c r="DD1277">
        <v>0</v>
      </c>
      <c r="DE1277">
        <v>0</v>
      </c>
      <c r="DF1277">
        <v>0</v>
      </c>
      <c r="DH1277">
        <v>0</v>
      </c>
      <c r="DI1277">
        <v>0</v>
      </c>
    </row>
    <row r="1278" spans="1:113" ht="15" customHeight="1" x14ac:dyDescent="0.25">
      <c r="A1278" t="s">
        <v>6026</v>
      </c>
      <c r="B1278" t="s">
        <v>6027</v>
      </c>
      <c r="C1278" t="s">
        <v>699</v>
      </c>
      <c r="D1278" t="s">
        <v>431</v>
      </c>
      <c r="E1278" t="s">
        <v>431</v>
      </c>
      <c r="F1278" t="s">
        <v>6028</v>
      </c>
      <c r="G1278">
        <v>2025</v>
      </c>
      <c r="H1278" t="s">
        <v>1160</v>
      </c>
      <c r="I1278" t="s">
        <v>143</v>
      </c>
      <c r="J1278">
        <v>12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Y1278">
        <v>0</v>
      </c>
      <c r="AA1278">
        <v>112</v>
      </c>
      <c r="AB1278">
        <v>500</v>
      </c>
      <c r="AC1278">
        <v>6</v>
      </c>
      <c r="AD1278">
        <v>0</v>
      </c>
      <c r="AE1278">
        <v>0</v>
      </c>
      <c r="AF1278">
        <v>32</v>
      </c>
      <c r="AG1278">
        <v>6.1975157681736199</v>
      </c>
      <c r="AH1278">
        <v>0</v>
      </c>
      <c r="AI1278">
        <v>3</v>
      </c>
      <c r="AJ1278">
        <v>4</v>
      </c>
      <c r="AK1278">
        <v>30</v>
      </c>
      <c r="AL1278">
        <v>0</v>
      </c>
      <c r="AM1278">
        <v>0</v>
      </c>
      <c r="AN1278">
        <v>0</v>
      </c>
      <c r="AO1278">
        <v>16</v>
      </c>
      <c r="AP1278">
        <v>26</v>
      </c>
      <c r="AQ1278">
        <v>1</v>
      </c>
      <c r="AR1278">
        <v>-3.3000503968796702</v>
      </c>
      <c r="AS1278">
        <v>0</v>
      </c>
      <c r="AT1278">
        <v>1.875</v>
      </c>
      <c r="AU1278">
        <v>9.2592592592592605E-3</v>
      </c>
      <c r="AV1278">
        <v>4.0020010005002498E-3</v>
      </c>
      <c r="AW1278">
        <v>1.6690289589239099E-2</v>
      </c>
      <c r="AX1278">
        <v>0</v>
      </c>
      <c r="AY1278">
        <v>2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1</v>
      </c>
      <c r="BU1278">
        <v>5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C1278">
        <v>0</v>
      </c>
      <c r="DD1278">
        <v>0</v>
      </c>
      <c r="DE1278">
        <v>0</v>
      </c>
      <c r="DF1278">
        <v>0</v>
      </c>
      <c r="DH1278">
        <v>89</v>
      </c>
      <c r="DI1278">
        <v>92</v>
      </c>
    </row>
    <row r="1279" spans="1:113" ht="15" customHeight="1" x14ac:dyDescent="0.25">
      <c r="A1279" t="s">
        <v>6029</v>
      </c>
      <c r="B1279" t="s">
        <v>1661</v>
      </c>
      <c r="C1279" t="s">
        <v>6030</v>
      </c>
      <c r="D1279" t="s">
        <v>1684</v>
      </c>
      <c r="E1279" t="s">
        <v>1307</v>
      </c>
      <c r="F1279" t="s">
        <v>6031</v>
      </c>
      <c r="G1279">
        <v>2025</v>
      </c>
      <c r="H1279" t="s">
        <v>1160</v>
      </c>
      <c r="I1279" t="s">
        <v>142</v>
      </c>
      <c r="J1279">
        <v>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Y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S1279">
        <v>0</v>
      </c>
      <c r="AU1279">
        <v>0</v>
      </c>
      <c r="AV1279">
        <v>0</v>
      </c>
      <c r="AW1279">
        <v>0</v>
      </c>
      <c r="AX1279">
        <v>0</v>
      </c>
      <c r="AY1279">
        <v>6</v>
      </c>
      <c r="AZ1279">
        <v>0</v>
      </c>
      <c r="BA1279">
        <v>4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</v>
      </c>
      <c r="BU1279">
        <v>10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C1279">
        <v>0</v>
      </c>
      <c r="DD1279">
        <v>0</v>
      </c>
      <c r="DE1279">
        <v>0</v>
      </c>
      <c r="DF1279">
        <v>0</v>
      </c>
      <c r="DH1279">
        <v>0</v>
      </c>
      <c r="DI1279">
        <v>0</v>
      </c>
    </row>
    <row r="1280" spans="1:113" ht="15" customHeight="1" x14ac:dyDescent="0.25">
      <c r="A1280" t="s">
        <v>6032</v>
      </c>
      <c r="B1280" t="s">
        <v>6033</v>
      </c>
      <c r="C1280" t="s">
        <v>6034</v>
      </c>
      <c r="D1280" t="s">
        <v>1243</v>
      </c>
      <c r="E1280" t="s">
        <v>1190</v>
      </c>
      <c r="F1280" t="s">
        <v>6035</v>
      </c>
      <c r="G1280">
        <v>2025</v>
      </c>
      <c r="H1280" t="s">
        <v>1160</v>
      </c>
      <c r="I1280" t="s">
        <v>131</v>
      </c>
      <c r="J1280">
        <v>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Y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H1280">
        <v>0</v>
      </c>
      <c r="AI1280">
        <v>4</v>
      </c>
      <c r="AJ1280">
        <v>4</v>
      </c>
      <c r="AK1280">
        <v>12</v>
      </c>
      <c r="AL1280">
        <v>1</v>
      </c>
      <c r="AM1280">
        <v>0</v>
      </c>
      <c r="AN1280">
        <v>0</v>
      </c>
      <c r="AO1280">
        <v>0</v>
      </c>
      <c r="AP1280">
        <v>12</v>
      </c>
      <c r="AQ1280">
        <v>1</v>
      </c>
      <c r="AR1280">
        <v>0.784450993407518</v>
      </c>
      <c r="AS1280">
        <v>0</v>
      </c>
      <c r="AT1280">
        <v>0</v>
      </c>
      <c r="AU1280">
        <v>7.3529411764705899E-3</v>
      </c>
      <c r="AV1280">
        <v>0</v>
      </c>
      <c r="AW1280">
        <v>1.10294117647059E-2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1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C1280">
        <v>0</v>
      </c>
      <c r="DD1280">
        <v>0</v>
      </c>
      <c r="DE1280">
        <v>0</v>
      </c>
      <c r="DF1280">
        <v>0</v>
      </c>
      <c r="DH1280">
        <v>7.2</v>
      </c>
      <c r="DI1280">
        <v>11.2</v>
      </c>
    </row>
    <row r="1281" spans="1:113" ht="15" customHeight="1" x14ac:dyDescent="0.25">
      <c r="A1281" t="s">
        <v>6036</v>
      </c>
      <c r="B1281" t="s">
        <v>4299</v>
      </c>
      <c r="C1281" t="s">
        <v>6037</v>
      </c>
      <c r="D1281" t="s">
        <v>1655</v>
      </c>
      <c r="E1281" t="s">
        <v>1220</v>
      </c>
      <c r="F1281" t="s">
        <v>6038</v>
      </c>
      <c r="G1281">
        <v>2025</v>
      </c>
      <c r="H1281" t="s">
        <v>1160</v>
      </c>
      <c r="I1281" t="s">
        <v>121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Y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S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</v>
      </c>
      <c r="BU1281">
        <v>5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C1281">
        <v>0</v>
      </c>
      <c r="DD1281">
        <v>0</v>
      </c>
      <c r="DE1281">
        <v>0</v>
      </c>
      <c r="DF1281">
        <v>0</v>
      </c>
      <c r="DH1281">
        <v>0</v>
      </c>
      <c r="DI1281">
        <v>0</v>
      </c>
    </row>
    <row r="1282" spans="1:113" ht="15" customHeight="1" x14ac:dyDescent="0.25">
      <c r="A1282" t="s">
        <v>6039</v>
      </c>
      <c r="B1282" t="s">
        <v>6040</v>
      </c>
      <c r="C1282" t="s">
        <v>6041</v>
      </c>
      <c r="D1282" t="s">
        <v>1350</v>
      </c>
      <c r="E1282" t="s">
        <v>1307</v>
      </c>
      <c r="F1282" t="s">
        <v>6042</v>
      </c>
      <c r="G1282">
        <v>2025</v>
      </c>
      <c r="H1282" t="s">
        <v>1160</v>
      </c>
      <c r="I1282" t="s">
        <v>106</v>
      </c>
      <c r="J1282">
        <v>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Y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>
        <v>0</v>
      </c>
      <c r="AU1282">
        <v>0</v>
      </c>
      <c r="AV1282">
        <v>0</v>
      </c>
      <c r="AW1282">
        <v>0</v>
      </c>
      <c r="AX1282">
        <v>0</v>
      </c>
      <c r="AY1282">
        <v>11</v>
      </c>
      <c r="AZ1282">
        <v>0</v>
      </c>
      <c r="BA1282">
        <v>3</v>
      </c>
      <c r="BB1282">
        <v>2</v>
      </c>
      <c r="BC1282">
        <v>5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3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C1282">
        <v>0</v>
      </c>
      <c r="DD1282">
        <v>0</v>
      </c>
      <c r="DE1282">
        <v>0</v>
      </c>
      <c r="DF1282">
        <v>0</v>
      </c>
      <c r="DH1282">
        <v>0</v>
      </c>
      <c r="DI1282">
        <v>0</v>
      </c>
    </row>
    <row r="1283" spans="1:113" ht="15" customHeight="1" x14ac:dyDescent="0.25">
      <c r="A1283" t="s">
        <v>6043</v>
      </c>
      <c r="B1283" t="s">
        <v>6044</v>
      </c>
      <c r="C1283" t="s">
        <v>654</v>
      </c>
      <c r="D1283" t="s">
        <v>10</v>
      </c>
      <c r="E1283" t="s">
        <v>10</v>
      </c>
      <c r="F1283" t="s">
        <v>6045</v>
      </c>
      <c r="G1283">
        <v>2025</v>
      </c>
      <c r="H1283" t="s">
        <v>1160</v>
      </c>
      <c r="I1283" t="s">
        <v>121</v>
      </c>
      <c r="J1283">
        <v>16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Y1283">
        <v>0</v>
      </c>
      <c r="AA1283">
        <v>3</v>
      </c>
      <c r="AB1283">
        <v>22</v>
      </c>
      <c r="AC1283">
        <v>0</v>
      </c>
      <c r="AD1283">
        <v>0</v>
      </c>
      <c r="AE1283">
        <v>0</v>
      </c>
      <c r="AF1283">
        <v>2</v>
      </c>
      <c r="AG1283">
        <v>1.7993542412878001</v>
      </c>
      <c r="AH1283">
        <v>0</v>
      </c>
      <c r="AI1283">
        <v>35</v>
      </c>
      <c r="AJ1283">
        <v>57</v>
      </c>
      <c r="AK1283">
        <v>428</v>
      </c>
      <c r="AL1283">
        <v>3</v>
      </c>
      <c r="AM1283">
        <v>0</v>
      </c>
      <c r="AN1283">
        <v>0</v>
      </c>
      <c r="AO1283">
        <v>584</v>
      </c>
      <c r="AP1283">
        <v>146</v>
      </c>
      <c r="AQ1283">
        <v>19</v>
      </c>
      <c r="AR1283">
        <v>12.8855666665117</v>
      </c>
      <c r="AS1283">
        <v>0</v>
      </c>
      <c r="AT1283">
        <v>0.73287671232876705</v>
      </c>
      <c r="AU1283">
        <v>0.10307414104882499</v>
      </c>
      <c r="AV1283">
        <v>0.122560335781742</v>
      </c>
      <c r="AW1283">
        <v>0.24040344662045601</v>
      </c>
      <c r="AX1283">
        <v>0</v>
      </c>
      <c r="AY1283">
        <v>2</v>
      </c>
      <c r="AZ1283">
        <v>0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2</v>
      </c>
      <c r="BU1283">
        <v>20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C1283">
        <v>0</v>
      </c>
      <c r="DD1283">
        <v>0</v>
      </c>
      <c r="DE1283">
        <v>0</v>
      </c>
      <c r="DF1283">
        <v>0</v>
      </c>
      <c r="DH1283">
        <v>63</v>
      </c>
      <c r="DI1283">
        <v>98</v>
      </c>
    </row>
    <row r="1284" spans="1:113" ht="15" customHeight="1" x14ac:dyDescent="0.25">
      <c r="A1284" t="s">
        <v>6046</v>
      </c>
      <c r="B1284" t="s">
        <v>6047</v>
      </c>
      <c r="C1284" t="s">
        <v>545</v>
      </c>
      <c r="D1284" t="s">
        <v>10</v>
      </c>
      <c r="E1284" t="s">
        <v>10</v>
      </c>
      <c r="F1284" t="s">
        <v>6048</v>
      </c>
      <c r="G1284">
        <v>2025</v>
      </c>
      <c r="H1284" t="s">
        <v>1160</v>
      </c>
      <c r="I1284" t="s">
        <v>107</v>
      </c>
      <c r="J1284">
        <v>15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Y1284">
        <v>0</v>
      </c>
      <c r="AA1284">
        <v>3</v>
      </c>
      <c r="AB1284">
        <v>14</v>
      </c>
      <c r="AC1284">
        <v>0</v>
      </c>
      <c r="AD1284">
        <v>0</v>
      </c>
      <c r="AE1284">
        <v>0</v>
      </c>
      <c r="AF1284">
        <v>0</v>
      </c>
      <c r="AG1284">
        <v>-0.148516630753875</v>
      </c>
      <c r="AH1284">
        <v>0</v>
      </c>
      <c r="AI1284">
        <v>33</v>
      </c>
      <c r="AJ1284">
        <v>58</v>
      </c>
      <c r="AK1284">
        <v>435</v>
      </c>
      <c r="AL1284">
        <v>2</v>
      </c>
      <c r="AM1284">
        <v>0</v>
      </c>
      <c r="AN1284">
        <v>0</v>
      </c>
      <c r="AO1284">
        <v>606</v>
      </c>
      <c r="AP1284">
        <v>103</v>
      </c>
      <c r="AQ1284">
        <v>24</v>
      </c>
      <c r="AR1284">
        <v>11.6767575653411</v>
      </c>
      <c r="AS1284">
        <v>0</v>
      </c>
      <c r="AT1284">
        <v>0.71782178217821802</v>
      </c>
      <c r="AU1284">
        <v>9.5394736842105296E-2</v>
      </c>
      <c r="AV1284">
        <v>0.12874442319949</v>
      </c>
      <c r="AW1284">
        <v>0.233213201502801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</v>
      </c>
      <c r="BU1284">
        <v>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C1284">
        <v>0</v>
      </c>
      <c r="DD1284">
        <v>0</v>
      </c>
      <c r="DE1284">
        <v>0</v>
      </c>
      <c r="DF1284">
        <v>0</v>
      </c>
      <c r="DH1284">
        <v>56.9</v>
      </c>
      <c r="DI1284">
        <v>89.9</v>
      </c>
    </row>
    <row r="1285" spans="1:113" ht="15" customHeight="1" x14ac:dyDescent="0.25">
      <c r="A1285" t="s">
        <v>6049</v>
      </c>
      <c r="B1285" t="s">
        <v>6050</v>
      </c>
      <c r="C1285" t="s">
        <v>6051</v>
      </c>
      <c r="D1285" t="s">
        <v>1684</v>
      </c>
      <c r="E1285" t="s">
        <v>1307</v>
      </c>
      <c r="F1285" t="s">
        <v>6052</v>
      </c>
      <c r="G1285">
        <v>2025</v>
      </c>
      <c r="H1285" t="s">
        <v>1160</v>
      </c>
      <c r="I1285" t="s">
        <v>142</v>
      </c>
      <c r="J1285">
        <v>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Y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S1285">
        <v>0</v>
      </c>
      <c r="AU1285">
        <v>0</v>
      </c>
      <c r="AV1285">
        <v>0</v>
      </c>
      <c r="AW1285">
        <v>0</v>
      </c>
      <c r="AX1285">
        <v>0</v>
      </c>
      <c r="AY1285">
        <v>12</v>
      </c>
      <c r="AZ1285">
        <v>0</v>
      </c>
      <c r="BA1285">
        <v>10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1</v>
      </c>
      <c r="BU1285">
        <v>5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C1285">
        <v>0</v>
      </c>
      <c r="DD1285">
        <v>0</v>
      </c>
      <c r="DE1285">
        <v>0</v>
      </c>
      <c r="DF1285">
        <v>0</v>
      </c>
      <c r="DH1285">
        <v>0</v>
      </c>
      <c r="DI1285">
        <v>0</v>
      </c>
    </row>
    <row r="1286" spans="1:113" ht="15" customHeight="1" x14ac:dyDescent="0.25">
      <c r="A1286" t="s">
        <v>6053</v>
      </c>
      <c r="B1286" t="s">
        <v>6054</v>
      </c>
      <c r="C1286" t="s">
        <v>816</v>
      </c>
      <c r="D1286" t="s">
        <v>10</v>
      </c>
      <c r="E1286" t="s">
        <v>10</v>
      </c>
      <c r="F1286" t="s">
        <v>6055</v>
      </c>
      <c r="G1286">
        <v>2025</v>
      </c>
      <c r="H1286" t="s">
        <v>1160</v>
      </c>
      <c r="I1286" t="s">
        <v>114</v>
      </c>
      <c r="J1286">
        <v>16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Y1286">
        <v>0</v>
      </c>
      <c r="AA1286">
        <v>7</v>
      </c>
      <c r="AB1286">
        <v>21</v>
      </c>
      <c r="AC1286">
        <v>0</v>
      </c>
      <c r="AD1286">
        <v>0</v>
      </c>
      <c r="AE1286">
        <v>0</v>
      </c>
      <c r="AF1286">
        <v>2</v>
      </c>
      <c r="AG1286">
        <v>-0.96724298887420401</v>
      </c>
      <c r="AH1286">
        <v>0</v>
      </c>
      <c r="AI1286">
        <v>31</v>
      </c>
      <c r="AJ1286">
        <v>46</v>
      </c>
      <c r="AK1286">
        <v>447</v>
      </c>
      <c r="AL1286">
        <v>3</v>
      </c>
      <c r="AM1286">
        <v>0</v>
      </c>
      <c r="AN1286">
        <v>0</v>
      </c>
      <c r="AO1286">
        <v>445</v>
      </c>
      <c r="AP1286">
        <v>214</v>
      </c>
      <c r="AQ1286">
        <v>17</v>
      </c>
      <c r="AR1286">
        <v>28.142252345996901</v>
      </c>
      <c r="AS1286">
        <v>0</v>
      </c>
      <c r="AT1286">
        <v>1.0044943820224701</v>
      </c>
      <c r="AU1286">
        <v>9.5435684647302899E-2</v>
      </c>
      <c r="AV1286">
        <v>9.64874241110147E-2</v>
      </c>
      <c r="AW1286">
        <v>0.210694723848665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C1286">
        <v>0</v>
      </c>
      <c r="DD1286">
        <v>0</v>
      </c>
      <c r="DE1286">
        <v>0</v>
      </c>
      <c r="DF1286">
        <v>0</v>
      </c>
      <c r="DH1286">
        <v>64.8</v>
      </c>
      <c r="DI1286">
        <v>95.8</v>
      </c>
    </row>
    <row r="1287" spans="1:113" ht="15" customHeight="1" x14ac:dyDescent="0.25">
      <c r="A1287" t="s">
        <v>6056</v>
      </c>
      <c r="B1287" t="s">
        <v>6057</v>
      </c>
      <c r="C1287" t="s">
        <v>6058</v>
      </c>
      <c r="D1287" t="s">
        <v>1243</v>
      </c>
      <c r="E1287" t="s">
        <v>1190</v>
      </c>
      <c r="F1287" t="s">
        <v>6059</v>
      </c>
      <c r="G1287">
        <v>2025</v>
      </c>
      <c r="H1287" t="s">
        <v>1160</v>
      </c>
      <c r="I1287" t="s">
        <v>90</v>
      </c>
      <c r="J1287">
        <v>15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Y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S1287">
        <v>0</v>
      </c>
      <c r="AU1287">
        <v>0</v>
      </c>
      <c r="AV1287">
        <v>0</v>
      </c>
      <c r="AW1287">
        <v>0</v>
      </c>
      <c r="AX1287">
        <v>0</v>
      </c>
      <c r="AY1287">
        <v>17</v>
      </c>
      <c r="AZ1287">
        <v>0</v>
      </c>
      <c r="BA1287">
        <v>17</v>
      </c>
      <c r="BB1287">
        <v>2</v>
      </c>
      <c r="BC1287">
        <v>6</v>
      </c>
      <c r="BD1287">
        <v>0</v>
      </c>
      <c r="BE1287">
        <v>0</v>
      </c>
      <c r="BF1287">
        <v>0</v>
      </c>
      <c r="BG1287">
        <v>2</v>
      </c>
      <c r="BH1287">
        <v>0</v>
      </c>
      <c r="BI1287">
        <v>0</v>
      </c>
      <c r="BJ1287">
        <v>1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3</v>
      </c>
      <c r="BU1287">
        <v>20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C1287">
        <v>0</v>
      </c>
      <c r="DD1287">
        <v>0</v>
      </c>
      <c r="DE1287">
        <v>0</v>
      </c>
      <c r="DF1287">
        <v>0</v>
      </c>
      <c r="DH1287">
        <v>0</v>
      </c>
      <c r="DI1287">
        <v>0</v>
      </c>
    </row>
    <row r="1288" spans="1:113" ht="15" customHeight="1" x14ac:dyDescent="0.25">
      <c r="A1288" t="s">
        <v>6060</v>
      </c>
      <c r="B1288" t="s">
        <v>6061</v>
      </c>
      <c r="C1288" t="s">
        <v>6062</v>
      </c>
      <c r="D1288" t="s">
        <v>1307</v>
      </c>
      <c r="E1288" t="s">
        <v>1307</v>
      </c>
      <c r="F1288" t="s">
        <v>6063</v>
      </c>
      <c r="G1288">
        <v>2025</v>
      </c>
      <c r="H1288" t="s">
        <v>1160</v>
      </c>
      <c r="I1288" t="s">
        <v>121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Y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S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1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1</v>
      </c>
      <c r="BU1288">
        <v>5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C1288">
        <v>0</v>
      </c>
      <c r="DD1288">
        <v>0</v>
      </c>
      <c r="DE1288">
        <v>0</v>
      </c>
      <c r="DF1288">
        <v>0</v>
      </c>
      <c r="DH1288">
        <v>0</v>
      </c>
      <c r="DI1288">
        <v>0</v>
      </c>
    </row>
    <row r="1289" spans="1:113" ht="15" customHeight="1" x14ac:dyDescent="0.25">
      <c r="A1289" t="s">
        <v>6064</v>
      </c>
      <c r="B1289" t="s">
        <v>6065</v>
      </c>
      <c r="C1289" t="s">
        <v>6066</v>
      </c>
      <c r="D1289" t="s">
        <v>1234</v>
      </c>
      <c r="E1289" t="s">
        <v>1234</v>
      </c>
      <c r="F1289" t="s">
        <v>6067</v>
      </c>
      <c r="G1289">
        <v>2025</v>
      </c>
      <c r="H1289" t="s">
        <v>1160</v>
      </c>
      <c r="I1289" t="s">
        <v>141</v>
      </c>
      <c r="J1289">
        <v>17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Y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S1289">
        <v>0</v>
      </c>
      <c r="AU1289">
        <v>0</v>
      </c>
      <c r="AV1289">
        <v>0</v>
      </c>
      <c r="AW1289">
        <v>0</v>
      </c>
      <c r="AX1289">
        <v>0</v>
      </c>
      <c r="AY1289">
        <v>64</v>
      </c>
      <c r="AZ1289">
        <v>3</v>
      </c>
      <c r="BA1289">
        <v>34</v>
      </c>
      <c r="BB1289">
        <v>8</v>
      </c>
      <c r="BC1289">
        <v>21</v>
      </c>
      <c r="BD1289">
        <v>0</v>
      </c>
      <c r="BE1289">
        <v>0</v>
      </c>
      <c r="BF1289">
        <v>0</v>
      </c>
      <c r="BG1289">
        <v>3</v>
      </c>
      <c r="BH1289">
        <v>1</v>
      </c>
      <c r="BI1289">
        <v>74</v>
      </c>
      <c r="BJ1289">
        <v>5</v>
      </c>
      <c r="BK1289">
        <v>1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2</v>
      </c>
      <c r="BU1289">
        <v>30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C1289">
        <v>0</v>
      </c>
      <c r="DD1289">
        <v>0</v>
      </c>
      <c r="DE1289">
        <v>0</v>
      </c>
      <c r="DF1289">
        <v>0</v>
      </c>
      <c r="DH1289">
        <v>0</v>
      </c>
      <c r="DI1289">
        <v>0</v>
      </c>
    </row>
    <row r="1290" spans="1:113" ht="15" customHeight="1" x14ac:dyDescent="0.25">
      <c r="A1290" t="s">
        <v>6068</v>
      </c>
      <c r="B1290" t="s">
        <v>6069</v>
      </c>
      <c r="C1290" t="s">
        <v>6070</v>
      </c>
      <c r="D1290" t="s">
        <v>1209</v>
      </c>
      <c r="E1290" t="s">
        <v>1169</v>
      </c>
      <c r="F1290" t="s">
        <v>6071</v>
      </c>
      <c r="G1290">
        <v>2025</v>
      </c>
      <c r="H1290" t="s">
        <v>1160</v>
      </c>
      <c r="I1290" t="s">
        <v>99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Y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S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C1290">
        <v>0</v>
      </c>
      <c r="DD1290">
        <v>0</v>
      </c>
      <c r="DE1290">
        <v>0</v>
      </c>
      <c r="DF1290">
        <v>0</v>
      </c>
      <c r="DH1290">
        <v>0</v>
      </c>
      <c r="DI1290">
        <v>0</v>
      </c>
    </row>
    <row r="1291" spans="1:113" ht="15" customHeight="1" x14ac:dyDescent="0.25">
      <c r="A1291" t="s">
        <v>6072</v>
      </c>
      <c r="B1291" t="s">
        <v>6073</v>
      </c>
      <c r="C1291" t="s">
        <v>6074</v>
      </c>
      <c r="D1291" t="s">
        <v>1684</v>
      </c>
      <c r="E1291" t="s">
        <v>1307</v>
      </c>
      <c r="F1291" t="s">
        <v>6075</v>
      </c>
      <c r="G1291">
        <v>2025</v>
      </c>
      <c r="H1291" t="s">
        <v>1160</v>
      </c>
      <c r="I1291" t="s">
        <v>93</v>
      </c>
      <c r="J1291">
        <v>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Y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S1291">
        <v>0</v>
      </c>
      <c r="AU1291">
        <v>0</v>
      </c>
      <c r="AV1291">
        <v>0</v>
      </c>
      <c r="AW1291">
        <v>0</v>
      </c>
      <c r="AX1291">
        <v>0</v>
      </c>
      <c r="AY1291">
        <v>4</v>
      </c>
      <c r="AZ1291">
        <v>0</v>
      </c>
      <c r="BA1291">
        <v>6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1</v>
      </c>
      <c r="BR1291">
        <v>1</v>
      </c>
      <c r="BS1291">
        <v>0</v>
      </c>
      <c r="BT1291">
        <v>1</v>
      </c>
      <c r="BU1291">
        <v>10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C1291">
        <v>0</v>
      </c>
      <c r="DD1291">
        <v>0</v>
      </c>
      <c r="DE1291">
        <v>0</v>
      </c>
      <c r="DF1291">
        <v>0</v>
      </c>
      <c r="DH1291">
        <v>0</v>
      </c>
      <c r="DI1291">
        <v>0</v>
      </c>
    </row>
    <row r="1292" spans="1:113" ht="15" customHeight="1" x14ac:dyDescent="0.25">
      <c r="A1292" t="s">
        <v>6076</v>
      </c>
      <c r="B1292" t="s">
        <v>1930</v>
      </c>
      <c r="C1292" t="s">
        <v>6077</v>
      </c>
      <c r="D1292" t="s">
        <v>1189</v>
      </c>
      <c r="E1292" t="s">
        <v>1190</v>
      </c>
      <c r="F1292" t="s">
        <v>6078</v>
      </c>
      <c r="G1292">
        <v>2025</v>
      </c>
      <c r="H1292" t="s">
        <v>1160</v>
      </c>
      <c r="I1292" t="s">
        <v>99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Y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S1292">
        <v>0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4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C1292">
        <v>0</v>
      </c>
      <c r="DD1292">
        <v>0</v>
      </c>
      <c r="DE1292">
        <v>0</v>
      </c>
      <c r="DF1292">
        <v>0</v>
      </c>
      <c r="DH1292">
        <v>0</v>
      </c>
      <c r="DI1292">
        <v>0</v>
      </c>
    </row>
    <row r="1293" spans="1:113" ht="15" customHeight="1" x14ac:dyDescent="0.25">
      <c r="A1293" t="s">
        <v>6079</v>
      </c>
      <c r="B1293" t="s">
        <v>3976</v>
      </c>
      <c r="C1293" t="s">
        <v>435</v>
      </c>
      <c r="D1293" t="s">
        <v>10</v>
      </c>
      <c r="E1293" t="s">
        <v>10</v>
      </c>
      <c r="F1293" t="s">
        <v>6080</v>
      </c>
      <c r="G1293">
        <v>2025</v>
      </c>
      <c r="H1293" t="s">
        <v>1160</v>
      </c>
      <c r="I1293" t="s">
        <v>90</v>
      </c>
      <c r="J1293">
        <v>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Y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H1293">
        <v>0</v>
      </c>
      <c r="AI1293">
        <v>3</v>
      </c>
      <c r="AJ1293">
        <v>6</v>
      </c>
      <c r="AK1293">
        <v>51</v>
      </c>
      <c r="AL1293">
        <v>0</v>
      </c>
      <c r="AM1293">
        <v>0</v>
      </c>
      <c r="AN1293">
        <v>0</v>
      </c>
      <c r="AO1293">
        <v>68</v>
      </c>
      <c r="AP1293">
        <v>19</v>
      </c>
      <c r="AQ1293">
        <v>3</v>
      </c>
      <c r="AR1293">
        <v>1.8382254684111099</v>
      </c>
      <c r="AS1293">
        <v>0</v>
      </c>
      <c r="AT1293">
        <v>0.75</v>
      </c>
      <c r="AU1293">
        <v>9.8846787479406895E-3</v>
      </c>
      <c r="AV1293">
        <v>1.34148747287433E-2</v>
      </c>
      <c r="AW1293">
        <v>2.4217430432031398E-2</v>
      </c>
      <c r="AX1293">
        <v>0</v>
      </c>
      <c r="AY1293">
        <v>2</v>
      </c>
      <c r="AZ1293">
        <v>0</v>
      </c>
      <c r="BA1293">
        <v>1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1</v>
      </c>
      <c r="BU1293">
        <v>10</v>
      </c>
      <c r="BV1293">
        <v>0</v>
      </c>
      <c r="BW1293">
        <v>0</v>
      </c>
      <c r="BX1293">
        <v>10</v>
      </c>
      <c r="BY1293">
        <v>254</v>
      </c>
      <c r="BZ1293">
        <v>0</v>
      </c>
      <c r="CA1293">
        <v>0</v>
      </c>
      <c r="CB1293">
        <v>0</v>
      </c>
      <c r="CC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C1293">
        <v>0</v>
      </c>
      <c r="DD1293">
        <v>0</v>
      </c>
      <c r="DE1293">
        <v>0</v>
      </c>
      <c r="DF1293">
        <v>0</v>
      </c>
      <c r="DH1293">
        <v>5.0999999999999996</v>
      </c>
      <c r="DI1293">
        <v>8.1</v>
      </c>
    </row>
    <row r="1294" spans="1:113" ht="15" customHeight="1" x14ac:dyDescent="0.25">
      <c r="A1294" t="s">
        <v>6081</v>
      </c>
      <c r="B1294" t="s">
        <v>6082</v>
      </c>
      <c r="C1294" t="s">
        <v>6083</v>
      </c>
      <c r="D1294" t="s">
        <v>1350</v>
      </c>
      <c r="E1294" t="s">
        <v>1307</v>
      </c>
      <c r="F1294" t="s">
        <v>6084</v>
      </c>
      <c r="G1294">
        <v>2025</v>
      </c>
      <c r="H1294" t="s">
        <v>1160</v>
      </c>
      <c r="I1294" t="s">
        <v>107</v>
      </c>
      <c r="J1294">
        <v>10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Y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S1294">
        <v>0</v>
      </c>
      <c r="AU1294">
        <v>0</v>
      </c>
      <c r="AV1294">
        <v>0</v>
      </c>
      <c r="AW1294">
        <v>0</v>
      </c>
      <c r="AX1294">
        <v>0</v>
      </c>
      <c r="AY1294">
        <v>10</v>
      </c>
      <c r="AZ1294">
        <v>0</v>
      </c>
      <c r="BA1294">
        <v>7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3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2</v>
      </c>
      <c r="BU1294">
        <v>13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C1294">
        <v>0</v>
      </c>
      <c r="DD1294">
        <v>0</v>
      </c>
      <c r="DE1294">
        <v>0</v>
      </c>
      <c r="DF1294">
        <v>0</v>
      </c>
      <c r="DH1294">
        <v>0</v>
      </c>
      <c r="DI1294">
        <v>0</v>
      </c>
    </row>
    <row r="1295" spans="1:113" ht="15" customHeight="1" x14ac:dyDescent="0.25">
      <c r="A1295" t="s">
        <v>6085</v>
      </c>
      <c r="B1295" t="s">
        <v>6086</v>
      </c>
      <c r="C1295" t="s">
        <v>979</v>
      </c>
      <c r="D1295" t="s">
        <v>439</v>
      </c>
      <c r="E1295" t="s">
        <v>439</v>
      </c>
      <c r="F1295" t="s">
        <v>6087</v>
      </c>
      <c r="G1295">
        <v>2025</v>
      </c>
      <c r="H1295" t="s">
        <v>1160</v>
      </c>
      <c r="I1295" t="s">
        <v>141</v>
      </c>
      <c r="J1295">
        <v>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Y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2</v>
      </c>
      <c r="AP1295">
        <v>0</v>
      </c>
      <c r="AQ1295">
        <v>0</v>
      </c>
      <c r="AR1295">
        <v>-0.729447938269004</v>
      </c>
      <c r="AS1295">
        <v>0</v>
      </c>
      <c r="AT1295">
        <v>0</v>
      </c>
      <c r="AU1295">
        <v>1.8181818181818199E-3</v>
      </c>
      <c r="AV1295">
        <v>4.6554934823091302E-4</v>
      </c>
      <c r="AW1295">
        <v>3.0531572710343702E-3</v>
      </c>
      <c r="AX1295">
        <v>0</v>
      </c>
      <c r="AY1295">
        <v>3</v>
      </c>
      <c r="AZ1295">
        <v>0</v>
      </c>
      <c r="BA1295">
        <v>3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C1295">
        <v>0</v>
      </c>
      <c r="DD1295">
        <v>0</v>
      </c>
      <c r="DE1295">
        <v>0</v>
      </c>
      <c r="DF1295">
        <v>0</v>
      </c>
      <c r="DH1295">
        <v>0</v>
      </c>
      <c r="DI1295">
        <v>0</v>
      </c>
    </row>
    <row r="1296" spans="1:113" ht="15" customHeight="1" x14ac:dyDescent="0.25">
      <c r="A1296" t="s">
        <v>6088</v>
      </c>
      <c r="B1296" t="s">
        <v>6089</v>
      </c>
      <c r="C1296" t="s">
        <v>6090</v>
      </c>
      <c r="D1296" t="s">
        <v>1297</v>
      </c>
      <c r="E1296" t="s">
        <v>1220</v>
      </c>
      <c r="F1296" t="s">
        <v>6091</v>
      </c>
      <c r="G1296">
        <v>2025</v>
      </c>
      <c r="H1296" t="s">
        <v>1160</v>
      </c>
      <c r="I1296" t="s">
        <v>103</v>
      </c>
      <c r="J1296">
        <v>4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Y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H1296">
        <v>0</v>
      </c>
      <c r="AI1296">
        <v>1</v>
      </c>
      <c r="AJ1296">
        <v>1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4</v>
      </c>
      <c r="AQ1296">
        <v>0</v>
      </c>
      <c r="AR1296">
        <v>-7.7902199700474696E-3</v>
      </c>
      <c r="AS1296">
        <v>0</v>
      </c>
      <c r="AT1296">
        <v>0</v>
      </c>
      <c r="AU1296">
        <v>1.91570881226054E-3</v>
      </c>
      <c r="AV1296">
        <v>0</v>
      </c>
      <c r="AW1296">
        <v>2.8735632183907998E-3</v>
      </c>
      <c r="AX1296">
        <v>0</v>
      </c>
      <c r="AY1296">
        <v>1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2</v>
      </c>
      <c r="BU1296">
        <v>15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C1296">
        <v>0</v>
      </c>
      <c r="DD1296">
        <v>0</v>
      </c>
      <c r="DE1296">
        <v>0</v>
      </c>
      <c r="DF1296">
        <v>0</v>
      </c>
      <c r="DH1296">
        <v>0.4</v>
      </c>
      <c r="DI1296">
        <v>1.4</v>
      </c>
    </row>
    <row r="1297" spans="1:113" ht="15" customHeight="1" x14ac:dyDescent="0.25">
      <c r="A1297" t="s">
        <v>6092</v>
      </c>
      <c r="B1297" t="s">
        <v>6093</v>
      </c>
      <c r="C1297" t="s">
        <v>6094</v>
      </c>
      <c r="D1297" t="s">
        <v>1350</v>
      </c>
      <c r="E1297" t="s">
        <v>1307</v>
      </c>
      <c r="F1297" t="s">
        <v>6095</v>
      </c>
      <c r="G1297">
        <v>2025</v>
      </c>
      <c r="H1297" t="s">
        <v>1160</v>
      </c>
      <c r="I1297" t="s">
        <v>114</v>
      </c>
      <c r="J1297">
        <v>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Y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S1297">
        <v>0</v>
      </c>
      <c r="AU1297">
        <v>0</v>
      </c>
      <c r="AV1297">
        <v>0</v>
      </c>
      <c r="AW1297">
        <v>0</v>
      </c>
      <c r="AX1297">
        <v>0</v>
      </c>
      <c r="AY1297">
        <v>9</v>
      </c>
      <c r="AZ1297">
        <v>1</v>
      </c>
      <c r="BA1297">
        <v>3</v>
      </c>
      <c r="BB1297">
        <v>1</v>
      </c>
      <c r="BC1297">
        <v>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2</v>
      </c>
      <c r="BU1297">
        <v>6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C1297">
        <v>0</v>
      </c>
      <c r="DD1297">
        <v>0</v>
      </c>
      <c r="DE1297">
        <v>0</v>
      </c>
      <c r="DF1297">
        <v>0</v>
      </c>
      <c r="DH1297">
        <v>0</v>
      </c>
      <c r="DI1297">
        <v>0</v>
      </c>
    </row>
    <row r="1298" spans="1:113" ht="15" customHeight="1" x14ac:dyDescent="0.25">
      <c r="A1298" t="s">
        <v>6096</v>
      </c>
      <c r="B1298" t="s">
        <v>6097</v>
      </c>
      <c r="C1298" t="s">
        <v>834</v>
      </c>
      <c r="D1298" t="s">
        <v>10</v>
      </c>
      <c r="E1298" t="s">
        <v>10</v>
      </c>
      <c r="F1298" t="s">
        <v>6098</v>
      </c>
      <c r="G1298">
        <v>2025</v>
      </c>
      <c r="H1298" t="s">
        <v>1160</v>
      </c>
      <c r="I1298" t="s">
        <v>138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Y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H1298">
        <v>0</v>
      </c>
      <c r="AI1298">
        <v>2</v>
      </c>
      <c r="AJ1298">
        <v>4</v>
      </c>
      <c r="AK1298">
        <v>23</v>
      </c>
      <c r="AL1298">
        <v>1</v>
      </c>
      <c r="AM1298">
        <v>0</v>
      </c>
      <c r="AN1298">
        <v>0</v>
      </c>
      <c r="AO1298">
        <v>78</v>
      </c>
      <c r="AP1298">
        <v>1</v>
      </c>
      <c r="AQ1298">
        <v>1</v>
      </c>
      <c r="AR1298">
        <v>1.18801222270122</v>
      </c>
      <c r="AS1298">
        <v>0</v>
      </c>
      <c r="AT1298">
        <v>0.29487179487179499</v>
      </c>
      <c r="AU1298">
        <v>7.0796460176991202E-3</v>
      </c>
      <c r="AV1298">
        <v>1.6294129935241299E-2</v>
      </c>
      <c r="AW1298">
        <v>2.2025359981217602E-2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C1298">
        <v>0</v>
      </c>
      <c r="DD1298">
        <v>0</v>
      </c>
      <c r="DE1298">
        <v>0</v>
      </c>
      <c r="DF1298">
        <v>0</v>
      </c>
      <c r="DH1298">
        <v>8.3000000000000007</v>
      </c>
      <c r="DI1298">
        <v>10.3</v>
      </c>
    </row>
    <row r="1299" spans="1:113" ht="15" customHeight="1" x14ac:dyDescent="0.25">
      <c r="A1299" t="s">
        <v>6099</v>
      </c>
      <c r="B1299" t="s">
        <v>6100</v>
      </c>
      <c r="C1299" t="s">
        <v>6101</v>
      </c>
      <c r="D1299" t="s">
        <v>1234</v>
      </c>
      <c r="E1299" t="s">
        <v>1234</v>
      </c>
      <c r="F1299" t="s">
        <v>6102</v>
      </c>
      <c r="G1299">
        <v>2025</v>
      </c>
      <c r="H1299" t="s">
        <v>1160</v>
      </c>
      <c r="I1299" t="s">
        <v>141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Y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S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C1299">
        <v>0</v>
      </c>
      <c r="DD1299">
        <v>0</v>
      </c>
      <c r="DE1299">
        <v>0</v>
      </c>
      <c r="DF1299">
        <v>0</v>
      </c>
      <c r="DH1299">
        <v>0</v>
      </c>
      <c r="DI1299">
        <v>0</v>
      </c>
    </row>
    <row r="1300" spans="1:113" ht="15" customHeight="1" x14ac:dyDescent="0.25">
      <c r="A1300" t="s">
        <v>6103</v>
      </c>
      <c r="B1300" t="s">
        <v>6104</v>
      </c>
      <c r="C1300" t="s">
        <v>6105</v>
      </c>
      <c r="D1300" t="s">
        <v>1243</v>
      </c>
      <c r="E1300" t="s">
        <v>1190</v>
      </c>
      <c r="F1300" t="s">
        <v>6106</v>
      </c>
      <c r="G1300">
        <v>2025</v>
      </c>
      <c r="H1300" t="s">
        <v>1160</v>
      </c>
      <c r="I1300" t="s">
        <v>114</v>
      </c>
      <c r="J1300">
        <v>16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Y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S1300">
        <v>0</v>
      </c>
      <c r="AU1300">
        <v>0</v>
      </c>
      <c r="AV1300">
        <v>0</v>
      </c>
      <c r="AW1300">
        <v>0</v>
      </c>
      <c r="AX1300">
        <v>0</v>
      </c>
      <c r="AY1300">
        <v>6</v>
      </c>
      <c r="AZ1300">
        <v>4</v>
      </c>
      <c r="BA1300">
        <v>20</v>
      </c>
      <c r="BB1300">
        <v>5</v>
      </c>
      <c r="BC1300">
        <v>7</v>
      </c>
      <c r="BD1300">
        <v>0</v>
      </c>
      <c r="BE1300">
        <v>0</v>
      </c>
      <c r="BF1300">
        <v>0</v>
      </c>
      <c r="BG1300">
        <v>1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2</v>
      </c>
      <c r="BU1300">
        <v>30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C1300">
        <v>0</v>
      </c>
      <c r="DD1300">
        <v>0</v>
      </c>
      <c r="DE1300">
        <v>0</v>
      </c>
      <c r="DF1300">
        <v>0</v>
      </c>
      <c r="DH1300">
        <v>0</v>
      </c>
      <c r="DI1300">
        <v>0</v>
      </c>
    </row>
    <row r="1301" spans="1:113" ht="15" customHeight="1" x14ac:dyDescent="0.25">
      <c r="A1301" t="s">
        <v>6107</v>
      </c>
      <c r="B1301" t="s">
        <v>6108</v>
      </c>
      <c r="C1301" t="s">
        <v>6109</v>
      </c>
      <c r="D1301" t="s">
        <v>1158</v>
      </c>
      <c r="E1301" t="s">
        <v>1158</v>
      </c>
      <c r="F1301" t="s">
        <v>6110</v>
      </c>
      <c r="G1301">
        <v>2025</v>
      </c>
      <c r="H1301" t="s">
        <v>1160</v>
      </c>
      <c r="I1301" t="s">
        <v>141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Y1301">
        <v>0</v>
      </c>
      <c r="AA1301">
        <v>1</v>
      </c>
      <c r="AB1301">
        <v>-1</v>
      </c>
      <c r="AC1301">
        <v>0</v>
      </c>
      <c r="AD1301">
        <v>0</v>
      </c>
      <c r="AE1301">
        <v>0</v>
      </c>
      <c r="AF1301">
        <v>0</v>
      </c>
      <c r="AG1301">
        <v>-2.32438810926396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S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C1301">
        <v>0</v>
      </c>
      <c r="DD1301">
        <v>0</v>
      </c>
      <c r="DE1301">
        <v>0</v>
      </c>
      <c r="DF1301">
        <v>0</v>
      </c>
      <c r="DH1301">
        <v>-0.1</v>
      </c>
      <c r="DI1301">
        <v>-0.1</v>
      </c>
    </row>
    <row r="1302" spans="1:113" ht="15" customHeight="1" x14ac:dyDescent="0.25">
      <c r="A1302" t="s">
        <v>6111</v>
      </c>
      <c r="B1302" t="s">
        <v>6112</v>
      </c>
      <c r="C1302" t="s">
        <v>6113</v>
      </c>
      <c r="D1302" t="s">
        <v>1234</v>
      </c>
      <c r="E1302" t="s">
        <v>1234</v>
      </c>
      <c r="F1302" t="s">
        <v>6114</v>
      </c>
      <c r="G1302">
        <v>2025</v>
      </c>
      <c r="H1302" t="s">
        <v>1160</v>
      </c>
      <c r="I1302" t="s">
        <v>111</v>
      </c>
      <c r="J1302">
        <v>13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Y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S1302">
        <v>0</v>
      </c>
      <c r="AU1302">
        <v>0</v>
      </c>
      <c r="AV1302">
        <v>0</v>
      </c>
      <c r="AW1302">
        <v>0</v>
      </c>
      <c r="AX1302">
        <v>0</v>
      </c>
      <c r="AY1302">
        <v>9</v>
      </c>
      <c r="AZ1302">
        <v>0</v>
      </c>
      <c r="BA1302">
        <v>13</v>
      </c>
      <c r="BB1302">
        <v>2</v>
      </c>
      <c r="BC1302">
        <v>5</v>
      </c>
      <c r="BD1302">
        <v>0</v>
      </c>
      <c r="BE1302">
        <v>1</v>
      </c>
      <c r="BF1302">
        <v>4</v>
      </c>
      <c r="BG1302">
        <v>2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</v>
      </c>
      <c r="BR1302">
        <v>1</v>
      </c>
      <c r="BS1302">
        <v>0</v>
      </c>
      <c r="BT1302">
        <v>1</v>
      </c>
      <c r="BU1302">
        <v>10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C1302">
        <v>0</v>
      </c>
      <c r="DD1302">
        <v>0</v>
      </c>
      <c r="DE1302">
        <v>0</v>
      </c>
      <c r="DF1302">
        <v>0</v>
      </c>
      <c r="DH1302">
        <v>0</v>
      </c>
      <c r="DI1302">
        <v>0</v>
      </c>
    </row>
    <row r="1303" spans="1:113" ht="15" customHeight="1" x14ac:dyDescent="0.25">
      <c r="A1303" t="s">
        <v>6115</v>
      </c>
      <c r="B1303" t="s">
        <v>6116</v>
      </c>
      <c r="C1303" t="s">
        <v>6117</v>
      </c>
      <c r="D1303" t="s">
        <v>431</v>
      </c>
      <c r="E1303" t="s">
        <v>431</v>
      </c>
      <c r="F1303" t="s">
        <v>6118</v>
      </c>
      <c r="G1303">
        <v>2025</v>
      </c>
      <c r="H1303" t="s">
        <v>1160</v>
      </c>
      <c r="I1303" t="s">
        <v>142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Y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S1303">
        <v>0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C1303">
        <v>0</v>
      </c>
      <c r="DD1303">
        <v>0</v>
      </c>
      <c r="DE1303">
        <v>0</v>
      </c>
      <c r="DF1303">
        <v>0</v>
      </c>
      <c r="DH1303">
        <v>0</v>
      </c>
      <c r="DI1303">
        <v>0</v>
      </c>
    </row>
    <row r="1304" spans="1:113" ht="15" customHeight="1" x14ac:dyDescent="0.25">
      <c r="A1304" t="s">
        <v>6119</v>
      </c>
      <c r="B1304" t="s">
        <v>6120</v>
      </c>
      <c r="C1304" t="s">
        <v>496</v>
      </c>
      <c r="D1304" t="s">
        <v>10</v>
      </c>
      <c r="E1304" t="s">
        <v>10</v>
      </c>
      <c r="F1304" t="s">
        <v>6121</v>
      </c>
      <c r="G1304">
        <v>2025</v>
      </c>
      <c r="H1304" t="s">
        <v>1160</v>
      </c>
      <c r="I1304" t="s">
        <v>99</v>
      </c>
      <c r="J1304">
        <v>11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Y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H1304">
        <v>0</v>
      </c>
      <c r="AI1304">
        <v>15</v>
      </c>
      <c r="AJ1304">
        <v>23</v>
      </c>
      <c r="AK1304">
        <v>245</v>
      </c>
      <c r="AL1304">
        <v>1</v>
      </c>
      <c r="AM1304">
        <v>0</v>
      </c>
      <c r="AN1304">
        <v>0</v>
      </c>
      <c r="AO1304">
        <v>298</v>
      </c>
      <c r="AP1304">
        <v>64</v>
      </c>
      <c r="AQ1304">
        <v>11</v>
      </c>
      <c r="AR1304">
        <v>12.273498607915799</v>
      </c>
      <c r="AS1304">
        <v>0</v>
      </c>
      <c r="AT1304">
        <v>0.82214765100671106</v>
      </c>
      <c r="AU1304">
        <v>4.8016701461377903E-2</v>
      </c>
      <c r="AV1304">
        <v>8.2457111234089706E-2</v>
      </c>
      <c r="AW1304">
        <v>0.12974503005592999</v>
      </c>
      <c r="AX1304">
        <v>0</v>
      </c>
      <c r="AY1304">
        <v>1</v>
      </c>
      <c r="AZ1304">
        <v>0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2</v>
      </c>
      <c r="BU1304">
        <v>20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C1304">
        <v>0</v>
      </c>
      <c r="DD1304">
        <v>0</v>
      </c>
      <c r="DE1304">
        <v>0</v>
      </c>
      <c r="DF1304">
        <v>0</v>
      </c>
      <c r="DH1304">
        <v>30.5</v>
      </c>
      <c r="DI1304">
        <v>45.5</v>
      </c>
    </row>
    <row r="1305" spans="1:113" ht="15" customHeight="1" x14ac:dyDescent="0.25">
      <c r="A1305" t="s">
        <v>6122</v>
      </c>
      <c r="B1305" t="s">
        <v>6123</v>
      </c>
      <c r="C1305" t="s">
        <v>6124</v>
      </c>
      <c r="D1305" t="s">
        <v>1350</v>
      </c>
      <c r="E1305" t="s">
        <v>1307</v>
      </c>
      <c r="F1305" t="s">
        <v>6125</v>
      </c>
      <c r="G1305">
        <v>2025</v>
      </c>
      <c r="H1305" t="s">
        <v>1160</v>
      </c>
      <c r="I1305" t="s">
        <v>133</v>
      </c>
      <c r="J1305">
        <v>10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Y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S1305">
        <v>0</v>
      </c>
      <c r="AU1305">
        <v>0</v>
      </c>
      <c r="AV1305">
        <v>0</v>
      </c>
      <c r="AW1305">
        <v>0</v>
      </c>
      <c r="AX1305">
        <v>0</v>
      </c>
      <c r="AY1305">
        <v>6</v>
      </c>
      <c r="AZ1305">
        <v>1</v>
      </c>
      <c r="BA1305">
        <v>8</v>
      </c>
      <c r="BB1305">
        <v>1</v>
      </c>
      <c r="BC1305">
        <v>1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0</v>
      </c>
      <c r="BJ1305">
        <v>2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1</v>
      </c>
      <c r="BR1305">
        <v>1</v>
      </c>
      <c r="BS1305">
        <v>0</v>
      </c>
      <c r="BT1305">
        <v>2</v>
      </c>
      <c r="BU1305">
        <v>10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C1305">
        <v>0</v>
      </c>
      <c r="DD1305">
        <v>0</v>
      </c>
      <c r="DE1305">
        <v>0</v>
      </c>
      <c r="DF1305">
        <v>0</v>
      </c>
      <c r="DH1305">
        <v>0</v>
      </c>
      <c r="DI1305">
        <v>0</v>
      </c>
    </row>
    <row r="1306" spans="1:113" ht="15" customHeight="1" x14ac:dyDescent="0.25">
      <c r="A1306" t="s">
        <v>6126</v>
      </c>
      <c r="B1306" t="s">
        <v>6127</v>
      </c>
      <c r="C1306" t="s">
        <v>630</v>
      </c>
      <c r="D1306" t="s">
        <v>431</v>
      </c>
      <c r="E1306" t="s">
        <v>431</v>
      </c>
      <c r="F1306" t="s">
        <v>6128</v>
      </c>
      <c r="G1306">
        <v>2025</v>
      </c>
      <c r="H1306" t="s">
        <v>1160</v>
      </c>
      <c r="I1306" t="s">
        <v>118</v>
      </c>
      <c r="J1306">
        <v>17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Y1306">
        <v>0</v>
      </c>
      <c r="AA1306">
        <v>27</v>
      </c>
      <c r="AB1306">
        <v>106</v>
      </c>
      <c r="AC1306">
        <v>0</v>
      </c>
      <c r="AD1306">
        <v>0</v>
      </c>
      <c r="AE1306">
        <v>0</v>
      </c>
      <c r="AF1306">
        <v>5</v>
      </c>
      <c r="AG1306">
        <v>-4.8596870083887298</v>
      </c>
      <c r="AH1306">
        <v>0</v>
      </c>
      <c r="AI1306">
        <v>13</v>
      </c>
      <c r="AJ1306">
        <v>17</v>
      </c>
      <c r="AK1306">
        <v>91</v>
      </c>
      <c r="AL1306">
        <v>0</v>
      </c>
      <c r="AM1306">
        <v>0</v>
      </c>
      <c r="AN1306">
        <v>0</v>
      </c>
      <c r="AO1306">
        <v>6</v>
      </c>
      <c r="AP1306">
        <v>106</v>
      </c>
      <c r="AQ1306">
        <v>3</v>
      </c>
      <c r="AR1306">
        <v>-1.1175940929118999</v>
      </c>
      <c r="AS1306">
        <v>0</v>
      </c>
      <c r="AT1306">
        <v>15.1666666666667</v>
      </c>
      <c r="AU1306">
        <v>3.6956521739130402E-2</v>
      </c>
      <c r="AV1306">
        <v>1.4008872285781E-3</v>
      </c>
      <c r="AW1306">
        <v>5.6415403668700299E-2</v>
      </c>
      <c r="AX1306">
        <v>0</v>
      </c>
      <c r="AY1306">
        <v>4</v>
      </c>
      <c r="AZ1306">
        <v>0</v>
      </c>
      <c r="BA1306">
        <v>10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</v>
      </c>
      <c r="BU1306">
        <v>10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C1306">
        <v>0</v>
      </c>
      <c r="DD1306">
        <v>0</v>
      </c>
      <c r="DE1306">
        <v>0</v>
      </c>
      <c r="DF1306">
        <v>0</v>
      </c>
      <c r="DH1306">
        <v>19.7</v>
      </c>
      <c r="DI1306">
        <v>32.700000000000003</v>
      </c>
    </row>
    <row r="1307" spans="1:113" ht="15" customHeight="1" x14ac:dyDescent="0.25">
      <c r="A1307" t="s">
        <v>6129</v>
      </c>
      <c r="B1307" t="s">
        <v>6130</v>
      </c>
      <c r="C1307" t="s">
        <v>6131</v>
      </c>
      <c r="D1307" t="s">
        <v>1243</v>
      </c>
      <c r="E1307" t="s">
        <v>1190</v>
      </c>
      <c r="F1307" t="s">
        <v>6132</v>
      </c>
      <c r="G1307">
        <v>2025</v>
      </c>
      <c r="H1307" t="s">
        <v>1160</v>
      </c>
      <c r="I1307" t="s">
        <v>140</v>
      </c>
      <c r="J1307">
        <v>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Y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S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0</v>
      </c>
      <c r="BA1307">
        <v>11</v>
      </c>
      <c r="BB1307">
        <v>0</v>
      </c>
      <c r="BC1307">
        <v>0</v>
      </c>
      <c r="BD1307">
        <v>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C1307">
        <v>0</v>
      </c>
      <c r="DD1307">
        <v>0</v>
      </c>
      <c r="DE1307">
        <v>0</v>
      </c>
      <c r="DF1307">
        <v>0</v>
      </c>
      <c r="DH1307">
        <v>0</v>
      </c>
      <c r="DI1307">
        <v>0</v>
      </c>
    </row>
    <row r="1308" spans="1:113" ht="15" customHeight="1" x14ac:dyDescent="0.25">
      <c r="A1308" t="s">
        <v>6133</v>
      </c>
      <c r="B1308" t="s">
        <v>4327</v>
      </c>
      <c r="C1308" t="s">
        <v>6134</v>
      </c>
      <c r="D1308" t="s">
        <v>1307</v>
      </c>
      <c r="E1308" t="s">
        <v>1307</v>
      </c>
      <c r="F1308" t="s">
        <v>6135</v>
      </c>
      <c r="G1308">
        <v>2025</v>
      </c>
      <c r="H1308" t="s">
        <v>1160</v>
      </c>
      <c r="I1308" t="s">
        <v>101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Y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>
        <v>0</v>
      </c>
      <c r="AU1308">
        <v>0</v>
      </c>
      <c r="AV1308">
        <v>0</v>
      </c>
      <c r="AW1308">
        <v>0</v>
      </c>
      <c r="AX1308">
        <v>0</v>
      </c>
      <c r="AY1308">
        <v>7</v>
      </c>
      <c r="AZ1308">
        <v>0</v>
      </c>
      <c r="BA1308">
        <v>8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</v>
      </c>
      <c r="BU1308">
        <v>12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C1308">
        <v>0</v>
      </c>
      <c r="DD1308">
        <v>0</v>
      </c>
      <c r="DE1308">
        <v>0</v>
      </c>
      <c r="DF1308">
        <v>0</v>
      </c>
      <c r="DH1308">
        <v>0</v>
      </c>
      <c r="DI1308">
        <v>0</v>
      </c>
    </row>
    <row r="1309" spans="1:113" ht="15" customHeight="1" x14ac:dyDescent="0.25">
      <c r="A1309" t="s">
        <v>6136</v>
      </c>
      <c r="B1309" t="s">
        <v>5708</v>
      </c>
      <c r="C1309" t="s">
        <v>6137</v>
      </c>
      <c r="D1309" t="s">
        <v>1684</v>
      </c>
      <c r="E1309" t="s">
        <v>1307</v>
      </c>
      <c r="F1309" t="s">
        <v>6138</v>
      </c>
      <c r="G1309">
        <v>2025</v>
      </c>
      <c r="H1309" t="s">
        <v>1160</v>
      </c>
      <c r="I1309" t="s">
        <v>142</v>
      </c>
      <c r="J1309">
        <v>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Y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>
        <v>0</v>
      </c>
      <c r="AU1309">
        <v>0</v>
      </c>
      <c r="AV1309">
        <v>0</v>
      </c>
      <c r="AW1309">
        <v>0</v>
      </c>
      <c r="AX1309">
        <v>0</v>
      </c>
      <c r="AY1309">
        <v>11</v>
      </c>
      <c r="AZ1309">
        <v>0</v>
      </c>
      <c r="BA1309">
        <v>11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2</v>
      </c>
      <c r="BU1309">
        <v>20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C1309">
        <v>0</v>
      </c>
      <c r="DD1309">
        <v>0</v>
      </c>
      <c r="DE1309">
        <v>0</v>
      </c>
      <c r="DF1309">
        <v>0</v>
      </c>
      <c r="DH1309">
        <v>0</v>
      </c>
      <c r="DI1309">
        <v>0</v>
      </c>
    </row>
    <row r="1310" spans="1:113" ht="15" customHeight="1" x14ac:dyDescent="0.25">
      <c r="A1310" t="s">
        <v>6139</v>
      </c>
      <c r="B1310" t="s">
        <v>6140</v>
      </c>
      <c r="C1310" t="s">
        <v>708</v>
      </c>
      <c r="D1310" t="s">
        <v>431</v>
      </c>
      <c r="E1310" t="s">
        <v>431</v>
      </c>
      <c r="F1310" t="s">
        <v>6141</v>
      </c>
      <c r="G1310">
        <v>2025</v>
      </c>
      <c r="H1310" t="s">
        <v>1160</v>
      </c>
      <c r="I1310" t="s">
        <v>90</v>
      </c>
      <c r="J1310">
        <v>12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Y1310">
        <v>0</v>
      </c>
      <c r="AA1310">
        <v>44</v>
      </c>
      <c r="AB1310">
        <v>312</v>
      </c>
      <c r="AC1310">
        <v>0</v>
      </c>
      <c r="AD1310">
        <v>1</v>
      </c>
      <c r="AE1310">
        <v>1</v>
      </c>
      <c r="AF1310">
        <v>10</v>
      </c>
      <c r="AG1310">
        <v>-6.9014259306038301</v>
      </c>
      <c r="AH1310">
        <v>0</v>
      </c>
      <c r="AI1310">
        <v>13</v>
      </c>
      <c r="AJ1310">
        <v>20</v>
      </c>
      <c r="AK1310">
        <v>101</v>
      </c>
      <c r="AL1310">
        <v>1</v>
      </c>
      <c r="AM1310">
        <v>0</v>
      </c>
      <c r="AN1310">
        <v>0</v>
      </c>
      <c r="AO1310">
        <v>12</v>
      </c>
      <c r="AP1310">
        <v>84</v>
      </c>
      <c r="AQ1310">
        <v>3</v>
      </c>
      <c r="AR1310">
        <v>-1.5875549600526699</v>
      </c>
      <c r="AS1310">
        <v>0</v>
      </c>
      <c r="AT1310">
        <v>8.4166666666666696</v>
      </c>
      <c r="AU1310">
        <v>3.2414910858995102E-2</v>
      </c>
      <c r="AV1310">
        <v>2.57510729613734E-3</v>
      </c>
      <c r="AW1310">
        <v>5.0424941395788798E-2</v>
      </c>
      <c r="AX1310">
        <v>0</v>
      </c>
      <c r="AY1310">
        <v>3</v>
      </c>
      <c r="AZ1310">
        <v>0</v>
      </c>
      <c r="BA1310">
        <v>2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3</v>
      </c>
      <c r="BY1310">
        <v>86</v>
      </c>
      <c r="BZ1310">
        <v>0</v>
      </c>
      <c r="CA1310">
        <v>0</v>
      </c>
      <c r="CB1310">
        <v>0</v>
      </c>
      <c r="CC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C1310">
        <v>0</v>
      </c>
      <c r="DD1310">
        <v>0</v>
      </c>
      <c r="DE1310">
        <v>0</v>
      </c>
      <c r="DF1310">
        <v>0</v>
      </c>
      <c r="DH1310">
        <v>45.3</v>
      </c>
      <c r="DI1310">
        <v>58.3</v>
      </c>
    </row>
    <row r="1311" spans="1:113" ht="15" customHeight="1" x14ac:dyDescent="0.25">
      <c r="A1311" t="s">
        <v>6142</v>
      </c>
      <c r="B1311" t="s">
        <v>6143</v>
      </c>
      <c r="C1311" t="s">
        <v>573</v>
      </c>
      <c r="D1311" t="s">
        <v>439</v>
      </c>
      <c r="E1311" t="s">
        <v>439</v>
      </c>
      <c r="F1311" t="s">
        <v>6144</v>
      </c>
      <c r="G1311">
        <v>2025</v>
      </c>
      <c r="H1311" t="s">
        <v>1160</v>
      </c>
      <c r="I1311" t="s">
        <v>109</v>
      </c>
      <c r="J1311">
        <v>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Y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H1311">
        <v>0</v>
      </c>
      <c r="AI1311">
        <v>2</v>
      </c>
      <c r="AJ1311">
        <v>6</v>
      </c>
      <c r="AK1311">
        <v>4</v>
      </c>
      <c r="AL1311">
        <v>0</v>
      </c>
      <c r="AM1311">
        <v>1</v>
      </c>
      <c r="AN1311">
        <v>0</v>
      </c>
      <c r="AO1311">
        <v>43</v>
      </c>
      <c r="AP1311">
        <v>1</v>
      </c>
      <c r="AQ1311">
        <v>0</v>
      </c>
      <c r="AR1311">
        <v>-3.7279703021631598</v>
      </c>
      <c r="AS1311">
        <v>0</v>
      </c>
      <c r="AT1311">
        <v>9.3023255813953501E-2</v>
      </c>
      <c r="AU1311">
        <v>1.1494252873563199E-2</v>
      </c>
      <c r="AV1311">
        <v>1.13606340819022E-2</v>
      </c>
      <c r="AW1311">
        <v>2.5193823167676401E-2</v>
      </c>
      <c r="AX1311">
        <v>0</v>
      </c>
      <c r="AY1311">
        <v>4</v>
      </c>
      <c r="AZ1311">
        <v>0</v>
      </c>
      <c r="BA1311">
        <v>6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1</v>
      </c>
      <c r="BU1311">
        <v>10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C1311">
        <v>0</v>
      </c>
      <c r="DD1311">
        <v>0</v>
      </c>
      <c r="DE1311">
        <v>0</v>
      </c>
      <c r="DF1311">
        <v>0</v>
      </c>
      <c r="DH1311">
        <v>0.4</v>
      </c>
      <c r="DI1311">
        <v>2.4</v>
      </c>
    </row>
    <row r="1312" spans="1:113" ht="15" customHeight="1" x14ac:dyDescent="0.25">
      <c r="A1312" t="s">
        <v>6145</v>
      </c>
      <c r="B1312" t="s">
        <v>6146</v>
      </c>
      <c r="C1312" t="s">
        <v>6147</v>
      </c>
      <c r="D1312" t="s">
        <v>1234</v>
      </c>
      <c r="E1312" t="s">
        <v>1234</v>
      </c>
      <c r="F1312" t="s">
        <v>6148</v>
      </c>
      <c r="G1312">
        <v>2025</v>
      </c>
      <c r="H1312" t="s">
        <v>1160</v>
      </c>
      <c r="I1312" t="s">
        <v>109</v>
      </c>
      <c r="J1312">
        <v>15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Y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>
        <v>0</v>
      </c>
      <c r="AU1312">
        <v>0</v>
      </c>
      <c r="AV1312">
        <v>0</v>
      </c>
      <c r="AW1312">
        <v>0</v>
      </c>
      <c r="AX1312">
        <v>0</v>
      </c>
      <c r="AY1312">
        <v>22</v>
      </c>
      <c r="AZ1312">
        <v>0</v>
      </c>
      <c r="BA1312">
        <v>27</v>
      </c>
      <c r="BB1312">
        <v>3</v>
      </c>
      <c r="BC1312">
        <v>9</v>
      </c>
      <c r="BD1312">
        <v>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1</v>
      </c>
      <c r="BR1312">
        <v>1</v>
      </c>
      <c r="BS1312">
        <v>0</v>
      </c>
      <c r="BT1312">
        <v>1</v>
      </c>
      <c r="BU1312">
        <v>5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C1312">
        <v>0</v>
      </c>
      <c r="DD1312">
        <v>0</v>
      </c>
      <c r="DE1312">
        <v>0</v>
      </c>
      <c r="DF1312">
        <v>0</v>
      </c>
      <c r="DH1312">
        <v>0</v>
      </c>
      <c r="DI1312">
        <v>0</v>
      </c>
    </row>
    <row r="1313" spans="1:113" ht="15" customHeight="1" x14ac:dyDescent="0.25">
      <c r="A1313" t="s">
        <v>6149</v>
      </c>
      <c r="B1313" t="s">
        <v>6150</v>
      </c>
      <c r="C1313" t="s">
        <v>6151</v>
      </c>
      <c r="D1313" t="s">
        <v>1684</v>
      </c>
      <c r="E1313" t="s">
        <v>1307</v>
      </c>
      <c r="F1313" t="s">
        <v>6152</v>
      </c>
      <c r="G1313">
        <v>2025</v>
      </c>
      <c r="H1313" t="s">
        <v>1160</v>
      </c>
      <c r="I1313" t="s">
        <v>109</v>
      </c>
      <c r="J1313">
        <v>17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Y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>
        <v>0</v>
      </c>
      <c r="AU1313">
        <v>0</v>
      </c>
      <c r="AV1313">
        <v>0</v>
      </c>
      <c r="AW1313">
        <v>0</v>
      </c>
      <c r="AX1313">
        <v>0</v>
      </c>
      <c r="AY1313">
        <v>51</v>
      </c>
      <c r="AZ1313">
        <v>0</v>
      </c>
      <c r="BA1313">
        <v>52</v>
      </c>
      <c r="BB1313">
        <v>1</v>
      </c>
      <c r="BC1313">
        <v>2</v>
      </c>
      <c r="BD1313">
        <v>0</v>
      </c>
      <c r="BE1313">
        <v>0</v>
      </c>
      <c r="BF1313">
        <v>0</v>
      </c>
      <c r="BG1313">
        <v>0</v>
      </c>
      <c r="BH1313">
        <v>2</v>
      </c>
      <c r="BI1313">
        <v>31</v>
      </c>
      <c r="BJ1313">
        <v>7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C1313">
        <v>0</v>
      </c>
      <c r="DD1313">
        <v>0</v>
      </c>
      <c r="DE1313">
        <v>0</v>
      </c>
      <c r="DF1313">
        <v>0</v>
      </c>
      <c r="DH1313">
        <v>0</v>
      </c>
      <c r="DI1313">
        <v>0</v>
      </c>
    </row>
    <row r="1314" spans="1:113" ht="15" customHeight="1" x14ac:dyDescent="0.25">
      <c r="A1314" t="s">
        <v>6153</v>
      </c>
      <c r="B1314" t="s">
        <v>2875</v>
      </c>
      <c r="C1314" t="s">
        <v>819</v>
      </c>
      <c r="D1314" t="s">
        <v>439</v>
      </c>
      <c r="E1314" t="s">
        <v>439</v>
      </c>
      <c r="F1314" t="s">
        <v>6154</v>
      </c>
      <c r="G1314">
        <v>2025</v>
      </c>
      <c r="H1314" t="s">
        <v>1160</v>
      </c>
      <c r="I1314" t="s">
        <v>133</v>
      </c>
      <c r="J1314">
        <v>11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Y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H1314">
        <v>0</v>
      </c>
      <c r="AI1314">
        <v>15</v>
      </c>
      <c r="AJ1314">
        <v>20</v>
      </c>
      <c r="AK1314">
        <v>140</v>
      </c>
      <c r="AL1314">
        <v>0</v>
      </c>
      <c r="AM1314">
        <v>0</v>
      </c>
      <c r="AN1314">
        <v>0</v>
      </c>
      <c r="AO1314">
        <v>66</v>
      </c>
      <c r="AP1314">
        <v>111</v>
      </c>
      <c r="AQ1314">
        <v>6</v>
      </c>
      <c r="AR1314">
        <v>1.19606199928215</v>
      </c>
      <c r="AS1314">
        <v>1</v>
      </c>
      <c r="AT1314">
        <v>2.1212121212121202</v>
      </c>
      <c r="AU1314">
        <v>4.3290043290043302E-2</v>
      </c>
      <c r="AV1314">
        <v>1.9631171921475302E-2</v>
      </c>
      <c r="AW1314">
        <v>7.86768852800976E-2</v>
      </c>
      <c r="AX1314">
        <v>0</v>
      </c>
      <c r="AY1314">
        <v>1</v>
      </c>
      <c r="AZ1314">
        <v>0</v>
      </c>
      <c r="BA1314">
        <v>1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1</v>
      </c>
      <c r="BU1314">
        <v>5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C1314">
        <v>0</v>
      </c>
      <c r="DD1314">
        <v>0</v>
      </c>
      <c r="DE1314">
        <v>0</v>
      </c>
      <c r="DF1314">
        <v>0</v>
      </c>
      <c r="DH1314">
        <v>16</v>
      </c>
      <c r="DI1314">
        <v>31</v>
      </c>
    </row>
    <row r="1315" spans="1:113" ht="15" customHeight="1" x14ac:dyDescent="0.25">
      <c r="A1315" t="s">
        <v>6155</v>
      </c>
      <c r="B1315" t="s">
        <v>6156</v>
      </c>
      <c r="C1315" t="s">
        <v>6157</v>
      </c>
      <c r="D1315" t="s">
        <v>1234</v>
      </c>
      <c r="E1315" t="s">
        <v>1234</v>
      </c>
      <c r="F1315" t="s">
        <v>6158</v>
      </c>
      <c r="G1315">
        <v>2025</v>
      </c>
      <c r="H1315" t="s">
        <v>1160</v>
      </c>
      <c r="I1315" t="s">
        <v>142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Y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S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C1315">
        <v>0</v>
      </c>
      <c r="DD1315">
        <v>0</v>
      </c>
      <c r="DE1315">
        <v>0</v>
      </c>
      <c r="DF1315">
        <v>0</v>
      </c>
      <c r="DH1315">
        <v>0</v>
      </c>
      <c r="DI1315">
        <v>0</v>
      </c>
    </row>
    <row r="1316" spans="1:113" ht="15" customHeight="1" x14ac:dyDescent="0.25">
      <c r="A1316" t="s">
        <v>6159</v>
      </c>
      <c r="B1316" t="s">
        <v>6160</v>
      </c>
      <c r="C1316" t="s">
        <v>667</v>
      </c>
      <c r="D1316" t="s">
        <v>10</v>
      </c>
      <c r="E1316" t="s">
        <v>10</v>
      </c>
      <c r="F1316" t="s">
        <v>6161</v>
      </c>
      <c r="G1316">
        <v>2025</v>
      </c>
      <c r="H1316" t="s">
        <v>1160</v>
      </c>
      <c r="I1316" t="s">
        <v>121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Y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H1316">
        <v>0</v>
      </c>
      <c r="AI1316">
        <v>2</v>
      </c>
      <c r="AJ1316">
        <v>2</v>
      </c>
      <c r="AK1316">
        <v>20</v>
      </c>
      <c r="AL1316">
        <v>0</v>
      </c>
      <c r="AM1316">
        <v>0</v>
      </c>
      <c r="AN1316">
        <v>0</v>
      </c>
      <c r="AO1316">
        <v>17</v>
      </c>
      <c r="AP1316">
        <v>3</v>
      </c>
      <c r="AQ1316">
        <v>1</v>
      </c>
      <c r="AR1316">
        <v>0.59452239552047104</v>
      </c>
      <c r="AS1316">
        <v>0</v>
      </c>
      <c r="AT1316">
        <v>1.1764705882352899</v>
      </c>
      <c r="AU1316">
        <v>3.6166365280289299E-3</v>
      </c>
      <c r="AV1316">
        <v>3.56768100734523E-3</v>
      </c>
      <c r="AW1316">
        <v>7.92233149718506E-3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C1316">
        <v>0</v>
      </c>
      <c r="DD1316">
        <v>0</v>
      </c>
      <c r="DE1316">
        <v>0</v>
      </c>
      <c r="DF1316">
        <v>0</v>
      </c>
      <c r="DH1316">
        <v>2</v>
      </c>
      <c r="DI1316">
        <v>4</v>
      </c>
    </row>
    <row r="1317" spans="1:113" ht="15" customHeight="1" x14ac:dyDescent="0.25">
      <c r="A1317" t="s">
        <v>6162</v>
      </c>
      <c r="B1317" t="s">
        <v>6163</v>
      </c>
      <c r="C1317" t="s">
        <v>6164</v>
      </c>
      <c r="D1317" t="s">
        <v>1297</v>
      </c>
      <c r="E1317" t="s">
        <v>1220</v>
      </c>
      <c r="F1317" t="s">
        <v>6165</v>
      </c>
      <c r="G1317">
        <v>2025</v>
      </c>
      <c r="H1317" t="s">
        <v>1160</v>
      </c>
      <c r="I1317" t="s">
        <v>112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Y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2</v>
      </c>
      <c r="BU1317">
        <v>10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C1317">
        <v>0</v>
      </c>
      <c r="DD1317">
        <v>0</v>
      </c>
      <c r="DE1317">
        <v>0</v>
      </c>
      <c r="DF1317">
        <v>0</v>
      </c>
      <c r="DH1317">
        <v>0</v>
      </c>
      <c r="DI1317">
        <v>0</v>
      </c>
    </row>
    <row r="1318" spans="1:113" ht="15" customHeight="1" x14ac:dyDescent="0.25">
      <c r="A1318" t="s">
        <v>6166</v>
      </c>
      <c r="B1318" t="s">
        <v>6167</v>
      </c>
      <c r="C1318" t="s">
        <v>579</v>
      </c>
      <c r="D1318" t="s">
        <v>439</v>
      </c>
      <c r="E1318" t="s">
        <v>439</v>
      </c>
      <c r="F1318" t="s">
        <v>6168</v>
      </c>
      <c r="G1318">
        <v>2025</v>
      </c>
      <c r="H1318" t="s">
        <v>1160</v>
      </c>
      <c r="I1318" t="s">
        <v>112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Y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S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C1318">
        <v>0</v>
      </c>
      <c r="DD1318">
        <v>0</v>
      </c>
      <c r="DE1318">
        <v>0</v>
      </c>
      <c r="DF1318">
        <v>0</v>
      </c>
      <c r="DH1318">
        <v>0</v>
      </c>
      <c r="DI1318">
        <v>0</v>
      </c>
    </row>
    <row r="1319" spans="1:113" ht="15" customHeight="1" x14ac:dyDescent="0.25">
      <c r="A1319" t="s">
        <v>6169</v>
      </c>
      <c r="B1319" t="s">
        <v>6170</v>
      </c>
      <c r="C1319" t="s">
        <v>584</v>
      </c>
      <c r="D1319" t="s">
        <v>431</v>
      </c>
      <c r="E1319" t="s">
        <v>431</v>
      </c>
      <c r="F1319" t="s">
        <v>6171</v>
      </c>
      <c r="G1319">
        <v>2025</v>
      </c>
      <c r="H1319" t="s">
        <v>1160</v>
      </c>
      <c r="I1319" t="s">
        <v>112</v>
      </c>
      <c r="J1319">
        <v>14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Y1319">
        <v>0</v>
      </c>
      <c r="AA1319">
        <v>16</v>
      </c>
      <c r="AB1319">
        <v>71</v>
      </c>
      <c r="AC1319">
        <v>0</v>
      </c>
      <c r="AD1319">
        <v>0</v>
      </c>
      <c r="AE1319">
        <v>0</v>
      </c>
      <c r="AF1319">
        <v>6</v>
      </c>
      <c r="AG1319">
        <v>-1.59804113929564</v>
      </c>
      <c r="AH1319">
        <v>0</v>
      </c>
      <c r="AI1319">
        <v>13</v>
      </c>
      <c r="AJ1319">
        <v>15</v>
      </c>
      <c r="AK1319">
        <v>109</v>
      </c>
      <c r="AL1319">
        <v>1</v>
      </c>
      <c r="AM1319">
        <v>0</v>
      </c>
      <c r="AN1319">
        <v>0</v>
      </c>
      <c r="AO1319">
        <v>-3</v>
      </c>
      <c r="AP1319">
        <v>119</v>
      </c>
      <c r="AQ1319">
        <v>6</v>
      </c>
      <c r="AR1319">
        <v>4.6036526688716801</v>
      </c>
      <c r="AS1319">
        <v>0</v>
      </c>
      <c r="AT1319">
        <v>-36.3333333333333</v>
      </c>
      <c r="AU1319">
        <v>2.4711696869851699E-2</v>
      </c>
      <c r="AV1319">
        <v>-5.9183270862103005E-4</v>
      </c>
      <c r="AW1319">
        <v>3.66532624087429E-2</v>
      </c>
      <c r="AX1319">
        <v>0</v>
      </c>
      <c r="AY1319">
        <v>5</v>
      </c>
      <c r="AZ1319">
        <v>0</v>
      </c>
      <c r="BA1319">
        <v>10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1</v>
      </c>
      <c r="BU1319">
        <v>10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C1319">
        <v>0</v>
      </c>
      <c r="DD1319">
        <v>0</v>
      </c>
      <c r="DE1319">
        <v>0</v>
      </c>
      <c r="DF1319">
        <v>0</v>
      </c>
      <c r="DH1319">
        <v>24</v>
      </c>
      <c r="DI1319">
        <v>37</v>
      </c>
    </row>
    <row r="1320" spans="1:113" ht="15" customHeight="1" x14ac:dyDescent="0.25">
      <c r="A1320" t="s">
        <v>6172</v>
      </c>
      <c r="B1320" t="s">
        <v>6173</v>
      </c>
      <c r="C1320" t="s">
        <v>6174</v>
      </c>
      <c r="D1320" t="s">
        <v>10</v>
      </c>
      <c r="E1320" t="s">
        <v>10</v>
      </c>
      <c r="F1320" t="s">
        <v>6175</v>
      </c>
      <c r="G1320">
        <v>2025</v>
      </c>
      <c r="H1320" t="s">
        <v>1160</v>
      </c>
      <c r="I1320" t="s">
        <v>112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Y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S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1</v>
      </c>
      <c r="BM1320">
        <v>0</v>
      </c>
      <c r="BN1320">
        <v>0</v>
      </c>
      <c r="BO1320">
        <v>1</v>
      </c>
      <c r="BP1320">
        <v>1</v>
      </c>
      <c r="BQ1320">
        <v>0</v>
      </c>
      <c r="BR1320">
        <v>0</v>
      </c>
      <c r="BS1320">
        <v>0</v>
      </c>
      <c r="BT1320">
        <v>1</v>
      </c>
      <c r="BU1320">
        <v>4</v>
      </c>
      <c r="BV1320">
        <v>3</v>
      </c>
      <c r="BW1320">
        <v>27</v>
      </c>
      <c r="BX1320">
        <v>2</v>
      </c>
      <c r="BY1320">
        <v>38</v>
      </c>
      <c r="BZ1320">
        <v>0</v>
      </c>
      <c r="CA1320">
        <v>0</v>
      </c>
      <c r="CB1320">
        <v>0</v>
      </c>
      <c r="CC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C1320">
        <v>0</v>
      </c>
      <c r="DD1320">
        <v>0</v>
      </c>
      <c r="DE1320">
        <v>0</v>
      </c>
      <c r="DF1320">
        <v>0</v>
      </c>
      <c r="DH1320">
        <v>0</v>
      </c>
      <c r="DI1320">
        <v>0</v>
      </c>
    </row>
    <row r="1321" spans="1:113" ht="15" customHeight="1" x14ac:dyDescent="0.25">
      <c r="A1321" t="s">
        <v>6176</v>
      </c>
      <c r="B1321" t="s">
        <v>6177</v>
      </c>
      <c r="C1321" t="s">
        <v>6178</v>
      </c>
      <c r="D1321" t="s">
        <v>1189</v>
      </c>
      <c r="E1321" t="s">
        <v>1190</v>
      </c>
      <c r="F1321" t="s">
        <v>6179</v>
      </c>
      <c r="G1321">
        <v>2025</v>
      </c>
      <c r="H1321" t="s">
        <v>1160</v>
      </c>
      <c r="I1321" t="s">
        <v>111</v>
      </c>
      <c r="J1321">
        <v>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Y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S1321">
        <v>0</v>
      </c>
      <c r="AU1321">
        <v>0</v>
      </c>
      <c r="AV1321">
        <v>0</v>
      </c>
      <c r="AW1321">
        <v>0</v>
      </c>
      <c r="AX1321">
        <v>0</v>
      </c>
      <c r="AY1321">
        <v>7</v>
      </c>
      <c r="AZ1321">
        <v>0</v>
      </c>
      <c r="BA1321">
        <v>8</v>
      </c>
      <c r="BB1321">
        <v>1</v>
      </c>
      <c r="BC1321">
        <v>11</v>
      </c>
      <c r="BD1321">
        <v>1</v>
      </c>
      <c r="BE1321">
        <v>1.5</v>
      </c>
      <c r="BF1321">
        <v>11</v>
      </c>
      <c r="BG1321">
        <v>2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C1321">
        <v>0</v>
      </c>
      <c r="DD1321">
        <v>0</v>
      </c>
      <c r="DE1321">
        <v>0</v>
      </c>
      <c r="DF1321">
        <v>0</v>
      </c>
      <c r="DH1321">
        <v>0</v>
      </c>
      <c r="DI1321">
        <v>0</v>
      </c>
    </row>
    <row r="1322" spans="1:113" ht="15" customHeight="1" x14ac:dyDescent="0.25">
      <c r="A1322" t="s">
        <v>6180</v>
      </c>
      <c r="B1322" t="s">
        <v>6181</v>
      </c>
      <c r="C1322" t="s">
        <v>942</v>
      </c>
      <c r="D1322" t="s">
        <v>10</v>
      </c>
      <c r="E1322" t="s">
        <v>10</v>
      </c>
      <c r="F1322" t="s">
        <v>6182</v>
      </c>
      <c r="G1322">
        <v>2025</v>
      </c>
      <c r="H1322" t="s">
        <v>1160</v>
      </c>
      <c r="I1322" t="s">
        <v>140</v>
      </c>
      <c r="J1322">
        <v>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Y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H1322">
        <v>0</v>
      </c>
      <c r="AI1322">
        <v>2</v>
      </c>
      <c r="AJ1322">
        <v>2</v>
      </c>
      <c r="AK1322">
        <v>20</v>
      </c>
      <c r="AL1322">
        <v>0</v>
      </c>
      <c r="AM1322">
        <v>0</v>
      </c>
      <c r="AN1322">
        <v>0</v>
      </c>
      <c r="AO1322">
        <v>14</v>
      </c>
      <c r="AP1322">
        <v>6</v>
      </c>
      <c r="AQ1322">
        <v>1</v>
      </c>
      <c r="AR1322">
        <v>1.13526193040889</v>
      </c>
      <c r="AS1322">
        <v>0</v>
      </c>
      <c r="AT1322">
        <v>1.4285714285714299</v>
      </c>
      <c r="AU1322">
        <v>4.3956043956043999E-3</v>
      </c>
      <c r="AV1322">
        <v>3.72538584353379E-3</v>
      </c>
      <c r="AW1322">
        <v>9.2011766838802495E-3</v>
      </c>
      <c r="AX1322">
        <v>0</v>
      </c>
      <c r="AY1322">
        <v>1</v>
      </c>
      <c r="AZ1322">
        <v>0</v>
      </c>
      <c r="BA1322">
        <v>2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3</v>
      </c>
      <c r="BU1322">
        <v>30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C1322">
        <v>0</v>
      </c>
      <c r="DD1322">
        <v>0</v>
      </c>
      <c r="DE1322">
        <v>0</v>
      </c>
      <c r="DF1322">
        <v>0</v>
      </c>
      <c r="DH1322">
        <v>2</v>
      </c>
      <c r="DI1322">
        <v>4</v>
      </c>
    </row>
    <row r="1323" spans="1:113" ht="15" customHeight="1" x14ac:dyDescent="0.25">
      <c r="A1323" t="s">
        <v>6183</v>
      </c>
      <c r="B1323" t="s">
        <v>6184</v>
      </c>
      <c r="C1323" t="s">
        <v>6185</v>
      </c>
      <c r="D1323" t="s">
        <v>1234</v>
      </c>
      <c r="E1323" t="s">
        <v>1234</v>
      </c>
      <c r="F1323" t="s">
        <v>6186</v>
      </c>
      <c r="G1323">
        <v>2025</v>
      </c>
      <c r="H1323" t="s">
        <v>1160</v>
      </c>
      <c r="I1323" t="s">
        <v>140</v>
      </c>
      <c r="J1323">
        <v>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Y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S1323">
        <v>0</v>
      </c>
      <c r="AU1323">
        <v>0</v>
      </c>
      <c r="AV1323">
        <v>0</v>
      </c>
      <c r="AW1323">
        <v>0</v>
      </c>
      <c r="AX1323">
        <v>0</v>
      </c>
      <c r="AY1323">
        <v>8</v>
      </c>
      <c r="AZ1323">
        <v>0</v>
      </c>
      <c r="BA1323">
        <v>11</v>
      </c>
      <c r="BB1323">
        <v>1</v>
      </c>
      <c r="BC1323">
        <v>1</v>
      </c>
      <c r="BD1323">
        <v>0</v>
      </c>
      <c r="BE1323">
        <v>1</v>
      </c>
      <c r="BF1323">
        <v>1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C1323">
        <v>0</v>
      </c>
      <c r="DD1323">
        <v>0</v>
      </c>
      <c r="DE1323">
        <v>0</v>
      </c>
      <c r="DF1323">
        <v>0</v>
      </c>
      <c r="DH1323">
        <v>0</v>
      </c>
      <c r="DI1323">
        <v>0</v>
      </c>
    </row>
    <row r="1324" spans="1:113" ht="15" customHeight="1" x14ac:dyDescent="0.25">
      <c r="A1324" t="s">
        <v>6187</v>
      </c>
      <c r="B1324" t="s">
        <v>6188</v>
      </c>
      <c r="C1324" t="s">
        <v>6189</v>
      </c>
      <c r="D1324" t="s">
        <v>1684</v>
      </c>
      <c r="E1324" t="s">
        <v>1307</v>
      </c>
      <c r="F1324" t="s">
        <v>6190</v>
      </c>
      <c r="G1324">
        <v>2025</v>
      </c>
      <c r="H1324" t="s">
        <v>1160</v>
      </c>
      <c r="I1324" t="s">
        <v>140</v>
      </c>
      <c r="J1324">
        <v>15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Y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S1324">
        <v>0</v>
      </c>
      <c r="AU1324">
        <v>0</v>
      </c>
      <c r="AV1324">
        <v>0</v>
      </c>
      <c r="AW1324">
        <v>0</v>
      </c>
      <c r="AX1324">
        <v>0</v>
      </c>
      <c r="AY1324">
        <v>45</v>
      </c>
      <c r="AZ1324">
        <v>1</v>
      </c>
      <c r="BA1324">
        <v>19</v>
      </c>
      <c r="BB1324">
        <v>3</v>
      </c>
      <c r="BC1324">
        <v>11</v>
      </c>
      <c r="BD1324">
        <v>0</v>
      </c>
      <c r="BE1324">
        <v>1.5</v>
      </c>
      <c r="BF1324">
        <v>11.5</v>
      </c>
      <c r="BG1324">
        <v>2</v>
      </c>
      <c r="BH1324">
        <v>1</v>
      </c>
      <c r="BI1324">
        <v>0</v>
      </c>
      <c r="BJ1324">
        <v>6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</v>
      </c>
      <c r="BR1324">
        <v>1</v>
      </c>
      <c r="BS1324">
        <v>0</v>
      </c>
      <c r="BT1324">
        <v>1</v>
      </c>
      <c r="BU1324">
        <v>15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C1324">
        <v>0</v>
      </c>
      <c r="DD1324">
        <v>0</v>
      </c>
      <c r="DE1324">
        <v>0</v>
      </c>
      <c r="DF1324">
        <v>0</v>
      </c>
      <c r="DH1324">
        <v>0</v>
      </c>
      <c r="DI1324">
        <v>0</v>
      </c>
    </row>
    <row r="1325" spans="1:113" ht="15" customHeight="1" x14ac:dyDescent="0.25">
      <c r="A1325" t="s">
        <v>6191</v>
      </c>
      <c r="B1325" t="s">
        <v>6192</v>
      </c>
      <c r="C1325" t="s">
        <v>6193</v>
      </c>
      <c r="D1325" t="s">
        <v>1214</v>
      </c>
      <c r="E1325" t="s">
        <v>1169</v>
      </c>
      <c r="F1325" t="s">
        <v>6194</v>
      </c>
      <c r="G1325">
        <v>2025</v>
      </c>
      <c r="H1325" t="s">
        <v>1160</v>
      </c>
      <c r="I1325" t="s">
        <v>140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Y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S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C1325">
        <v>0</v>
      </c>
      <c r="DD1325">
        <v>0</v>
      </c>
      <c r="DE1325">
        <v>0</v>
      </c>
      <c r="DF1325">
        <v>0</v>
      </c>
      <c r="DH1325">
        <v>0</v>
      </c>
      <c r="DI1325">
        <v>0</v>
      </c>
    </row>
    <row r="1326" spans="1:113" ht="15" customHeight="1" x14ac:dyDescent="0.25">
      <c r="A1326" t="s">
        <v>6195</v>
      </c>
      <c r="B1326" t="s">
        <v>6196</v>
      </c>
      <c r="C1326" t="s">
        <v>6197</v>
      </c>
      <c r="D1326" t="s">
        <v>1190</v>
      </c>
      <c r="E1326" t="s">
        <v>1190</v>
      </c>
      <c r="F1326" t="s">
        <v>6198</v>
      </c>
      <c r="G1326">
        <v>2025</v>
      </c>
      <c r="H1326" t="s">
        <v>1160</v>
      </c>
      <c r="I1326" t="s">
        <v>137</v>
      </c>
      <c r="J1326">
        <v>17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Y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S1326">
        <v>0</v>
      </c>
      <c r="AU1326">
        <v>0</v>
      </c>
      <c r="AV1326">
        <v>0</v>
      </c>
      <c r="AW1326">
        <v>0</v>
      </c>
      <c r="AX1326">
        <v>0</v>
      </c>
      <c r="AY1326">
        <v>30</v>
      </c>
      <c r="AZ1326">
        <v>3</v>
      </c>
      <c r="BA1326">
        <v>29</v>
      </c>
      <c r="BB1326">
        <v>12</v>
      </c>
      <c r="BC1326">
        <v>55</v>
      </c>
      <c r="BD1326">
        <v>1</v>
      </c>
      <c r="BE1326">
        <v>6</v>
      </c>
      <c r="BF1326">
        <v>42</v>
      </c>
      <c r="BG1326">
        <v>8</v>
      </c>
      <c r="BH1326">
        <v>0</v>
      </c>
      <c r="BI1326">
        <v>0</v>
      </c>
      <c r="BJ1326">
        <v>5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2</v>
      </c>
      <c r="BR1326">
        <v>2</v>
      </c>
      <c r="BS1326">
        <v>0</v>
      </c>
      <c r="BT1326">
        <v>1</v>
      </c>
      <c r="BU1326">
        <v>5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C1326">
        <v>0</v>
      </c>
      <c r="DD1326">
        <v>0</v>
      </c>
      <c r="DE1326">
        <v>0</v>
      </c>
      <c r="DF1326">
        <v>0</v>
      </c>
      <c r="DH1326">
        <v>0</v>
      </c>
      <c r="DI1326">
        <v>0</v>
      </c>
    </row>
    <row r="1327" spans="1:113" ht="15" customHeight="1" x14ac:dyDescent="0.25">
      <c r="A1327" t="s">
        <v>6199</v>
      </c>
      <c r="B1327" t="s">
        <v>6200</v>
      </c>
      <c r="C1327" t="s">
        <v>6201</v>
      </c>
      <c r="D1327" t="s">
        <v>1234</v>
      </c>
      <c r="E1327" t="s">
        <v>1234</v>
      </c>
      <c r="F1327" t="s">
        <v>6202</v>
      </c>
      <c r="G1327">
        <v>2025</v>
      </c>
      <c r="H1327" t="s">
        <v>1160</v>
      </c>
      <c r="I1327" t="s">
        <v>138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Y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S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C1327">
        <v>0</v>
      </c>
      <c r="DD1327">
        <v>0</v>
      </c>
      <c r="DE1327">
        <v>0</v>
      </c>
      <c r="DF1327">
        <v>0</v>
      </c>
      <c r="DH1327">
        <v>0</v>
      </c>
      <c r="DI1327">
        <v>0</v>
      </c>
    </row>
    <row r="1328" spans="1:113" ht="15" customHeight="1" x14ac:dyDescent="0.25">
      <c r="A1328" t="s">
        <v>6203</v>
      </c>
      <c r="B1328" t="s">
        <v>6204</v>
      </c>
      <c r="C1328" t="s">
        <v>592</v>
      </c>
      <c r="D1328" t="s">
        <v>439</v>
      </c>
      <c r="E1328" t="s">
        <v>439</v>
      </c>
      <c r="F1328" t="s">
        <v>6205</v>
      </c>
      <c r="G1328">
        <v>2025</v>
      </c>
      <c r="H1328" t="s">
        <v>1160</v>
      </c>
      <c r="I1328" t="s">
        <v>115</v>
      </c>
      <c r="J1328">
        <v>6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Y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H1328">
        <v>0</v>
      </c>
      <c r="AI1328">
        <v>6</v>
      </c>
      <c r="AJ1328">
        <v>11</v>
      </c>
      <c r="AK1328">
        <v>48</v>
      </c>
      <c r="AL1328">
        <v>1</v>
      </c>
      <c r="AM1328">
        <v>0</v>
      </c>
      <c r="AN1328">
        <v>0</v>
      </c>
      <c r="AO1328">
        <v>35</v>
      </c>
      <c r="AP1328">
        <v>26</v>
      </c>
      <c r="AQ1328">
        <v>3</v>
      </c>
      <c r="AR1328">
        <v>-0.6282122216071</v>
      </c>
      <c r="AS1328">
        <v>0</v>
      </c>
      <c r="AT1328">
        <v>1.3714285714285701</v>
      </c>
      <c r="AU1328">
        <v>1.8835616438356202E-2</v>
      </c>
      <c r="AV1328">
        <v>7.7985739750445603E-3</v>
      </c>
      <c r="AW1328">
        <v>3.3712426440065398E-2</v>
      </c>
      <c r="AX1328">
        <v>0</v>
      </c>
      <c r="AY1328">
        <v>1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C1328">
        <v>0</v>
      </c>
      <c r="DD1328">
        <v>0</v>
      </c>
      <c r="DE1328">
        <v>0</v>
      </c>
      <c r="DF1328">
        <v>0</v>
      </c>
      <c r="DH1328">
        <v>10.8</v>
      </c>
      <c r="DI1328">
        <v>16.8</v>
      </c>
    </row>
    <row r="1329" spans="1:113" ht="15" customHeight="1" x14ac:dyDescent="0.25">
      <c r="A1329" t="s">
        <v>6206</v>
      </c>
      <c r="B1329" t="s">
        <v>3541</v>
      </c>
      <c r="C1329" t="s">
        <v>6207</v>
      </c>
      <c r="D1329" t="s">
        <v>1350</v>
      </c>
      <c r="E1329" t="s">
        <v>1307</v>
      </c>
      <c r="F1329" t="s">
        <v>6208</v>
      </c>
      <c r="G1329">
        <v>2025</v>
      </c>
      <c r="H1329" t="s">
        <v>1160</v>
      </c>
      <c r="I1329" t="s">
        <v>139</v>
      </c>
      <c r="J1329">
        <v>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Y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S1329">
        <v>0</v>
      </c>
      <c r="AU1329">
        <v>0</v>
      </c>
      <c r="AV1329">
        <v>0</v>
      </c>
      <c r="AW1329">
        <v>0</v>
      </c>
      <c r="AX1329">
        <v>0</v>
      </c>
      <c r="AY1329">
        <v>6</v>
      </c>
      <c r="AZ1329">
        <v>0</v>
      </c>
      <c r="BA1329">
        <v>5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C1329">
        <v>0</v>
      </c>
      <c r="DD1329">
        <v>0</v>
      </c>
      <c r="DE1329">
        <v>0</v>
      </c>
      <c r="DF1329">
        <v>0</v>
      </c>
      <c r="DH1329">
        <v>0</v>
      </c>
      <c r="DI1329">
        <v>0</v>
      </c>
    </row>
    <row r="1330" spans="1:113" ht="15" customHeight="1" x14ac:dyDescent="0.25">
      <c r="A1330" t="s">
        <v>6209</v>
      </c>
      <c r="B1330" t="s">
        <v>6210</v>
      </c>
      <c r="C1330" t="s">
        <v>6211</v>
      </c>
      <c r="D1330" t="s">
        <v>1234</v>
      </c>
      <c r="E1330" t="s">
        <v>1234</v>
      </c>
      <c r="F1330" t="s">
        <v>6212</v>
      </c>
      <c r="G1330">
        <v>2025</v>
      </c>
      <c r="H1330" t="s">
        <v>1160</v>
      </c>
      <c r="I1330" t="s">
        <v>96</v>
      </c>
      <c r="J1330">
        <v>15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Y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S1330">
        <v>0</v>
      </c>
      <c r="AU1330">
        <v>0</v>
      </c>
      <c r="AV1330">
        <v>0</v>
      </c>
      <c r="AW1330">
        <v>0</v>
      </c>
      <c r="AX1330">
        <v>0</v>
      </c>
      <c r="AY1330">
        <v>8</v>
      </c>
      <c r="AZ1330">
        <v>1</v>
      </c>
      <c r="BA1330">
        <v>8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4</v>
      </c>
      <c r="BU1330">
        <v>40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C1330">
        <v>0</v>
      </c>
      <c r="DD1330">
        <v>0</v>
      </c>
      <c r="DE1330">
        <v>0</v>
      </c>
      <c r="DF1330">
        <v>0</v>
      </c>
      <c r="DH1330">
        <v>0</v>
      </c>
      <c r="DI1330">
        <v>0</v>
      </c>
    </row>
    <row r="1331" spans="1:113" ht="15" customHeight="1" x14ac:dyDescent="0.25">
      <c r="A1331" t="s">
        <v>6213</v>
      </c>
      <c r="B1331" t="s">
        <v>6214</v>
      </c>
      <c r="C1331" t="s">
        <v>603</v>
      </c>
      <c r="D1331" t="s">
        <v>431</v>
      </c>
      <c r="E1331" t="s">
        <v>431</v>
      </c>
      <c r="F1331" t="s">
        <v>6215</v>
      </c>
      <c r="G1331">
        <v>2025</v>
      </c>
      <c r="H1331" t="s">
        <v>1160</v>
      </c>
      <c r="I1331" t="s">
        <v>115</v>
      </c>
      <c r="J1331">
        <v>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Y1331">
        <v>0</v>
      </c>
      <c r="AA1331">
        <v>37</v>
      </c>
      <c r="AB1331">
        <v>187</v>
      </c>
      <c r="AC1331">
        <v>1</v>
      </c>
      <c r="AD1331">
        <v>0</v>
      </c>
      <c r="AE1331">
        <v>0</v>
      </c>
      <c r="AF1331">
        <v>8</v>
      </c>
      <c r="AG1331">
        <v>1.60191271163058</v>
      </c>
      <c r="AH1331">
        <v>0</v>
      </c>
      <c r="AI1331">
        <v>4</v>
      </c>
      <c r="AJ1331">
        <v>6</v>
      </c>
      <c r="AK1331">
        <v>27</v>
      </c>
      <c r="AL1331">
        <v>0</v>
      </c>
      <c r="AM1331">
        <v>0</v>
      </c>
      <c r="AN1331">
        <v>0</v>
      </c>
      <c r="AO1331">
        <v>-23</v>
      </c>
      <c r="AP1331">
        <v>39</v>
      </c>
      <c r="AQ1331">
        <v>2</v>
      </c>
      <c r="AR1331">
        <v>-2.2231260588159798</v>
      </c>
      <c r="AS1331">
        <v>0</v>
      </c>
      <c r="AT1331">
        <v>-1.1739130434782601</v>
      </c>
      <c r="AU1331">
        <v>1.0273972602739699E-2</v>
      </c>
      <c r="AV1331">
        <v>-5.1247771836007098E-3</v>
      </c>
      <c r="AW1331">
        <v>1.1823614875589099E-2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1</v>
      </c>
      <c r="BY1331">
        <v>28</v>
      </c>
      <c r="BZ1331">
        <v>0</v>
      </c>
      <c r="CA1331">
        <v>0</v>
      </c>
      <c r="CB1331">
        <v>0</v>
      </c>
      <c r="CC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C1331">
        <v>0</v>
      </c>
      <c r="DD1331">
        <v>0</v>
      </c>
      <c r="DE1331">
        <v>0</v>
      </c>
      <c r="DF1331">
        <v>0</v>
      </c>
      <c r="DH1331">
        <v>27.4</v>
      </c>
      <c r="DI1331">
        <v>31.4</v>
      </c>
    </row>
    <row r="1332" spans="1:113" ht="15" customHeight="1" x14ac:dyDescent="0.25">
      <c r="A1332" t="s">
        <v>6216</v>
      </c>
      <c r="B1332" t="s">
        <v>6217</v>
      </c>
      <c r="C1332" t="s">
        <v>6218</v>
      </c>
      <c r="D1332" t="s">
        <v>1243</v>
      </c>
      <c r="E1332" t="s">
        <v>1190</v>
      </c>
      <c r="F1332" t="s">
        <v>6219</v>
      </c>
      <c r="G1332">
        <v>2025</v>
      </c>
      <c r="H1332" t="s">
        <v>1160</v>
      </c>
      <c r="I1332" t="s">
        <v>90</v>
      </c>
      <c r="J1332">
        <v>13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Y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S1332">
        <v>0</v>
      </c>
      <c r="AU1332">
        <v>0</v>
      </c>
      <c r="AV1332">
        <v>0</v>
      </c>
      <c r="AW1332">
        <v>0</v>
      </c>
      <c r="AX1332">
        <v>0</v>
      </c>
      <c r="AY1332">
        <v>11</v>
      </c>
      <c r="AZ1332">
        <v>0</v>
      </c>
      <c r="BA1332">
        <v>21</v>
      </c>
      <c r="BB1332">
        <v>1</v>
      </c>
      <c r="BC1332">
        <v>1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2</v>
      </c>
      <c r="BU1332">
        <v>10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C1332">
        <v>0</v>
      </c>
      <c r="DD1332">
        <v>0</v>
      </c>
      <c r="DE1332">
        <v>0</v>
      </c>
      <c r="DF1332">
        <v>0</v>
      </c>
      <c r="DH1332">
        <v>0</v>
      </c>
      <c r="DI1332">
        <v>0</v>
      </c>
    </row>
    <row r="1333" spans="1:113" ht="15" customHeight="1" x14ac:dyDescent="0.25">
      <c r="A1333" t="s">
        <v>6220</v>
      </c>
      <c r="B1333" t="s">
        <v>6221</v>
      </c>
      <c r="C1333" t="s">
        <v>6222</v>
      </c>
      <c r="D1333" t="s">
        <v>1219</v>
      </c>
      <c r="E1333" t="s">
        <v>1220</v>
      </c>
      <c r="F1333" t="s">
        <v>6223</v>
      </c>
      <c r="G1333">
        <v>2025</v>
      </c>
      <c r="H1333" t="s">
        <v>1160</v>
      </c>
      <c r="I1333" t="s">
        <v>115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Y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S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2</v>
      </c>
      <c r="BU1333">
        <v>25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C1333">
        <v>0</v>
      </c>
      <c r="DD1333">
        <v>0</v>
      </c>
      <c r="DE1333">
        <v>0</v>
      </c>
      <c r="DF1333">
        <v>0</v>
      </c>
      <c r="DH1333">
        <v>0</v>
      </c>
      <c r="DI1333">
        <v>0</v>
      </c>
    </row>
    <row r="1334" spans="1:113" ht="15" customHeight="1" x14ac:dyDescent="0.25">
      <c r="A1334" t="s">
        <v>6224</v>
      </c>
      <c r="B1334" t="s">
        <v>1954</v>
      </c>
      <c r="C1334" t="s">
        <v>957</v>
      </c>
      <c r="D1334" t="s">
        <v>431</v>
      </c>
      <c r="E1334" t="s">
        <v>431</v>
      </c>
      <c r="F1334" t="s">
        <v>6225</v>
      </c>
      <c r="G1334">
        <v>2025</v>
      </c>
      <c r="H1334" t="s">
        <v>1160</v>
      </c>
      <c r="I1334" t="s">
        <v>118</v>
      </c>
      <c r="J1334">
        <v>17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Y1334">
        <v>0</v>
      </c>
      <c r="AA1334">
        <v>125</v>
      </c>
      <c r="AB1334">
        <v>496</v>
      </c>
      <c r="AC1334">
        <v>3</v>
      </c>
      <c r="AD1334">
        <v>0</v>
      </c>
      <c r="AE1334">
        <v>0</v>
      </c>
      <c r="AF1334">
        <v>32</v>
      </c>
      <c r="AG1334">
        <v>-7.7098985498588499</v>
      </c>
      <c r="AH1334">
        <v>0</v>
      </c>
      <c r="AI1334">
        <v>15</v>
      </c>
      <c r="AJ1334">
        <v>17</v>
      </c>
      <c r="AK1334">
        <v>99</v>
      </c>
      <c r="AL1334">
        <v>0</v>
      </c>
      <c r="AM1334">
        <v>1</v>
      </c>
      <c r="AN1334">
        <v>0</v>
      </c>
      <c r="AO1334">
        <v>-32</v>
      </c>
      <c r="AP1334">
        <v>133</v>
      </c>
      <c r="AQ1334">
        <v>6</v>
      </c>
      <c r="AR1334">
        <v>1.0183610100896301</v>
      </c>
      <c r="AS1334">
        <v>1</v>
      </c>
      <c r="AT1334">
        <v>-3.09375</v>
      </c>
      <c r="AU1334">
        <v>3.6956521739130402E-2</v>
      </c>
      <c r="AV1334">
        <v>-7.4713985524165298E-3</v>
      </c>
      <c r="AW1334">
        <v>5.02048036220041E-2</v>
      </c>
      <c r="AX1334">
        <v>0</v>
      </c>
      <c r="AY1334">
        <v>1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9</v>
      </c>
      <c r="BY1334">
        <v>233</v>
      </c>
      <c r="BZ1334">
        <v>0</v>
      </c>
      <c r="CA1334">
        <v>0</v>
      </c>
      <c r="CB1334">
        <v>0</v>
      </c>
      <c r="CC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C1334">
        <v>0</v>
      </c>
      <c r="DD1334">
        <v>0</v>
      </c>
      <c r="DE1334">
        <v>0</v>
      </c>
      <c r="DF1334">
        <v>0</v>
      </c>
      <c r="DH1334">
        <v>79.5</v>
      </c>
      <c r="DI1334">
        <v>94.5</v>
      </c>
    </row>
    <row r="1335" spans="1:113" ht="15" customHeight="1" x14ac:dyDescent="0.25">
      <c r="A1335" t="s">
        <v>6226</v>
      </c>
      <c r="B1335" t="s">
        <v>6227</v>
      </c>
      <c r="C1335" t="s">
        <v>6228</v>
      </c>
      <c r="D1335" t="s">
        <v>1234</v>
      </c>
      <c r="E1335" t="s">
        <v>1234</v>
      </c>
      <c r="F1335" t="s">
        <v>6229</v>
      </c>
      <c r="G1335">
        <v>2025</v>
      </c>
      <c r="H1335" t="s">
        <v>1160</v>
      </c>
      <c r="I1335" t="s">
        <v>137</v>
      </c>
      <c r="J1335">
        <v>15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Y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S1335">
        <v>0</v>
      </c>
      <c r="AU1335">
        <v>0</v>
      </c>
      <c r="AV1335">
        <v>0</v>
      </c>
      <c r="AW1335">
        <v>0</v>
      </c>
      <c r="AX1335">
        <v>0</v>
      </c>
      <c r="AY1335">
        <v>30</v>
      </c>
      <c r="AZ1335">
        <v>4</v>
      </c>
      <c r="BA1335">
        <v>28</v>
      </c>
      <c r="BB1335">
        <v>2</v>
      </c>
      <c r="BC1335">
        <v>3</v>
      </c>
      <c r="BD1335">
        <v>0</v>
      </c>
      <c r="BE1335">
        <v>1</v>
      </c>
      <c r="BF1335">
        <v>2</v>
      </c>
      <c r="BG1335">
        <v>6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3</v>
      </c>
      <c r="BU1335">
        <v>30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C1335">
        <v>0</v>
      </c>
      <c r="DD1335">
        <v>0</v>
      </c>
      <c r="DE1335">
        <v>0</v>
      </c>
      <c r="DF1335">
        <v>0</v>
      </c>
      <c r="DH1335">
        <v>0</v>
      </c>
      <c r="DI1335">
        <v>0</v>
      </c>
    </row>
    <row r="1336" spans="1:113" ht="15" customHeight="1" x14ac:dyDescent="0.25">
      <c r="A1336" t="s">
        <v>6230</v>
      </c>
      <c r="B1336" t="s">
        <v>6231</v>
      </c>
      <c r="C1336" t="s">
        <v>788</v>
      </c>
      <c r="D1336" t="s">
        <v>439</v>
      </c>
      <c r="E1336" t="s">
        <v>439</v>
      </c>
      <c r="F1336" t="s">
        <v>6232</v>
      </c>
      <c r="G1336">
        <v>2025</v>
      </c>
      <c r="H1336" t="s">
        <v>1160</v>
      </c>
      <c r="I1336" t="s">
        <v>137</v>
      </c>
      <c r="J1336">
        <v>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Y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H1336">
        <v>0</v>
      </c>
      <c r="AI1336">
        <v>3</v>
      </c>
      <c r="AJ1336">
        <v>6</v>
      </c>
      <c r="AK1336">
        <v>30</v>
      </c>
      <c r="AL1336">
        <v>0</v>
      </c>
      <c r="AM1336">
        <v>0</v>
      </c>
      <c r="AN1336">
        <v>0</v>
      </c>
      <c r="AO1336">
        <v>73</v>
      </c>
      <c r="AP1336">
        <v>5</v>
      </c>
      <c r="AQ1336">
        <v>2</v>
      </c>
      <c r="AR1336">
        <v>0.73327856589457996</v>
      </c>
      <c r="AS1336">
        <v>0</v>
      </c>
      <c r="AT1336">
        <v>0.41095890410958902</v>
      </c>
      <c r="AU1336">
        <v>1.2820512820512799E-2</v>
      </c>
      <c r="AV1336">
        <v>1.9430396593026401E-2</v>
      </c>
      <c r="AW1336">
        <v>3.2832046845887697E-2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C1336">
        <v>0</v>
      </c>
      <c r="DD1336">
        <v>0</v>
      </c>
      <c r="DE1336">
        <v>0</v>
      </c>
      <c r="DF1336">
        <v>0</v>
      </c>
      <c r="DH1336">
        <v>3</v>
      </c>
      <c r="DI1336">
        <v>6</v>
      </c>
    </row>
    <row r="1337" spans="1:113" ht="15" customHeight="1" x14ac:dyDescent="0.25">
      <c r="A1337" t="s">
        <v>6233</v>
      </c>
      <c r="B1337" t="s">
        <v>6234</v>
      </c>
      <c r="C1337" t="s">
        <v>6235</v>
      </c>
      <c r="D1337" t="s">
        <v>1214</v>
      </c>
      <c r="E1337" t="s">
        <v>1169</v>
      </c>
      <c r="F1337" t="s">
        <v>6236</v>
      </c>
      <c r="G1337">
        <v>2025</v>
      </c>
      <c r="H1337" t="s">
        <v>1160</v>
      </c>
      <c r="I1337" t="s">
        <v>126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Y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S1337">
        <v>0</v>
      </c>
      <c r="AU1337">
        <v>0</v>
      </c>
      <c r="AV1337">
        <v>0</v>
      </c>
      <c r="AW1337">
        <v>0</v>
      </c>
      <c r="AX1337">
        <v>0</v>
      </c>
      <c r="AY1337">
        <v>1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10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C1337">
        <v>0</v>
      </c>
      <c r="DD1337">
        <v>0</v>
      </c>
      <c r="DE1337">
        <v>0</v>
      </c>
      <c r="DF1337">
        <v>0</v>
      </c>
      <c r="DH1337">
        <v>0</v>
      </c>
      <c r="DI1337">
        <v>0</v>
      </c>
    </row>
    <row r="1338" spans="1:113" ht="15" customHeight="1" x14ac:dyDescent="0.25">
      <c r="A1338" t="s">
        <v>6237</v>
      </c>
      <c r="B1338" t="s">
        <v>6238</v>
      </c>
      <c r="C1338" t="s">
        <v>6239</v>
      </c>
      <c r="D1338" t="s">
        <v>1219</v>
      </c>
      <c r="E1338" t="s">
        <v>1220</v>
      </c>
      <c r="F1338" t="s">
        <v>6240</v>
      </c>
      <c r="G1338">
        <v>2025</v>
      </c>
      <c r="H1338" t="s">
        <v>1160</v>
      </c>
      <c r="I1338" t="s">
        <v>126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Y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S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2</v>
      </c>
      <c r="BU1338">
        <v>20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C1338">
        <v>0</v>
      </c>
      <c r="DD1338">
        <v>0</v>
      </c>
      <c r="DE1338">
        <v>0</v>
      </c>
      <c r="DF1338">
        <v>0</v>
      </c>
      <c r="DH1338">
        <v>0</v>
      </c>
      <c r="DI1338">
        <v>0</v>
      </c>
    </row>
    <row r="1339" spans="1:113" ht="15" customHeight="1" x14ac:dyDescent="0.25">
      <c r="A1339" t="s">
        <v>6241</v>
      </c>
      <c r="B1339" t="s">
        <v>6242</v>
      </c>
      <c r="C1339" t="s">
        <v>6243</v>
      </c>
      <c r="D1339" t="s">
        <v>1684</v>
      </c>
      <c r="E1339" t="s">
        <v>1307</v>
      </c>
      <c r="F1339" t="s">
        <v>6244</v>
      </c>
      <c r="G1339">
        <v>2025</v>
      </c>
      <c r="H1339" t="s">
        <v>1160</v>
      </c>
      <c r="I1339" t="s">
        <v>126</v>
      </c>
      <c r="J1339">
        <v>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Y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S1339">
        <v>0</v>
      </c>
      <c r="AU1339">
        <v>0</v>
      </c>
      <c r="AV1339">
        <v>0</v>
      </c>
      <c r="AW1339">
        <v>0</v>
      </c>
      <c r="AX1339">
        <v>0</v>
      </c>
      <c r="AY1339">
        <v>16</v>
      </c>
      <c r="AZ1339">
        <v>0</v>
      </c>
      <c r="BA1339">
        <v>9</v>
      </c>
      <c r="BB1339">
        <v>1</v>
      </c>
      <c r="BC1339">
        <v>2</v>
      </c>
      <c r="BD1339">
        <v>1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</v>
      </c>
      <c r="BU1339">
        <v>7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C1339">
        <v>0</v>
      </c>
      <c r="DD1339">
        <v>0</v>
      </c>
      <c r="DE1339">
        <v>0</v>
      </c>
      <c r="DF1339">
        <v>0</v>
      </c>
      <c r="DH1339">
        <v>0</v>
      </c>
      <c r="DI1339">
        <v>0</v>
      </c>
    </row>
    <row r="1340" spans="1:113" ht="15" customHeight="1" x14ac:dyDescent="0.25">
      <c r="A1340" t="s">
        <v>6245</v>
      </c>
      <c r="B1340" t="s">
        <v>6246</v>
      </c>
      <c r="C1340" t="s">
        <v>6247</v>
      </c>
      <c r="D1340" t="s">
        <v>1684</v>
      </c>
      <c r="E1340" t="s">
        <v>1307</v>
      </c>
      <c r="F1340" t="s">
        <v>6248</v>
      </c>
      <c r="G1340">
        <v>2025</v>
      </c>
      <c r="H1340" t="s">
        <v>1160</v>
      </c>
      <c r="I1340" t="s">
        <v>121</v>
      </c>
      <c r="J1340">
        <v>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Y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S1340">
        <v>0</v>
      </c>
      <c r="AU1340">
        <v>0</v>
      </c>
      <c r="AV1340">
        <v>0</v>
      </c>
      <c r="AW1340">
        <v>0</v>
      </c>
      <c r="AX1340">
        <v>0</v>
      </c>
      <c r="AY1340">
        <v>6</v>
      </c>
      <c r="AZ1340">
        <v>0</v>
      </c>
      <c r="BA1340">
        <v>5</v>
      </c>
      <c r="BB1340">
        <v>1</v>
      </c>
      <c r="BC1340">
        <v>34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10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C1340">
        <v>0</v>
      </c>
      <c r="DD1340">
        <v>0</v>
      </c>
      <c r="DE1340">
        <v>0</v>
      </c>
      <c r="DF1340">
        <v>0</v>
      </c>
      <c r="DH1340">
        <v>0</v>
      </c>
      <c r="DI1340">
        <v>0</v>
      </c>
    </row>
    <row r="1341" spans="1:113" ht="15" customHeight="1" x14ac:dyDescent="0.25">
      <c r="A1341" t="s">
        <v>6249</v>
      </c>
      <c r="B1341" t="s">
        <v>6250</v>
      </c>
      <c r="C1341" t="s">
        <v>873</v>
      </c>
      <c r="D1341" t="s">
        <v>10</v>
      </c>
      <c r="E1341" t="s">
        <v>10</v>
      </c>
      <c r="F1341" t="s">
        <v>6251</v>
      </c>
      <c r="G1341">
        <v>2025</v>
      </c>
      <c r="H1341" t="s">
        <v>1160</v>
      </c>
      <c r="I1341" t="s">
        <v>126</v>
      </c>
      <c r="J1341">
        <v>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Y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H1341">
        <v>0</v>
      </c>
      <c r="AI1341">
        <v>2</v>
      </c>
      <c r="AJ1341">
        <v>4</v>
      </c>
      <c r="AK1341">
        <v>34</v>
      </c>
      <c r="AL1341">
        <v>1</v>
      </c>
      <c r="AM1341">
        <v>0</v>
      </c>
      <c r="AN1341">
        <v>0</v>
      </c>
      <c r="AO1341">
        <v>70</v>
      </c>
      <c r="AP1341">
        <v>0</v>
      </c>
      <c r="AQ1341">
        <v>1</v>
      </c>
      <c r="AR1341">
        <v>-0.70493062422454</v>
      </c>
      <c r="AS1341">
        <v>0</v>
      </c>
      <c r="AT1341">
        <v>0.48571428571428599</v>
      </c>
      <c r="AU1341">
        <v>7.3937153419593397E-3</v>
      </c>
      <c r="AV1341">
        <v>1.55417406749556E-2</v>
      </c>
      <c r="AW1341">
        <v>2.19697914854079E-2</v>
      </c>
      <c r="AX1341">
        <v>0</v>
      </c>
      <c r="AY1341">
        <v>7</v>
      </c>
      <c r="AZ1341">
        <v>0</v>
      </c>
      <c r="BA1341">
        <v>1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</v>
      </c>
      <c r="BR1341">
        <v>1</v>
      </c>
      <c r="BS1341">
        <v>0</v>
      </c>
      <c r="BT1341">
        <v>1</v>
      </c>
      <c r="BU1341">
        <v>10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C1341">
        <v>0</v>
      </c>
      <c r="DD1341">
        <v>0</v>
      </c>
      <c r="DE1341">
        <v>0</v>
      </c>
      <c r="DF1341">
        <v>0</v>
      </c>
      <c r="DH1341">
        <v>9.4</v>
      </c>
      <c r="DI1341">
        <v>11.4</v>
      </c>
    </row>
    <row r="1342" spans="1:113" ht="15" customHeight="1" x14ac:dyDescent="0.25">
      <c r="A1342" t="s">
        <v>6252</v>
      </c>
      <c r="B1342" t="s">
        <v>6253</v>
      </c>
      <c r="C1342" t="s">
        <v>554</v>
      </c>
      <c r="D1342" t="s">
        <v>10</v>
      </c>
      <c r="E1342" t="s">
        <v>10</v>
      </c>
      <c r="F1342" t="s">
        <v>6254</v>
      </c>
      <c r="G1342">
        <v>2025</v>
      </c>
      <c r="H1342" t="s">
        <v>1160</v>
      </c>
      <c r="I1342" t="s">
        <v>107</v>
      </c>
      <c r="J1342">
        <v>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Y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H1342">
        <v>0</v>
      </c>
      <c r="AI1342">
        <v>8</v>
      </c>
      <c r="AJ1342">
        <v>24</v>
      </c>
      <c r="AK1342">
        <v>116</v>
      </c>
      <c r="AL1342">
        <v>2</v>
      </c>
      <c r="AM1342">
        <v>0</v>
      </c>
      <c r="AN1342">
        <v>0</v>
      </c>
      <c r="AO1342">
        <v>354</v>
      </c>
      <c r="AP1342">
        <v>16</v>
      </c>
      <c r="AQ1342">
        <v>6</v>
      </c>
      <c r="AR1342">
        <v>2.62839672391042</v>
      </c>
      <c r="AS1342">
        <v>0</v>
      </c>
      <c r="AT1342">
        <v>0.32768361581920902</v>
      </c>
      <c r="AU1342">
        <v>3.94736842105263E-2</v>
      </c>
      <c r="AV1342">
        <v>7.5207138304652602E-2</v>
      </c>
      <c r="AW1342">
        <v>0.11185552312904599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1</v>
      </c>
      <c r="BU1342">
        <v>5</v>
      </c>
      <c r="BV1342">
        <v>1</v>
      </c>
      <c r="BW1342">
        <v>10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C1342">
        <v>0</v>
      </c>
      <c r="DD1342">
        <v>0</v>
      </c>
      <c r="DE1342">
        <v>0</v>
      </c>
      <c r="DF1342">
        <v>0</v>
      </c>
      <c r="DH1342">
        <v>23.6</v>
      </c>
      <c r="DI1342">
        <v>31.6</v>
      </c>
    </row>
    <row r="1343" spans="1:113" ht="15" customHeight="1" x14ac:dyDescent="0.25">
      <c r="A1343" t="s">
        <v>6255</v>
      </c>
      <c r="B1343" t="s">
        <v>6256</v>
      </c>
      <c r="C1343" t="s">
        <v>517</v>
      </c>
      <c r="D1343" t="s">
        <v>10</v>
      </c>
      <c r="E1343" t="s">
        <v>10</v>
      </c>
      <c r="F1343" t="s">
        <v>6257</v>
      </c>
      <c r="G1343">
        <v>2025</v>
      </c>
      <c r="H1343" t="s">
        <v>1160</v>
      </c>
      <c r="I1343" t="s">
        <v>96</v>
      </c>
      <c r="J1343">
        <v>15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Y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H1343">
        <v>0</v>
      </c>
      <c r="AI1343">
        <v>14</v>
      </c>
      <c r="AJ1343">
        <v>18</v>
      </c>
      <c r="AK1343">
        <v>160</v>
      </c>
      <c r="AL1343">
        <v>0</v>
      </c>
      <c r="AM1343">
        <v>1</v>
      </c>
      <c r="AN1343">
        <v>0</v>
      </c>
      <c r="AO1343">
        <v>157</v>
      </c>
      <c r="AP1343">
        <v>58</v>
      </c>
      <c r="AQ1343">
        <v>7</v>
      </c>
      <c r="AR1343">
        <v>7.1183143283294203</v>
      </c>
      <c r="AS1343">
        <v>0</v>
      </c>
      <c r="AT1343">
        <v>1.01910828025478</v>
      </c>
      <c r="AU1343">
        <v>3.7499999999999999E-2</v>
      </c>
      <c r="AV1343">
        <v>4.5507246376811597E-2</v>
      </c>
      <c r="AW1343">
        <v>8.81050724637681E-2</v>
      </c>
      <c r="AX1343">
        <v>0</v>
      </c>
      <c r="AY1343">
        <v>5</v>
      </c>
      <c r="AZ1343">
        <v>0</v>
      </c>
      <c r="BA1343">
        <v>10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1</v>
      </c>
      <c r="BU1343">
        <v>5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C1343">
        <v>0</v>
      </c>
      <c r="DD1343">
        <v>0</v>
      </c>
      <c r="DE1343">
        <v>0</v>
      </c>
      <c r="DF1343">
        <v>0</v>
      </c>
      <c r="DH1343">
        <v>16</v>
      </c>
      <c r="DI1343">
        <v>30</v>
      </c>
    </row>
    <row r="1344" spans="1:113" ht="15" customHeight="1" x14ac:dyDescent="0.25">
      <c r="A1344" t="s">
        <v>6258</v>
      </c>
      <c r="B1344" t="s">
        <v>6259</v>
      </c>
      <c r="C1344" t="s">
        <v>6260</v>
      </c>
      <c r="D1344" t="s">
        <v>1307</v>
      </c>
      <c r="E1344" t="s">
        <v>1307</v>
      </c>
      <c r="F1344" t="s">
        <v>6261</v>
      </c>
      <c r="G1344">
        <v>2025</v>
      </c>
      <c r="H1344" t="s">
        <v>1160</v>
      </c>
      <c r="I1344" t="s">
        <v>111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Y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S1344">
        <v>0</v>
      </c>
      <c r="AU1344">
        <v>0</v>
      </c>
      <c r="AV1344">
        <v>0</v>
      </c>
      <c r="AW1344">
        <v>0</v>
      </c>
      <c r="AX1344">
        <v>0</v>
      </c>
      <c r="AY1344">
        <v>3</v>
      </c>
      <c r="AZ1344">
        <v>0</v>
      </c>
      <c r="BA1344">
        <v>2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3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C1344">
        <v>0</v>
      </c>
      <c r="DD1344">
        <v>0</v>
      </c>
      <c r="DE1344">
        <v>0</v>
      </c>
      <c r="DF1344">
        <v>0</v>
      </c>
      <c r="DH1344">
        <v>0</v>
      </c>
      <c r="DI1344">
        <v>0</v>
      </c>
    </row>
    <row r="1345" spans="1:113" ht="15" customHeight="1" x14ac:dyDescent="0.25">
      <c r="A1345" t="s">
        <v>6262</v>
      </c>
      <c r="B1345" t="s">
        <v>6263</v>
      </c>
      <c r="C1345" t="s">
        <v>6264</v>
      </c>
      <c r="D1345" t="s">
        <v>1234</v>
      </c>
      <c r="E1345" t="s">
        <v>1234</v>
      </c>
      <c r="F1345" t="s">
        <v>6265</v>
      </c>
      <c r="G1345">
        <v>2025</v>
      </c>
      <c r="H1345" t="s">
        <v>1160</v>
      </c>
      <c r="I1345" t="s">
        <v>114</v>
      </c>
      <c r="J1345">
        <v>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Y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S1345">
        <v>0</v>
      </c>
      <c r="AU1345">
        <v>0</v>
      </c>
      <c r="AV1345">
        <v>0</v>
      </c>
      <c r="AW1345">
        <v>0</v>
      </c>
      <c r="AX1345">
        <v>0</v>
      </c>
      <c r="AY1345">
        <v>5</v>
      </c>
      <c r="AZ1345">
        <v>0</v>
      </c>
      <c r="BA1345">
        <v>9</v>
      </c>
      <c r="BB1345">
        <v>0</v>
      </c>
      <c r="BC1345">
        <v>0</v>
      </c>
      <c r="BD1345">
        <v>0</v>
      </c>
      <c r="BE1345">
        <v>0.5</v>
      </c>
      <c r="BF1345">
        <v>3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C1345">
        <v>0</v>
      </c>
      <c r="DD1345">
        <v>0</v>
      </c>
      <c r="DE1345">
        <v>0</v>
      </c>
      <c r="DF1345">
        <v>0</v>
      </c>
      <c r="DH1345">
        <v>0</v>
      </c>
      <c r="DI1345">
        <v>0</v>
      </c>
    </row>
    <row r="1346" spans="1:113" ht="15" customHeight="1" x14ac:dyDescent="0.25">
      <c r="A1346" t="s">
        <v>6266</v>
      </c>
      <c r="B1346" t="s">
        <v>6267</v>
      </c>
      <c r="C1346" t="s">
        <v>6268</v>
      </c>
      <c r="D1346" t="s">
        <v>1219</v>
      </c>
      <c r="E1346" t="s">
        <v>1220</v>
      </c>
      <c r="F1346" t="s">
        <v>6269</v>
      </c>
      <c r="G1346">
        <v>2025</v>
      </c>
      <c r="H1346" t="s">
        <v>1160</v>
      </c>
      <c r="I1346" t="s">
        <v>142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Y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S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2</v>
      </c>
      <c r="BU1346">
        <v>10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C1346">
        <v>0</v>
      </c>
      <c r="DD1346">
        <v>0</v>
      </c>
      <c r="DE1346">
        <v>0</v>
      </c>
      <c r="DF1346">
        <v>0</v>
      </c>
      <c r="DH1346">
        <v>0</v>
      </c>
      <c r="DI1346">
        <v>0</v>
      </c>
    </row>
    <row r="1347" spans="1:113" ht="15" customHeight="1" x14ac:dyDescent="0.25">
      <c r="A1347" t="s">
        <v>6270</v>
      </c>
      <c r="B1347" t="s">
        <v>6271</v>
      </c>
      <c r="C1347" t="s">
        <v>6272</v>
      </c>
      <c r="D1347" t="s">
        <v>1350</v>
      </c>
      <c r="E1347" t="s">
        <v>1307</v>
      </c>
      <c r="F1347" t="s">
        <v>6273</v>
      </c>
      <c r="G1347">
        <v>2025</v>
      </c>
      <c r="H1347" t="s">
        <v>1160</v>
      </c>
      <c r="I1347" t="s">
        <v>103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Y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S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1</v>
      </c>
      <c r="BY1347">
        <v>20</v>
      </c>
      <c r="BZ1347">
        <v>0</v>
      </c>
      <c r="CA1347">
        <v>0</v>
      </c>
      <c r="CB1347">
        <v>0</v>
      </c>
      <c r="CC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C1347">
        <v>0</v>
      </c>
      <c r="DD1347">
        <v>0</v>
      </c>
      <c r="DE1347">
        <v>0</v>
      </c>
      <c r="DF1347">
        <v>0</v>
      </c>
      <c r="DH1347">
        <v>0</v>
      </c>
      <c r="DI1347">
        <v>0</v>
      </c>
    </row>
    <row r="1348" spans="1:113" ht="15" customHeight="1" x14ac:dyDescent="0.25">
      <c r="A1348" t="s">
        <v>6274</v>
      </c>
      <c r="B1348" t="s">
        <v>6275</v>
      </c>
      <c r="C1348" t="s">
        <v>6276</v>
      </c>
      <c r="D1348" t="s">
        <v>1234</v>
      </c>
      <c r="E1348" t="s">
        <v>1234</v>
      </c>
      <c r="F1348" t="s">
        <v>6277</v>
      </c>
      <c r="G1348">
        <v>2025</v>
      </c>
      <c r="H1348" t="s">
        <v>1160</v>
      </c>
      <c r="I1348" t="s">
        <v>107</v>
      </c>
      <c r="J1348">
        <v>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Y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S1348">
        <v>0</v>
      </c>
      <c r="AU1348">
        <v>0</v>
      </c>
      <c r="AV1348">
        <v>0</v>
      </c>
      <c r="AW1348">
        <v>0</v>
      </c>
      <c r="AX1348">
        <v>0</v>
      </c>
      <c r="AY1348">
        <v>4</v>
      </c>
      <c r="AZ1348">
        <v>0</v>
      </c>
      <c r="BA1348">
        <v>12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C1348">
        <v>0</v>
      </c>
      <c r="DD1348">
        <v>0</v>
      </c>
      <c r="DE1348">
        <v>0</v>
      </c>
      <c r="DF1348">
        <v>0</v>
      </c>
      <c r="DH1348">
        <v>0</v>
      </c>
      <c r="DI1348">
        <v>0</v>
      </c>
    </row>
    <row r="1349" spans="1:113" ht="15" customHeight="1" x14ac:dyDescent="0.25">
      <c r="A1349" t="s">
        <v>6278</v>
      </c>
      <c r="B1349" t="s">
        <v>6279</v>
      </c>
      <c r="C1349" t="s">
        <v>765</v>
      </c>
      <c r="D1349" t="s">
        <v>10</v>
      </c>
      <c r="E1349" t="s">
        <v>10</v>
      </c>
      <c r="F1349" t="s">
        <v>6280</v>
      </c>
      <c r="G1349">
        <v>2025</v>
      </c>
      <c r="H1349" t="s">
        <v>1160</v>
      </c>
      <c r="I1349" t="s">
        <v>89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Y1349">
        <v>0</v>
      </c>
      <c r="AA1349">
        <v>1</v>
      </c>
      <c r="AB1349">
        <v>3</v>
      </c>
      <c r="AC1349">
        <v>0</v>
      </c>
      <c r="AD1349">
        <v>0</v>
      </c>
      <c r="AE1349">
        <v>0</v>
      </c>
      <c r="AF1349">
        <v>0</v>
      </c>
      <c r="AG1349">
        <v>-0.354833202669397</v>
      </c>
      <c r="AH1349">
        <v>0</v>
      </c>
      <c r="AI1349">
        <v>4</v>
      </c>
      <c r="AJ1349">
        <v>5</v>
      </c>
      <c r="AK1349">
        <v>56</v>
      </c>
      <c r="AL1349">
        <v>1</v>
      </c>
      <c r="AM1349">
        <v>0</v>
      </c>
      <c r="AN1349">
        <v>0</v>
      </c>
      <c r="AO1349">
        <v>81</v>
      </c>
      <c r="AP1349">
        <v>4</v>
      </c>
      <c r="AQ1349">
        <v>2</v>
      </c>
      <c r="AR1349">
        <v>4.5028801170410597</v>
      </c>
      <c r="AS1349">
        <v>0</v>
      </c>
      <c r="AT1349">
        <v>0.69135802469135799</v>
      </c>
      <c r="AU1349">
        <v>1.0121457489878499E-2</v>
      </c>
      <c r="AV1349">
        <v>2.5249376558603501E-2</v>
      </c>
      <c r="AW1349">
        <v>3.2856749825840303E-2</v>
      </c>
      <c r="AX1349">
        <v>0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C1349">
        <v>0</v>
      </c>
      <c r="DD1349">
        <v>0</v>
      </c>
      <c r="DE1349">
        <v>0</v>
      </c>
      <c r="DF1349">
        <v>0</v>
      </c>
      <c r="DH1349">
        <v>11.9</v>
      </c>
      <c r="DI1349">
        <v>15.9</v>
      </c>
    </row>
    <row r="1350" spans="1:113" ht="15" customHeight="1" x14ac:dyDescent="0.25">
      <c r="A1350" t="s">
        <v>6281</v>
      </c>
      <c r="B1350" t="s">
        <v>6282</v>
      </c>
      <c r="C1350" t="s">
        <v>623</v>
      </c>
      <c r="D1350" t="s">
        <v>431</v>
      </c>
      <c r="E1350" t="s">
        <v>431</v>
      </c>
      <c r="F1350" t="s">
        <v>6283</v>
      </c>
      <c r="G1350">
        <v>2025</v>
      </c>
      <c r="H1350" t="s">
        <v>1160</v>
      </c>
      <c r="I1350" t="s">
        <v>111</v>
      </c>
      <c r="J1350">
        <v>11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Y1350">
        <v>0</v>
      </c>
      <c r="AA1350">
        <v>2</v>
      </c>
      <c r="AB1350">
        <v>11</v>
      </c>
      <c r="AC1350">
        <v>0</v>
      </c>
      <c r="AD1350">
        <v>0</v>
      </c>
      <c r="AE1350">
        <v>0</v>
      </c>
      <c r="AF1350">
        <v>1</v>
      </c>
      <c r="AG1350">
        <v>-1.0589698900003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S1350">
        <v>0</v>
      </c>
      <c r="AU1350">
        <v>0</v>
      </c>
      <c r="AV1350">
        <v>0</v>
      </c>
      <c r="AW1350">
        <v>0</v>
      </c>
      <c r="AX1350">
        <v>0</v>
      </c>
      <c r="AY1350">
        <v>4</v>
      </c>
      <c r="AZ1350">
        <v>0</v>
      </c>
      <c r="BA1350">
        <v>4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33</v>
      </c>
      <c r="BY1350">
        <v>897</v>
      </c>
      <c r="BZ1350">
        <v>0</v>
      </c>
      <c r="CA1350">
        <v>0</v>
      </c>
      <c r="CB1350">
        <v>0</v>
      </c>
      <c r="CC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C1350">
        <v>0</v>
      </c>
      <c r="DD1350">
        <v>0</v>
      </c>
      <c r="DE1350">
        <v>0</v>
      </c>
      <c r="DF1350">
        <v>0</v>
      </c>
      <c r="DH1350">
        <v>1.1000000000000001</v>
      </c>
      <c r="DI1350">
        <v>1.1000000000000001</v>
      </c>
    </row>
    <row r="1351" spans="1:113" ht="15" customHeight="1" x14ac:dyDescent="0.25">
      <c r="A1351" t="s">
        <v>6284</v>
      </c>
      <c r="B1351" t="s">
        <v>6285</v>
      </c>
      <c r="C1351" t="s">
        <v>6286</v>
      </c>
      <c r="D1351" t="s">
        <v>1168</v>
      </c>
      <c r="E1351" t="s">
        <v>1169</v>
      </c>
      <c r="F1351" t="s">
        <v>6287</v>
      </c>
      <c r="G1351">
        <v>2025</v>
      </c>
      <c r="H1351" t="s">
        <v>1160</v>
      </c>
      <c r="I1351" t="s">
        <v>124</v>
      </c>
      <c r="J1351">
        <v>16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Y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S1351">
        <v>0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29</v>
      </c>
      <c r="CA1351">
        <v>37</v>
      </c>
      <c r="CB1351">
        <v>8</v>
      </c>
      <c r="CC1351">
        <v>0</v>
      </c>
      <c r="CD1351">
        <v>60</v>
      </c>
      <c r="CE1351">
        <v>0.78378378378378399</v>
      </c>
      <c r="CF1351">
        <v>0</v>
      </c>
      <c r="CG1351">
        <v>9</v>
      </c>
      <c r="CH1351">
        <v>10</v>
      </c>
      <c r="CI1351">
        <v>3</v>
      </c>
      <c r="CJ1351">
        <v>6</v>
      </c>
      <c r="CK1351">
        <v>1</v>
      </c>
      <c r="CL1351">
        <v>0</v>
      </c>
      <c r="CM1351">
        <v>0</v>
      </c>
      <c r="CN1351">
        <v>2</v>
      </c>
      <c r="CO1351">
        <v>3</v>
      </c>
      <c r="CP1351">
        <v>3</v>
      </c>
      <c r="CQ1351">
        <v>0</v>
      </c>
      <c r="CR1351" t="s">
        <v>6288</v>
      </c>
      <c r="CS1351" t="s">
        <v>6289</v>
      </c>
      <c r="CU1351">
        <v>1109</v>
      </c>
      <c r="CV1351">
        <v>365</v>
      </c>
      <c r="CW1351">
        <v>0</v>
      </c>
      <c r="CX1351">
        <v>25</v>
      </c>
      <c r="CY1351">
        <v>25</v>
      </c>
      <c r="CZ1351">
        <v>0</v>
      </c>
      <c r="DA1351">
        <v>0</v>
      </c>
      <c r="DB1351">
        <v>1</v>
      </c>
      <c r="DC1351">
        <v>0</v>
      </c>
      <c r="DD1351">
        <v>0</v>
      </c>
      <c r="DE1351">
        <v>0</v>
      </c>
      <c r="DF1351">
        <v>0</v>
      </c>
      <c r="DH1351">
        <v>0</v>
      </c>
      <c r="DI1351">
        <v>0</v>
      </c>
    </row>
    <row r="1352" spans="1:113" ht="15" customHeight="1" x14ac:dyDescent="0.25">
      <c r="A1352" t="s">
        <v>6290</v>
      </c>
      <c r="B1352" t="s">
        <v>6291</v>
      </c>
      <c r="C1352" t="s">
        <v>611</v>
      </c>
      <c r="D1352" t="s">
        <v>10</v>
      </c>
      <c r="E1352" t="s">
        <v>10</v>
      </c>
      <c r="F1352" t="s">
        <v>6292</v>
      </c>
      <c r="G1352">
        <v>2025</v>
      </c>
      <c r="H1352" t="s">
        <v>1160</v>
      </c>
      <c r="I1352" t="s">
        <v>111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Y1352">
        <v>0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-0.49753963248804201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S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C1352">
        <v>0</v>
      </c>
      <c r="DD1352">
        <v>0</v>
      </c>
      <c r="DE1352">
        <v>0</v>
      </c>
      <c r="DF1352">
        <v>0</v>
      </c>
      <c r="DH1352">
        <v>0.1</v>
      </c>
      <c r="DI1352">
        <v>0.1</v>
      </c>
    </row>
    <row r="1353" spans="1:113" ht="15" customHeight="1" x14ac:dyDescent="0.25">
      <c r="A1353" t="s">
        <v>6293</v>
      </c>
      <c r="B1353" t="s">
        <v>3789</v>
      </c>
      <c r="C1353" t="s">
        <v>6294</v>
      </c>
      <c r="D1353" t="s">
        <v>1234</v>
      </c>
      <c r="E1353" t="s">
        <v>1234</v>
      </c>
      <c r="F1353" t="s">
        <v>6295</v>
      </c>
      <c r="G1353">
        <v>2025</v>
      </c>
      <c r="H1353" t="s">
        <v>1160</v>
      </c>
      <c r="I1353" t="s">
        <v>140</v>
      </c>
      <c r="J1353">
        <v>16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Y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S1353">
        <v>0</v>
      </c>
      <c r="AU1353">
        <v>0</v>
      </c>
      <c r="AV1353">
        <v>0</v>
      </c>
      <c r="AW1353">
        <v>0</v>
      </c>
      <c r="AX1353">
        <v>0</v>
      </c>
      <c r="AY1353">
        <v>45</v>
      </c>
      <c r="AZ1353">
        <v>2</v>
      </c>
      <c r="BA1353">
        <v>49</v>
      </c>
      <c r="BB1353">
        <v>10</v>
      </c>
      <c r="BC1353">
        <v>35</v>
      </c>
      <c r="BD1353">
        <v>0</v>
      </c>
      <c r="BE1353">
        <v>3.5</v>
      </c>
      <c r="BF1353">
        <v>20.5</v>
      </c>
      <c r="BG1353">
        <v>6</v>
      </c>
      <c r="BH1353">
        <v>1</v>
      </c>
      <c r="BI1353">
        <v>0</v>
      </c>
      <c r="BJ1353">
        <v>8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1</v>
      </c>
      <c r="BR1353">
        <v>1</v>
      </c>
      <c r="BS1353">
        <v>0</v>
      </c>
      <c r="BT1353">
        <v>1</v>
      </c>
      <c r="BU1353">
        <v>5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C1353">
        <v>0</v>
      </c>
      <c r="DD1353">
        <v>0</v>
      </c>
      <c r="DE1353">
        <v>0</v>
      </c>
      <c r="DF1353">
        <v>0</v>
      </c>
      <c r="DH1353">
        <v>0</v>
      </c>
      <c r="DI1353">
        <v>0</v>
      </c>
    </row>
    <row r="1354" spans="1:113" ht="15" customHeight="1" x14ac:dyDescent="0.25">
      <c r="A1354" t="s">
        <v>6296</v>
      </c>
      <c r="B1354" t="s">
        <v>6297</v>
      </c>
      <c r="C1354" t="s">
        <v>6298</v>
      </c>
      <c r="D1354" t="s">
        <v>1219</v>
      </c>
      <c r="E1354" t="s">
        <v>1220</v>
      </c>
      <c r="F1354" t="s">
        <v>6299</v>
      </c>
      <c r="G1354">
        <v>2025</v>
      </c>
      <c r="H1354" t="s">
        <v>1160</v>
      </c>
      <c r="I1354" t="s">
        <v>104</v>
      </c>
      <c r="J1354">
        <v>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Y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S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12</v>
      </c>
      <c r="BU1354">
        <v>95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C1354">
        <v>0</v>
      </c>
      <c r="DD1354">
        <v>0</v>
      </c>
      <c r="DE1354">
        <v>0</v>
      </c>
      <c r="DF1354">
        <v>0</v>
      </c>
      <c r="DH1354">
        <v>0</v>
      </c>
      <c r="DI1354">
        <v>0</v>
      </c>
    </row>
    <row r="1355" spans="1:113" ht="15" customHeight="1" x14ac:dyDescent="0.25">
      <c r="A1355" t="s">
        <v>6300</v>
      </c>
      <c r="B1355" t="s">
        <v>6301</v>
      </c>
      <c r="C1355" t="s">
        <v>490</v>
      </c>
      <c r="D1355" t="s">
        <v>439</v>
      </c>
      <c r="E1355" t="s">
        <v>439</v>
      </c>
      <c r="F1355" t="s">
        <v>6302</v>
      </c>
      <c r="G1355">
        <v>2025</v>
      </c>
      <c r="H1355" t="s">
        <v>1160</v>
      </c>
      <c r="I1355" t="s">
        <v>99</v>
      </c>
      <c r="J1355">
        <v>12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Y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H1355">
        <v>0</v>
      </c>
      <c r="AI1355">
        <v>39</v>
      </c>
      <c r="AJ1355">
        <v>49</v>
      </c>
      <c r="AK1355">
        <v>571</v>
      </c>
      <c r="AL1355">
        <v>5</v>
      </c>
      <c r="AM1355">
        <v>1</v>
      </c>
      <c r="AN1355">
        <v>0</v>
      </c>
      <c r="AO1355">
        <v>465</v>
      </c>
      <c r="AP1355">
        <v>259</v>
      </c>
      <c r="AQ1355">
        <v>28</v>
      </c>
      <c r="AR1355">
        <v>39.388403162682401</v>
      </c>
      <c r="AS1355">
        <v>0</v>
      </c>
      <c r="AT1355">
        <v>1.2279569892473099</v>
      </c>
      <c r="AU1355">
        <v>0.102296450939457</v>
      </c>
      <c r="AV1355">
        <v>0.12866629773104599</v>
      </c>
      <c r="AW1355">
        <v>0.24351108482091799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2</v>
      </c>
      <c r="BU1355">
        <v>17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C1355">
        <v>0</v>
      </c>
      <c r="DD1355">
        <v>0</v>
      </c>
      <c r="DE1355">
        <v>0</v>
      </c>
      <c r="DF1355">
        <v>0</v>
      </c>
      <c r="DH1355">
        <v>87.1</v>
      </c>
      <c r="DI1355">
        <v>126.1</v>
      </c>
    </row>
    <row r="1356" spans="1:113" ht="15" customHeight="1" x14ac:dyDescent="0.25">
      <c r="A1356" t="s">
        <v>6303</v>
      </c>
      <c r="B1356" t="s">
        <v>6304</v>
      </c>
      <c r="C1356" t="s">
        <v>6305</v>
      </c>
      <c r="D1356" t="s">
        <v>1219</v>
      </c>
      <c r="E1356" t="s">
        <v>1220</v>
      </c>
      <c r="F1356" t="s">
        <v>6306</v>
      </c>
      <c r="G1356">
        <v>2025</v>
      </c>
      <c r="H1356" t="s">
        <v>1160</v>
      </c>
      <c r="I1356" t="s">
        <v>106</v>
      </c>
      <c r="J1356">
        <v>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Y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S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6</v>
      </c>
      <c r="BU1356">
        <v>43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C1356">
        <v>0</v>
      </c>
      <c r="DD1356">
        <v>0</v>
      </c>
      <c r="DE1356">
        <v>0</v>
      </c>
      <c r="DF1356">
        <v>0</v>
      </c>
      <c r="DH1356">
        <v>0</v>
      </c>
      <c r="DI1356">
        <v>0</v>
      </c>
    </row>
    <row r="1357" spans="1:113" ht="15" customHeight="1" x14ac:dyDescent="0.25">
      <c r="A1357" t="s">
        <v>6307</v>
      </c>
      <c r="B1357" t="s">
        <v>6308</v>
      </c>
      <c r="C1357" t="s">
        <v>700</v>
      </c>
      <c r="D1357" t="s">
        <v>439</v>
      </c>
      <c r="E1357" t="s">
        <v>439</v>
      </c>
      <c r="F1357" t="s">
        <v>6309</v>
      </c>
      <c r="G1357">
        <v>2025</v>
      </c>
      <c r="H1357" t="s">
        <v>1160</v>
      </c>
      <c r="I1357" t="s">
        <v>106</v>
      </c>
      <c r="J1357">
        <v>12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Y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H1357">
        <v>0</v>
      </c>
      <c r="AI1357">
        <v>46</v>
      </c>
      <c r="AJ1357">
        <v>60</v>
      </c>
      <c r="AK1357">
        <v>540</v>
      </c>
      <c r="AL1357">
        <v>3</v>
      </c>
      <c r="AM1357">
        <v>0</v>
      </c>
      <c r="AN1357">
        <v>0</v>
      </c>
      <c r="AO1357">
        <v>414</v>
      </c>
      <c r="AP1357">
        <v>247</v>
      </c>
      <c r="AQ1357">
        <v>28</v>
      </c>
      <c r="AR1357">
        <v>31.364750811537199</v>
      </c>
      <c r="AS1357">
        <v>0</v>
      </c>
      <c r="AT1357">
        <v>1.3043478260869601</v>
      </c>
      <c r="AU1357">
        <v>0.10968921389396701</v>
      </c>
      <c r="AV1357">
        <v>8.4836065573770505E-2</v>
      </c>
      <c r="AW1357">
        <v>0.22391906674258999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5</v>
      </c>
      <c r="BU1357">
        <v>25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C1357">
        <v>0</v>
      </c>
      <c r="DD1357">
        <v>0</v>
      </c>
      <c r="DE1357">
        <v>0</v>
      </c>
      <c r="DF1357">
        <v>0</v>
      </c>
      <c r="DH1357">
        <v>72</v>
      </c>
      <c r="DI1357">
        <v>118</v>
      </c>
    </row>
    <row r="1358" spans="1:113" ht="15" customHeight="1" x14ac:dyDescent="0.25">
      <c r="A1358" t="s">
        <v>6310</v>
      </c>
      <c r="B1358" t="s">
        <v>6311</v>
      </c>
      <c r="C1358" t="s">
        <v>6312</v>
      </c>
      <c r="D1358" t="s">
        <v>1655</v>
      </c>
      <c r="E1358" t="s">
        <v>1220</v>
      </c>
      <c r="F1358" t="s">
        <v>6313</v>
      </c>
      <c r="G1358">
        <v>2025</v>
      </c>
      <c r="H1358" t="s">
        <v>1160</v>
      </c>
      <c r="I1358" t="s">
        <v>121</v>
      </c>
      <c r="J1358">
        <v>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Y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S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3</v>
      </c>
      <c r="BU1358">
        <v>25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C1358">
        <v>0</v>
      </c>
      <c r="DD1358">
        <v>0</v>
      </c>
      <c r="DE1358">
        <v>0</v>
      </c>
      <c r="DF1358">
        <v>0</v>
      </c>
      <c r="DH1358">
        <v>0</v>
      </c>
      <c r="DI1358">
        <v>0</v>
      </c>
    </row>
    <row r="1359" spans="1:113" ht="15" customHeight="1" x14ac:dyDescent="0.25">
      <c r="A1359" t="s">
        <v>6314</v>
      </c>
      <c r="B1359" t="s">
        <v>6315</v>
      </c>
      <c r="C1359" t="s">
        <v>6316</v>
      </c>
      <c r="D1359" t="s">
        <v>1243</v>
      </c>
      <c r="E1359" t="s">
        <v>1190</v>
      </c>
      <c r="F1359" t="s">
        <v>6317</v>
      </c>
      <c r="G1359">
        <v>2025</v>
      </c>
      <c r="H1359" t="s">
        <v>1160</v>
      </c>
      <c r="I1359" t="s">
        <v>123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Y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S1359">
        <v>0</v>
      </c>
      <c r="AU1359">
        <v>0</v>
      </c>
      <c r="AV1359">
        <v>0</v>
      </c>
      <c r="AW1359">
        <v>0</v>
      </c>
      <c r="AX1359">
        <v>0</v>
      </c>
      <c r="AY1359">
        <v>3</v>
      </c>
      <c r="AZ1359">
        <v>0</v>
      </c>
      <c r="BA1359">
        <v>2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</v>
      </c>
      <c r="BU1359">
        <v>5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C1359">
        <v>0</v>
      </c>
      <c r="DD1359">
        <v>0</v>
      </c>
      <c r="DE1359">
        <v>0</v>
      </c>
      <c r="DF1359">
        <v>0</v>
      </c>
      <c r="DH1359">
        <v>0</v>
      </c>
      <c r="DI1359">
        <v>0</v>
      </c>
    </row>
    <row r="1360" spans="1:113" ht="15" customHeight="1" x14ac:dyDescent="0.25">
      <c r="A1360" t="s">
        <v>6318</v>
      </c>
      <c r="B1360" t="s">
        <v>6319</v>
      </c>
      <c r="C1360" t="s">
        <v>867</v>
      </c>
      <c r="D1360" t="s">
        <v>10</v>
      </c>
      <c r="E1360" t="s">
        <v>10</v>
      </c>
      <c r="F1360" t="s">
        <v>6320</v>
      </c>
      <c r="G1360">
        <v>2025</v>
      </c>
      <c r="H1360" t="s">
        <v>1160</v>
      </c>
      <c r="I1360" t="s">
        <v>139</v>
      </c>
      <c r="J1360">
        <v>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Y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H1360">
        <v>0</v>
      </c>
      <c r="AI1360">
        <v>5</v>
      </c>
      <c r="AJ1360">
        <v>14</v>
      </c>
      <c r="AK1360">
        <v>35</v>
      </c>
      <c r="AL1360">
        <v>0</v>
      </c>
      <c r="AM1360">
        <v>0</v>
      </c>
      <c r="AN1360">
        <v>0</v>
      </c>
      <c r="AO1360">
        <v>280</v>
      </c>
      <c r="AP1360">
        <v>2</v>
      </c>
      <c r="AQ1360">
        <v>2</v>
      </c>
      <c r="AR1360">
        <v>-9.0840658955858107</v>
      </c>
      <c r="AS1360">
        <v>0</v>
      </c>
      <c r="AT1360">
        <v>0.125</v>
      </c>
      <c r="AU1360">
        <v>2.78330019880716E-2</v>
      </c>
      <c r="AV1360">
        <v>6.2597809076682304E-2</v>
      </c>
      <c r="AW1360">
        <v>8.5567969335785005E-2</v>
      </c>
      <c r="AX1360">
        <v>0</v>
      </c>
      <c r="AY1360">
        <v>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4</v>
      </c>
      <c r="BY1360">
        <v>111</v>
      </c>
      <c r="BZ1360">
        <v>0</v>
      </c>
      <c r="CA1360">
        <v>0</v>
      </c>
      <c r="CB1360">
        <v>0</v>
      </c>
      <c r="CC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C1360">
        <v>0</v>
      </c>
      <c r="DD1360">
        <v>0</v>
      </c>
      <c r="DE1360">
        <v>0</v>
      </c>
      <c r="DF1360">
        <v>0</v>
      </c>
      <c r="DH1360">
        <v>3.5</v>
      </c>
      <c r="DI1360">
        <v>8.5</v>
      </c>
    </row>
    <row r="1361" spans="1:113" ht="15" customHeight="1" x14ac:dyDescent="0.25">
      <c r="A1361" t="s">
        <v>6321</v>
      </c>
      <c r="B1361" t="s">
        <v>6322</v>
      </c>
      <c r="C1361" t="s">
        <v>6323</v>
      </c>
      <c r="D1361" t="s">
        <v>1189</v>
      </c>
      <c r="E1361" t="s">
        <v>1190</v>
      </c>
      <c r="F1361" t="s">
        <v>6324</v>
      </c>
      <c r="G1361">
        <v>2025</v>
      </c>
      <c r="H1361" t="s">
        <v>1160</v>
      </c>
      <c r="I1361" t="s">
        <v>111</v>
      </c>
      <c r="J1361">
        <v>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Y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S1361">
        <v>0</v>
      </c>
      <c r="AU1361">
        <v>0</v>
      </c>
      <c r="AV1361">
        <v>0</v>
      </c>
      <c r="AW1361">
        <v>0</v>
      </c>
      <c r="AX1361">
        <v>0</v>
      </c>
      <c r="AY1361">
        <v>6</v>
      </c>
      <c r="AZ1361">
        <v>0</v>
      </c>
      <c r="BA1361">
        <v>15</v>
      </c>
      <c r="BB1361">
        <v>0</v>
      </c>
      <c r="BC1361">
        <v>0</v>
      </c>
      <c r="BD1361">
        <v>0</v>
      </c>
      <c r="BE1361">
        <v>1</v>
      </c>
      <c r="BF1361">
        <v>0</v>
      </c>
      <c r="BG1361">
        <v>2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1</v>
      </c>
      <c r="BU1361">
        <v>5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C1361">
        <v>0</v>
      </c>
      <c r="DD1361">
        <v>0</v>
      </c>
      <c r="DE1361">
        <v>0</v>
      </c>
      <c r="DF1361">
        <v>0</v>
      </c>
      <c r="DH1361">
        <v>0</v>
      </c>
      <c r="DI1361">
        <v>0</v>
      </c>
    </row>
    <row r="1362" spans="1:113" ht="15" customHeight="1" x14ac:dyDescent="0.25">
      <c r="A1362" t="s">
        <v>6325</v>
      </c>
      <c r="B1362" t="s">
        <v>6326</v>
      </c>
      <c r="C1362" t="s">
        <v>995</v>
      </c>
      <c r="D1362" t="s">
        <v>431</v>
      </c>
      <c r="E1362" t="s">
        <v>431</v>
      </c>
      <c r="F1362" t="s">
        <v>6327</v>
      </c>
      <c r="G1362">
        <v>2025</v>
      </c>
      <c r="H1362" t="s">
        <v>1160</v>
      </c>
      <c r="I1362" t="s">
        <v>126</v>
      </c>
      <c r="J1362">
        <v>17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Y1362">
        <v>0</v>
      </c>
      <c r="AA1362">
        <v>86</v>
      </c>
      <c r="AB1362">
        <v>320</v>
      </c>
      <c r="AC1362">
        <v>7</v>
      </c>
      <c r="AD1362">
        <v>1</v>
      </c>
      <c r="AE1362">
        <v>0</v>
      </c>
      <c r="AF1362">
        <v>22</v>
      </c>
      <c r="AG1362">
        <v>-3.6563261362056698</v>
      </c>
      <c r="AH1362">
        <v>0</v>
      </c>
      <c r="AI1362">
        <v>8</v>
      </c>
      <c r="AJ1362">
        <v>11</v>
      </c>
      <c r="AK1362">
        <v>34</v>
      </c>
      <c r="AL1362">
        <v>1</v>
      </c>
      <c r="AM1362">
        <v>0</v>
      </c>
      <c r="AN1362">
        <v>0</v>
      </c>
      <c r="AO1362">
        <v>-10</v>
      </c>
      <c r="AP1362">
        <v>49</v>
      </c>
      <c r="AQ1362">
        <v>1</v>
      </c>
      <c r="AR1362">
        <v>-3.16103242756799</v>
      </c>
      <c r="AS1362">
        <v>0</v>
      </c>
      <c r="AT1362">
        <v>-3.4</v>
      </c>
      <c r="AU1362">
        <v>2.0332717190388198E-2</v>
      </c>
      <c r="AV1362">
        <v>-2.2202486678508E-3</v>
      </c>
      <c r="AW1362">
        <v>2.89449017180867E-2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</v>
      </c>
      <c r="BU1362">
        <v>5</v>
      </c>
      <c r="BV1362">
        <v>0</v>
      </c>
      <c r="BW1362">
        <v>0</v>
      </c>
      <c r="BX1362">
        <v>26</v>
      </c>
      <c r="BY1362">
        <v>597</v>
      </c>
      <c r="BZ1362">
        <v>0</v>
      </c>
      <c r="CA1362">
        <v>0</v>
      </c>
      <c r="CB1362">
        <v>0</v>
      </c>
      <c r="CC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C1362">
        <v>0</v>
      </c>
      <c r="DD1362">
        <v>0</v>
      </c>
      <c r="DE1362">
        <v>0</v>
      </c>
      <c r="DF1362">
        <v>0</v>
      </c>
      <c r="DH1362">
        <v>83.4</v>
      </c>
      <c r="DI1362">
        <v>91.4</v>
      </c>
    </row>
    <row r="1363" spans="1:113" ht="15" customHeight="1" x14ac:dyDescent="0.25">
      <c r="A1363" t="s">
        <v>6328</v>
      </c>
      <c r="B1363" t="s">
        <v>6329</v>
      </c>
      <c r="C1363" t="s">
        <v>457</v>
      </c>
      <c r="D1363" t="s">
        <v>10</v>
      </c>
      <c r="E1363" t="s">
        <v>10</v>
      </c>
      <c r="F1363" t="s">
        <v>6330</v>
      </c>
      <c r="G1363">
        <v>2025</v>
      </c>
      <c r="H1363" t="s">
        <v>1160</v>
      </c>
      <c r="I1363" t="s">
        <v>93</v>
      </c>
      <c r="J1363">
        <v>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Y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H1363">
        <v>0</v>
      </c>
      <c r="AI1363">
        <v>7</v>
      </c>
      <c r="AJ1363">
        <v>11</v>
      </c>
      <c r="AK1363">
        <v>42</v>
      </c>
      <c r="AL1363">
        <v>0</v>
      </c>
      <c r="AM1363">
        <v>0</v>
      </c>
      <c r="AN1363">
        <v>0</v>
      </c>
      <c r="AO1363">
        <v>85</v>
      </c>
      <c r="AP1363">
        <v>14</v>
      </c>
      <c r="AQ1363">
        <v>2</v>
      </c>
      <c r="AR1363">
        <v>-7.0627780185251403</v>
      </c>
      <c r="AS1363">
        <v>0</v>
      </c>
      <c r="AT1363">
        <v>0.49411764705882399</v>
      </c>
      <c r="AU1363">
        <v>2.11946050096339E-2</v>
      </c>
      <c r="AV1363">
        <v>2.0383693045563599E-2</v>
      </c>
      <c r="AW1363">
        <v>4.6060492646345298E-2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1</v>
      </c>
      <c r="BU1363">
        <v>10</v>
      </c>
      <c r="BV1363">
        <v>0</v>
      </c>
      <c r="BW1363">
        <v>0</v>
      </c>
      <c r="BX1363">
        <v>4</v>
      </c>
      <c r="BY1363">
        <v>110</v>
      </c>
      <c r="BZ1363">
        <v>0</v>
      </c>
      <c r="CA1363">
        <v>0</v>
      </c>
      <c r="CB1363">
        <v>0</v>
      </c>
      <c r="CC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C1363">
        <v>0</v>
      </c>
      <c r="DD1363">
        <v>0</v>
      </c>
      <c r="DE1363">
        <v>0</v>
      </c>
      <c r="DF1363">
        <v>0</v>
      </c>
      <c r="DH1363">
        <v>4.2</v>
      </c>
      <c r="DI1363">
        <v>11.2</v>
      </c>
    </row>
    <row r="1364" spans="1:113" ht="15" customHeight="1" x14ac:dyDescent="0.25">
      <c r="A1364" t="s">
        <v>6331</v>
      </c>
      <c r="B1364" t="s">
        <v>6332</v>
      </c>
      <c r="C1364" t="s">
        <v>6333</v>
      </c>
      <c r="D1364" t="s">
        <v>1234</v>
      </c>
      <c r="E1364" t="s">
        <v>1234</v>
      </c>
      <c r="F1364" t="s">
        <v>6334</v>
      </c>
      <c r="G1364">
        <v>2025</v>
      </c>
      <c r="H1364" t="s">
        <v>1160</v>
      </c>
      <c r="I1364" t="s">
        <v>126</v>
      </c>
      <c r="J1364">
        <v>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Y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>
        <v>0</v>
      </c>
      <c r="AU1364">
        <v>0</v>
      </c>
      <c r="AV1364">
        <v>0</v>
      </c>
      <c r="AW1364">
        <v>0</v>
      </c>
      <c r="AX1364">
        <v>0</v>
      </c>
      <c r="AY1364">
        <v>2</v>
      </c>
      <c r="AZ1364">
        <v>0</v>
      </c>
      <c r="BA1364">
        <v>7</v>
      </c>
      <c r="BB1364">
        <v>0</v>
      </c>
      <c r="BC1364">
        <v>0</v>
      </c>
      <c r="BD1364">
        <v>0</v>
      </c>
      <c r="BE1364">
        <v>0.5</v>
      </c>
      <c r="BF1364">
        <v>4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C1364">
        <v>0</v>
      </c>
      <c r="DD1364">
        <v>0</v>
      </c>
      <c r="DE1364">
        <v>0</v>
      </c>
      <c r="DF1364">
        <v>0</v>
      </c>
      <c r="DH1364">
        <v>0</v>
      </c>
      <c r="DI1364">
        <v>0</v>
      </c>
    </row>
    <row r="1365" spans="1:113" ht="15" customHeight="1" x14ac:dyDescent="0.25">
      <c r="A1365" t="s">
        <v>6335</v>
      </c>
      <c r="B1365" t="s">
        <v>6336</v>
      </c>
      <c r="C1365" t="s">
        <v>6337</v>
      </c>
      <c r="D1365" t="s">
        <v>1350</v>
      </c>
      <c r="E1365" t="s">
        <v>1307</v>
      </c>
      <c r="F1365" t="s">
        <v>6338</v>
      </c>
      <c r="G1365">
        <v>2025</v>
      </c>
      <c r="H1365" t="s">
        <v>1160</v>
      </c>
      <c r="I1365" t="s">
        <v>93</v>
      </c>
      <c r="J1365">
        <v>10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Y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S1365">
        <v>0</v>
      </c>
      <c r="AU1365">
        <v>0</v>
      </c>
      <c r="AV1365">
        <v>0</v>
      </c>
      <c r="AW1365">
        <v>0</v>
      </c>
      <c r="AX1365">
        <v>0</v>
      </c>
      <c r="AY1365">
        <v>8</v>
      </c>
      <c r="AZ1365">
        <v>0</v>
      </c>
      <c r="BA1365">
        <v>2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2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15</v>
      </c>
      <c r="BY1365">
        <v>288</v>
      </c>
      <c r="BZ1365">
        <v>0</v>
      </c>
      <c r="CA1365">
        <v>0</v>
      </c>
      <c r="CB1365">
        <v>0</v>
      </c>
      <c r="CC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C1365">
        <v>0</v>
      </c>
      <c r="DD1365">
        <v>0</v>
      </c>
      <c r="DE1365">
        <v>0</v>
      </c>
      <c r="DF1365">
        <v>0</v>
      </c>
      <c r="DH1365">
        <v>0</v>
      </c>
      <c r="DI1365">
        <v>0</v>
      </c>
    </row>
    <row r="1366" spans="1:113" ht="15" customHeight="1" x14ac:dyDescent="0.25">
      <c r="A1366" t="s">
        <v>6339</v>
      </c>
      <c r="B1366" t="s">
        <v>6340</v>
      </c>
      <c r="C1366" t="s">
        <v>604</v>
      </c>
      <c r="D1366" t="s">
        <v>10</v>
      </c>
      <c r="E1366" t="s">
        <v>10</v>
      </c>
      <c r="F1366" t="s">
        <v>6341</v>
      </c>
      <c r="G1366">
        <v>2025</v>
      </c>
      <c r="H1366" t="s">
        <v>1160</v>
      </c>
      <c r="I1366" t="s">
        <v>115</v>
      </c>
      <c r="J1366">
        <v>15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Y1366">
        <v>0</v>
      </c>
      <c r="AA1366">
        <v>12</v>
      </c>
      <c r="AB1366">
        <v>78</v>
      </c>
      <c r="AC1366">
        <v>1</v>
      </c>
      <c r="AD1366">
        <v>1</v>
      </c>
      <c r="AE1366">
        <v>0</v>
      </c>
      <c r="AF1366">
        <v>3</v>
      </c>
      <c r="AG1366">
        <v>5.1446930478559798</v>
      </c>
      <c r="AH1366">
        <v>0</v>
      </c>
      <c r="AI1366">
        <v>37</v>
      </c>
      <c r="AJ1366">
        <v>51</v>
      </c>
      <c r="AK1366">
        <v>322</v>
      </c>
      <c r="AL1366">
        <v>1</v>
      </c>
      <c r="AM1366">
        <v>0</v>
      </c>
      <c r="AN1366">
        <v>0</v>
      </c>
      <c r="AO1366">
        <v>478</v>
      </c>
      <c r="AP1366">
        <v>231</v>
      </c>
      <c r="AQ1366">
        <v>14</v>
      </c>
      <c r="AR1366">
        <v>3.4952335021266601</v>
      </c>
      <c r="AS1366">
        <v>0</v>
      </c>
      <c r="AT1366">
        <v>0.673640167364017</v>
      </c>
      <c r="AU1366">
        <v>8.7328767123287701E-2</v>
      </c>
      <c r="AV1366">
        <v>0.10650623885917999</v>
      </c>
      <c r="AW1366">
        <v>0.205547517886358</v>
      </c>
      <c r="AX1366">
        <v>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</v>
      </c>
      <c r="BM1366">
        <v>0</v>
      </c>
      <c r="BN1366">
        <v>0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29</v>
      </c>
      <c r="BW1366">
        <v>452</v>
      </c>
      <c r="BX1366">
        <v>25</v>
      </c>
      <c r="BY1366">
        <v>658</v>
      </c>
      <c r="BZ1366">
        <v>0</v>
      </c>
      <c r="CA1366">
        <v>0</v>
      </c>
      <c r="CB1366">
        <v>0</v>
      </c>
      <c r="CC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C1366">
        <v>0</v>
      </c>
      <c r="DD1366">
        <v>0</v>
      </c>
      <c r="DE1366">
        <v>0</v>
      </c>
      <c r="DF1366">
        <v>0</v>
      </c>
      <c r="DH1366">
        <v>58</v>
      </c>
      <c r="DI1366">
        <v>95</v>
      </c>
    </row>
    <row r="1367" spans="1:113" ht="15" customHeight="1" x14ac:dyDescent="0.25">
      <c r="A1367" t="s">
        <v>6342</v>
      </c>
      <c r="B1367" t="s">
        <v>6343</v>
      </c>
      <c r="C1367" t="s">
        <v>6344</v>
      </c>
      <c r="D1367" t="s">
        <v>1243</v>
      </c>
      <c r="E1367" t="s">
        <v>1190</v>
      </c>
      <c r="F1367" t="s">
        <v>6345</v>
      </c>
      <c r="G1367">
        <v>2025</v>
      </c>
      <c r="H1367" t="s">
        <v>1160</v>
      </c>
      <c r="I1367" t="s">
        <v>120</v>
      </c>
      <c r="J1367">
        <v>14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Y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>
        <v>0</v>
      </c>
      <c r="AU1367">
        <v>0</v>
      </c>
      <c r="AV1367">
        <v>0</v>
      </c>
      <c r="AW1367">
        <v>0</v>
      </c>
      <c r="AX1367">
        <v>0</v>
      </c>
      <c r="AY1367">
        <v>11</v>
      </c>
      <c r="AZ1367">
        <v>2</v>
      </c>
      <c r="BA1367">
        <v>24</v>
      </c>
      <c r="BB1367">
        <v>3</v>
      </c>
      <c r="BC1367">
        <v>10</v>
      </c>
      <c r="BD1367">
        <v>0</v>
      </c>
      <c r="BE1367">
        <v>2.5</v>
      </c>
      <c r="BF1367">
        <v>9</v>
      </c>
      <c r="BG1367">
        <v>4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1</v>
      </c>
      <c r="BS1367">
        <v>0</v>
      </c>
      <c r="BT1367">
        <v>1</v>
      </c>
      <c r="BU1367">
        <v>15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C1367">
        <v>0</v>
      </c>
      <c r="DD1367">
        <v>0</v>
      </c>
      <c r="DE1367">
        <v>0</v>
      </c>
      <c r="DF1367">
        <v>0</v>
      </c>
      <c r="DH1367">
        <v>0</v>
      </c>
      <c r="DI1367">
        <v>0</v>
      </c>
    </row>
    <row r="1368" spans="1:113" ht="15" customHeight="1" x14ac:dyDescent="0.25">
      <c r="A1368" t="s">
        <v>6346</v>
      </c>
      <c r="B1368" t="s">
        <v>6347</v>
      </c>
      <c r="C1368" t="s">
        <v>571</v>
      </c>
      <c r="D1368" t="s">
        <v>10</v>
      </c>
      <c r="E1368" t="s">
        <v>10</v>
      </c>
      <c r="F1368" t="s">
        <v>6348</v>
      </c>
      <c r="G1368">
        <v>2025</v>
      </c>
      <c r="H1368" t="s">
        <v>1160</v>
      </c>
      <c r="I1368" t="s">
        <v>109</v>
      </c>
      <c r="J1368">
        <v>12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Y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H1368">
        <v>0</v>
      </c>
      <c r="AI1368">
        <v>21</v>
      </c>
      <c r="AJ1368">
        <v>39</v>
      </c>
      <c r="AK1368">
        <v>270</v>
      </c>
      <c r="AL1368">
        <v>2</v>
      </c>
      <c r="AM1368">
        <v>0</v>
      </c>
      <c r="AN1368">
        <v>0</v>
      </c>
      <c r="AO1368">
        <v>463</v>
      </c>
      <c r="AP1368">
        <v>62</v>
      </c>
      <c r="AQ1368">
        <v>13</v>
      </c>
      <c r="AR1368">
        <v>6.5273470815496397</v>
      </c>
      <c r="AS1368">
        <v>0</v>
      </c>
      <c r="AT1368">
        <v>0.58315334773218097</v>
      </c>
      <c r="AU1368">
        <v>7.4712643678160898E-2</v>
      </c>
      <c r="AV1368">
        <v>0.122324966974901</v>
      </c>
      <c r="AW1368">
        <v>0.19769644239967199</v>
      </c>
      <c r="AX1368">
        <v>0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2</v>
      </c>
      <c r="BU1368">
        <v>16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C1368">
        <v>0</v>
      </c>
      <c r="DD1368">
        <v>0</v>
      </c>
      <c r="DE1368">
        <v>0</v>
      </c>
      <c r="DF1368">
        <v>0</v>
      </c>
      <c r="DH1368">
        <v>39</v>
      </c>
      <c r="DI1368">
        <v>60</v>
      </c>
    </row>
    <row r="1369" spans="1:113" ht="15" customHeight="1" x14ac:dyDescent="0.25">
      <c r="A1369" t="s">
        <v>6349</v>
      </c>
      <c r="B1369" t="s">
        <v>6350</v>
      </c>
      <c r="C1369" t="s">
        <v>6351</v>
      </c>
      <c r="D1369" t="s">
        <v>1189</v>
      </c>
      <c r="E1369" t="s">
        <v>1190</v>
      </c>
      <c r="F1369" t="s">
        <v>6352</v>
      </c>
      <c r="G1369">
        <v>2025</v>
      </c>
      <c r="H1369" t="s">
        <v>1160</v>
      </c>
      <c r="I1369" t="s">
        <v>93</v>
      </c>
      <c r="J1369">
        <v>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Y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S1369">
        <v>0</v>
      </c>
      <c r="AU1369">
        <v>0</v>
      </c>
      <c r="AV1369">
        <v>0</v>
      </c>
      <c r="AW1369">
        <v>0</v>
      </c>
      <c r="AX1369">
        <v>0</v>
      </c>
      <c r="AY1369">
        <v>9</v>
      </c>
      <c r="AZ1369">
        <v>0</v>
      </c>
      <c r="BA1369">
        <v>13</v>
      </c>
      <c r="BB1369">
        <v>5</v>
      </c>
      <c r="BC1369">
        <v>21</v>
      </c>
      <c r="BD1369">
        <v>2</v>
      </c>
      <c r="BE1369">
        <v>4.5</v>
      </c>
      <c r="BF1369">
        <v>16.5</v>
      </c>
      <c r="BG1369">
        <v>5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C1369">
        <v>0</v>
      </c>
      <c r="DD1369">
        <v>0</v>
      </c>
      <c r="DE1369">
        <v>0</v>
      </c>
      <c r="DF1369">
        <v>0</v>
      </c>
      <c r="DH1369">
        <v>0</v>
      </c>
      <c r="DI1369">
        <v>0</v>
      </c>
    </row>
    <row r="1370" spans="1:113" ht="15" customHeight="1" x14ac:dyDescent="0.25">
      <c r="A1370" t="s">
        <v>6353</v>
      </c>
      <c r="B1370" t="s">
        <v>6354</v>
      </c>
      <c r="C1370" t="s">
        <v>6355</v>
      </c>
      <c r="D1370" t="s">
        <v>1219</v>
      </c>
      <c r="E1370" t="s">
        <v>1220</v>
      </c>
      <c r="F1370" t="s">
        <v>6356</v>
      </c>
      <c r="G1370">
        <v>2025</v>
      </c>
      <c r="H1370" t="s">
        <v>1160</v>
      </c>
      <c r="I1370" t="s">
        <v>123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Y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S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2</v>
      </c>
      <c r="BU1370">
        <v>20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C1370">
        <v>0</v>
      </c>
      <c r="DD1370">
        <v>0</v>
      </c>
      <c r="DE1370">
        <v>0</v>
      </c>
      <c r="DF1370">
        <v>0</v>
      </c>
      <c r="DH1370">
        <v>0</v>
      </c>
      <c r="DI1370">
        <v>0</v>
      </c>
    </row>
    <row r="1371" spans="1:113" ht="15" customHeight="1" x14ac:dyDescent="0.25">
      <c r="A1371" t="s">
        <v>6357</v>
      </c>
      <c r="B1371" t="s">
        <v>6358</v>
      </c>
      <c r="C1371" t="s">
        <v>6359</v>
      </c>
      <c r="D1371" t="s">
        <v>1307</v>
      </c>
      <c r="E1371" t="s">
        <v>1307</v>
      </c>
      <c r="F1371" t="s">
        <v>6360</v>
      </c>
      <c r="G1371">
        <v>2025</v>
      </c>
      <c r="H1371" t="s">
        <v>1160</v>
      </c>
      <c r="I1371" t="s">
        <v>123</v>
      </c>
      <c r="J1371">
        <v>17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Y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S1371">
        <v>0</v>
      </c>
      <c r="AU1371">
        <v>0</v>
      </c>
      <c r="AV1371">
        <v>0</v>
      </c>
      <c r="AW1371">
        <v>0</v>
      </c>
      <c r="AX1371">
        <v>0</v>
      </c>
      <c r="AY1371">
        <v>73</v>
      </c>
      <c r="AZ1371">
        <v>2</v>
      </c>
      <c r="BA1371">
        <v>42</v>
      </c>
      <c r="BB1371">
        <v>4</v>
      </c>
      <c r="BC1371">
        <v>19</v>
      </c>
      <c r="BD1371">
        <v>2</v>
      </c>
      <c r="BE1371">
        <v>2</v>
      </c>
      <c r="BF1371">
        <v>14</v>
      </c>
      <c r="BG1371">
        <v>5</v>
      </c>
      <c r="BH1371">
        <v>1</v>
      </c>
      <c r="BI1371">
        <v>1</v>
      </c>
      <c r="BJ1371">
        <v>2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2</v>
      </c>
      <c r="BU1371">
        <v>18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C1371">
        <v>0</v>
      </c>
      <c r="DD1371">
        <v>0</v>
      </c>
      <c r="DE1371">
        <v>0</v>
      </c>
      <c r="DF1371">
        <v>0</v>
      </c>
      <c r="DH1371">
        <v>0</v>
      </c>
      <c r="DI1371">
        <v>0</v>
      </c>
    </row>
    <row r="1372" spans="1:113" ht="15" customHeight="1" x14ac:dyDescent="0.25">
      <c r="A1372" t="s">
        <v>6361</v>
      </c>
      <c r="B1372" t="s">
        <v>1878</v>
      </c>
      <c r="C1372" t="s">
        <v>6362</v>
      </c>
      <c r="D1372" t="s">
        <v>1350</v>
      </c>
      <c r="E1372" t="s">
        <v>1307</v>
      </c>
      <c r="F1372" t="s">
        <v>6363</v>
      </c>
      <c r="G1372">
        <v>2025</v>
      </c>
      <c r="H1372" t="s">
        <v>1160</v>
      </c>
      <c r="I1372" t="s">
        <v>90</v>
      </c>
      <c r="J1372">
        <v>12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Y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S1372">
        <v>0</v>
      </c>
      <c r="AU1372">
        <v>0</v>
      </c>
      <c r="AV1372">
        <v>0</v>
      </c>
      <c r="AW1372">
        <v>0</v>
      </c>
      <c r="AX1372">
        <v>0</v>
      </c>
      <c r="AY1372">
        <v>17</v>
      </c>
      <c r="AZ1372">
        <v>0</v>
      </c>
      <c r="BA1372">
        <v>8</v>
      </c>
      <c r="BB1372">
        <v>1</v>
      </c>
      <c r="BC1372">
        <v>1</v>
      </c>
      <c r="BD1372">
        <v>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2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2</v>
      </c>
      <c r="BU1372">
        <v>15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C1372">
        <v>0</v>
      </c>
      <c r="DD1372">
        <v>0</v>
      </c>
      <c r="DE1372">
        <v>0</v>
      </c>
      <c r="DF1372">
        <v>0</v>
      </c>
      <c r="DH1372">
        <v>0</v>
      </c>
      <c r="DI1372">
        <v>0</v>
      </c>
    </row>
    <row r="1373" spans="1:113" ht="15" customHeight="1" x14ac:dyDescent="0.25">
      <c r="A1373" t="s">
        <v>6364</v>
      </c>
      <c r="B1373" t="s">
        <v>4266</v>
      </c>
      <c r="C1373" t="s">
        <v>6365</v>
      </c>
      <c r="D1373" t="s">
        <v>1350</v>
      </c>
      <c r="E1373" t="s">
        <v>1307</v>
      </c>
      <c r="F1373" t="s">
        <v>6366</v>
      </c>
      <c r="G1373">
        <v>2025</v>
      </c>
      <c r="H1373" t="s">
        <v>1160</v>
      </c>
      <c r="I1373" t="s">
        <v>139</v>
      </c>
      <c r="J1373">
        <v>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Y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S1373">
        <v>0</v>
      </c>
      <c r="AU1373">
        <v>0</v>
      </c>
      <c r="AV1373">
        <v>0</v>
      </c>
      <c r="AW1373">
        <v>0</v>
      </c>
      <c r="AX1373">
        <v>0</v>
      </c>
      <c r="AY1373">
        <v>3</v>
      </c>
      <c r="AZ1373">
        <v>0</v>
      </c>
      <c r="BA1373">
        <v>5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1</v>
      </c>
      <c r="BU1373">
        <v>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C1373">
        <v>0</v>
      </c>
      <c r="DD1373">
        <v>0</v>
      </c>
      <c r="DE1373">
        <v>0</v>
      </c>
      <c r="DF1373">
        <v>0</v>
      </c>
      <c r="DH1373">
        <v>0</v>
      </c>
      <c r="DI1373">
        <v>0</v>
      </c>
    </row>
    <row r="1374" spans="1:113" ht="15" customHeight="1" x14ac:dyDescent="0.25">
      <c r="A1374" t="s">
        <v>6367</v>
      </c>
      <c r="B1374" t="s">
        <v>6368</v>
      </c>
      <c r="C1374" t="s">
        <v>797</v>
      </c>
      <c r="D1374" t="s">
        <v>10</v>
      </c>
      <c r="E1374" t="s">
        <v>10</v>
      </c>
      <c r="F1374" t="s">
        <v>6369</v>
      </c>
      <c r="G1374">
        <v>2025</v>
      </c>
      <c r="H1374" t="s">
        <v>1160</v>
      </c>
      <c r="I1374" t="s">
        <v>137</v>
      </c>
      <c r="J1374">
        <v>14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Y1374">
        <v>0</v>
      </c>
      <c r="AA1374">
        <v>2</v>
      </c>
      <c r="AB1374">
        <v>81</v>
      </c>
      <c r="AC1374">
        <v>1</v>
      </c>
      <c r="AD1374">
        <v>0</v>
      </c>
      <c r="AE1374">
        <v>0</v>
      </c>
      <c r="AF1374">
        <v>2</v>
      </c>
      <c r="AG1374">
        <v>7.7909535416983999</v>
      </c>
      <c r="AH1374">
        <v>0</v>
      </c>
      <c r="AI1374">
        <v>42</v>
      </c>
      <c r="AJ1374">
        <v>79</v>
      </c>
      <c r="AK1374">
        <v>610</v>
      </c>
      <c r="AL1374">
        <v>3</v>
      </c>
      <c r="AM1374">
        <v>0</v>
      </c>
      <c r="AN1374">
        <v>0</v>
      </c>
      <c r="AO1374">
        <v>1083</v>
      </c>
      <c r="AP1374">
        <v>139</v>
      </c>
      <c r="AQ1374">
        <v>26</v>
      </c>
      <c r="AR1374">
        <v>13.9893714809131</v>
      </c>
      <c r="AS1374">
        <v>0</v>
      </c>
      <c r="AT1374">
        <v>0.56325023084025905</v>
      </c>
      <c r="AU1374">
        <v>0.16880341880341901</v>
      </c>
      <c r="AV1374">
        <v>0.28826191109928101</v>
      </c>
      <c r="AW1374">
        <v>0.454988465974625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C1374">
        <v>0</v>
      </c>
      <c r="DD1374">
        <v>0</v>
      </c>
      <c r="DE1374">
        <v>0</v>
      </c>
      <c r="DF1374">
        <v>0</v>
      </c>
      <c r="DH1374">
        <v>93.1</v>
      </c>
      <c r="DI1374">
        <v>135.1</v>
      </c>
    </row>
    <row r="1375" spans="1:113" ht="15" customHeight="1" x14ac:dyDescent="0.25">
      <c r="A1375" t="s">
        <v>6370</v>
      </c>
      <c r="B1375" t="s">
        <v>6371</v>
      </c>
      <c r="C1375" t="s">
        <v>6372</v>
      </c>
      <c r="D1375" t="s">
        <v>1243</v>
      </c>
      <c r="E1375" t="s">
        <v>1190</v>
      </c>
      <c r="F1375" t="s">
        <v>6373</v>
      </c>
      <c r="G1375">
        <v>2025</v>
      </c>
      <c r="H1375" t="s">
        <v>1160</v>
      </c>
      <c r="I1375" t="s">
        <v>138</v>
      </c>
      <c r="J1375">
        <v>15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Y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S1375">
        <v>0</v>
      </c>
      <c r="AU1375">
        <v>0</v>
      </c>
      <c r="AV1375">
        <v>0</v>
      </c>
      <c r="AW1375">
        <v>0</v>
      </c>
      <c r="AX1375">
        <v>0</v>
      </c>
      <c r="AY1375">
        <v>14</v>
      </c>
      <c r="AZ1375">
        <v>1</v>
      </c>
      <c r="BA1375">
        <v>22</v>
      </c>
      <c r="BB1375">
        <v>5</v>
      </c>
      <c r="BC1375">
        <v>13</v>
      </c>
      <c r="BD1375">
        <v>1</v>
      </c>
      <c r="BE1375">
        <v>2.5</v>
      </c>
      <c r="BF1375">
        <v>13</v>
      </c>
      <c r="BG1375">
        <v>8</v>
      </c>
      <c r="BH1375">
        <v>0</v>
      </c>
      <c r="BI1375">
        <v>0</v>
      </c>
      <c r="BJ1375">
        <v>3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3</v>
      </c>
      <c r="BU1375">
        <v>22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C1375">
        <v>0</v>
      </c>
      <c r="DD1375">
        <v>0</v>
      </c>
      <c r="DE1375">
        <v>0</v>
      </c>
      <c r="DF1375">
        <v>0</v>
      </c>
      <c r="DH1375">
        <v>0</v>
      </c>
      <c r="DI1375">
        <v>0</v>
      </c>
    </row>
    <row r="1376" spans="1:113" ht="15" customHeight="1" x14ac:dyDescent="0.25">
      <c r="A1376" t="s">
        <v>6374</v>
      </c>
      <c r="B1376" t="s">
        <v>6375</v>
      </c>
      <c r="C1376" t="s">
        <v>636</v>
      </c>
      <c r="D1376" t="s">
        <v>439</v>
      </c>
      <c r="E1376" t="s">
        <v>439</v>
      </c>
      <c r="F1376" t="s">
        <v>6376</v>
      </c>
      <c r="G1376">
        <v>2025</v>
      </c>
      <c r="H1376" t="s">
        <v>1160</v>
      </c>
      <c r="I1376" t="s">
        <v>118</v>
      </c>
      <c r="J1376">
        <v>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Y1376">
        <v>0</v>
      </c>
      <c r="AA1376">
        <v>1</v>
      </c>
      <c r="AB1376">
        <v>3</v>
      </c>
      <c r="AC1376">
        <v>0</v>
      </c>
      <c r="AD1376">
        <v>0</v>
      </c>
      <c r="AE1376">
        <v>0</v>
      </c>
      <c r="AF1376">
        <v>0</v>
      </c>
      <c r="AG1376">
        <v>-0.68111543264240004</v>
      </c>
      <c r="AH1376">
        <v>0</v>
      </c>
      <c r="AI1376">
        <v>32</v>
      </c>
      <c r="AJ1376">
        <v>44</v>
      </c>
      <c r="AK1376">
        <v>489</v>
      </c>
      <c r="AL1376">
        <v>6</v>
      </c>
      <c r="AM1376">
        <v>0</v>
      </c>
      <c r="AN1376">
        <v>0</v>
      </c>
      <c r="AO1376">
        <v>201</v>
      </c>
      <c r="AP1376">
        <v>344</v>
      </c>
      <c r="AQ1376">
        <v>22</v>
      </c>
      <c r="AR1376">
        <v>39.123876830533902</v>
      </c>
      <c r="AS1376">
        <v>0</v>
      </c>
      <c r="AT1376">
        <v>2.4328358208955199</v>
      </c>
      <c r="AU1376">
        <v>9.5652173913043495E-2</v>
      </c>
      <c r="AV1376">
        <v>4.6929722157366301E-2</v>
      </c>
      <c r="AW1376">
        <v>0.17632906637972201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1</v>
      </c>
      <c r="BU1376">
        <v>5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C1376">
        <v>0</v>
      </c>
      <c r="DD1376">
        <v>0</v>
      </c>
      <c r="DE1376">
        <v>0</v>
      </c>
      <c r="DF1376">
        <v>0</v>
      </c>
      <c r="DH1376">
        <v>85.2</v>
      </c>
      <c r="DI1376">
        <v>117.2</v>
      </c>
    </row>
    <row r="1377" spans="1:113" ht="15" customHeight="1" x14ac:dyDescent="0.25">
      <c r="A1377" t="s">
        <v>6377</v>
      </c>
      <c r="B1377" t="s">
        <v>6378</v>
      </c>
      <c r="C1377" t="s">
        <v>671</v>
      </c>
      <c r="D1377" t="s">
        <v>10</v>
      </c>
      <c r="E1377" t="s">
        <v>10</v>
      </c>
      <c r="F1377" t="s">
        <v>6379</v>
      </c>
      <c r="G1377">
        <v>2025</v>
      </c>
      <c r="H1377" t="s">
        <v>1160</v>
      </c>
      <c r="I1377" t="s">
        <v>124</v>
      </c>
      <c r="J1377">
        <v>16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Y1377">
        <v>0</v>
      </c>
      <c r="AA1377">
        <v>2</v>
      </c>
      <c r="AB1377">
        <v>-2</v>
      </c>
      <c r="AC1377">
        <v>0</v>
      </c>
      <c r="AD1377">
        <v>0</v>
      </c>
      <c r="AE1377">
        <v>0</v>
      </c>
      <c r="AF1377">
        <v>0</v>
      </c>
      <c r="AG1377">
        <v>-1.5216300988104201</v>
      </c>
      <c r="AH1377">
        <v>0</v>
      </c>
      <c r="AI1377">
        <v>58</v>
      </c>
      <c r="AJ1377">
        <v>88</v>
      </c>
      <c r="AK1377">
        <v>566</v>
      </c>
      <c r="AL1377">
        <v>4</v>
      </c>
      <c r="AM1377">
        <v>0</v>
      </c>
      <c r="AN1377">
        <v>0</v>
      </c>
      <c r="AO1377">
        <v>659</v>
      </c>
      <c r="AP1377">
        <v>144</v>
      </c>
      <c r="AQ1377">
        <v>36</v>
      </c>
      <c r="AR1377">
        <v>8.6575101726329304</v>
      </c>
      <c r="AS1377">
        <v>0</v>
      </c>
      <c r="AT1377">
        <v>0.85887708649468897</v>
      </c>
      <c r="AU1377">
        <v>0.16603773584905701</v>
      </c>
      <c r="AV1377">
        <v>0.150456621004566</v>
      </c>
      <c r="AW1377">
        <v>0.35437623847678101</v>
      </c>
      <c r="AX1377">
        <v>0</v>
      </c>
      <c r="AY1377">
        <v>2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1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</v>
      </c>
      <c r="BU1377">
        <v>5</v>
      </c>
      <c r="BV1377">
        <v>8</v>
      </c>
      <c r="BW1377">
        <v>68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C1377">
        <v>0</v>
      </c>
      <c r="DD1377">
        <v>0</v>
      </c>
      <c r="DE1377">
        <v>0</v>
      </c>
      <c r="DF1377">
        <v>0</v>
      </c>
      <c r="DH1377">
        <v>80.400000000000006</v>
      </c>
      <c r="DI1377">
        <v>138.4</v>
      </c>
    </row>
    <row r="1378" spans="1:113" ht="15" customHeight="1" x14ac:dyDescent="0.25">
      <c r="A1378" t="s">
        <v>6380</v>
      </c>
      <c r="B1378" t="s">
        <v>6381</v>
      </c>
      <c r="C1378" t="s">
        <v>6382</v>
      </c>
      <c r="D1378" t="s">
        <v>1350</v>
      </c>
      <c r="E1378" t="s">
        <v>1307</v>
      </c>
      <c r="F1378" t="s">
        <v>6383</v>
      </c>
      <c r="G1378">
        <v>2025</v>
      </c>
      <c r="H1378" t="s">
        <v>1160</v>
      </c>
      <c r="I1378" t="s">
        <v>139</v>
      </c>
      <c r="J1378">
        <v>14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Y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S1378">
        <v>0</v>
      </c>
      <c r="AU1378">
        <v>0</v>
      </c>
      <c r="AV1378">
        <v>0</v>
      </c>
      <c r="AW1378">
        <v>0</v>
      </c>
      <c r="AX1378">
        <v>1</v>
      </c>
      <c r="AY1378">
        <v>23</v>
      </c>
      <c r="AZ1378">
        <v>1</v>
      </c>
      <c r="BA1378">
        <v>7</v>
      </c>
      <c r="BB1378">
        <v>2</v>
      </c>
      <c r="BC1378">
        <v>2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5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4</v>
      </c>
      <c r="BU1378">
        <v>54</v>
      </c>
      <c r="BV1378">
        <v>0</v>
      </c>
      <c r="BW1378">
        <v>0</v>
      </c>
      <c r="BX1378">
        <v>19</v>
      </c>
      <c r="BY1378">
        <v>622</v>
      </c>
      <c r="BZ1378">
        <v>0</v>
      </c>
      <c r="CA1378">
        <v>0</v>
      </c>
      <c r="CB1378">
        <v>0</v>
      </c>
      <c r="CC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C1378">
        <v>0</v>
      </c>
      <c r="DD1378">
        <v>0</v>
      </c>
      <c r="DE1378">
        <v>0</v>
      </c>
      <c r="DF1378">
        <v>0</v>
      </c>
      <c r="DH1378">
        <v>6</v>
      </c>
      <c r="DI1378">
        <v>6</v>
      </c>
    </row>
    <row r="1379" spans="1:113" ht="15" customHeight="1" x14ac:dyDescent="0.25">
      <c r="A1379" t="s">
        <v>6384</v>
      </c>
      <c r="B1379" t="s">
        <v>6385</v>
      </c>
      <c r="C1379" t="s">
        <v>6386</v>
      </c>
      <c r="D1379" t="s">
        <v>1219</v>
      </c>
      <c r="E1379" t="s">
        <v>1220</v>
      </c>
      <c r="F1379" t="s">
        <v>6387</v>
      </c>
      <c r="G1379">
        <v>2025</v>
      </c>
      <c r="H1379" t="s">
        <v>1160</v>
      </c>
      <c r="I1379" t="s">
        <v>120</v>
      </c>
      <c r="J1379">
        <v>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Y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S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7</v>
      </c>
      <c r="BU1379">
        <v>59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C1379">
        <v>0</v>
      </c>
      <c r="DD1379">
        <v>0</v>
      </c>
      <c r="DE1379">
        <v>0</v>
      </c>
      <c r="DF1379">
        <v>0</v>
      </c>
      <c r="DH1379">
        <v>0</v>
      </c>
      <c r="DI1379">
        <v>0</v>
      </c>
    </row>
    <row r="1380" spans="1:113" ht="15" customHeight="1" x14ac:dyDescent="0.25">
      <c r="A1380" t="s">
        <v>6388</v>
      </c>
      <c r="B1380" t="s">
        <v>4598</v>
      </c>
      <c r="C1380" t="s">
        <v>6389</v>
      </c>
      <c r="D1380" t="s">
        <v>1684</v>
      </c>
      <c r="E1380" t="s">
        <v>1307</v>
      </c>
      <c r="F1380" t="s">
        <v>6390</v>
      </c>
      <c r="G1380">
        <v>2025</v>
      </c>
      <c r="H1380" t="s">
        <v>1160</v>
      </c>
      <c r="I1380" t="s">
        <v>120</v>
      </c>
      <c r="J1380">
        <v>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Y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S1380">
        <v>0</v>
      </c>
      <c r="AU1380">
        <v>0</v>
      </c>
      <c r="AV1380">
        <v>0</v>
      </c>
      <c r="AW1380">
        <v>0</v>
      </c>
      <c r="AX1380">
        <v>1</v>
      </c>
      <c r="AY1380">
        <v>17</v>
      </c>
      <c r="AZ1380">
        <v>0</v>
      </c>
      <c r="BA1380">
        <v>17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35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4</v>
      </c>
      <c r="BU1380">
        <v>30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C1380">
        <v>0</v>
      </c>
      <c r="DD1380">
        <v>0</v>
      </c>
      <c r="DE1380">
        <v>0</v>
      </c>
      <c r="DF1380">
        <v>0</v>
      </c>
      <c r="DH1380">
        <v>6</v>
      </c>
      <c r="DI1380">
        <v>6</v>
      </c>
    </row>
    <row r="1381" spans="1:113" ht="15" customHeight="1" x14ac:dyDescent="0.25">
      <c r="A1381" t="s">
        <v>6391</v>
      </c>
      <c r="B1381" t="s">
        <v>6392</v>
      </c>
      <c r="C1381" t="s">
        <v>6393</v>
      </c>
      <c r="D1381" t="s">
        <v>1350</v>
      </c>
      <c r="E1381" t="s">
        <v>1307</v>
      </c>
      <c r="F1381" t="s">
        <v>6394</v>
      </c>
      <c r="G1381">
        <v>2025</v>
      </c>
      <c r="H1381" t="s">
        <v>1160</v>
      </c>
      <c r="I1381" t="s">
        <v>90</v>
      </c>
      <c r="J1381">
        <v>10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Y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S1381">
        <v>0</v>
      </c>
      <c r="AU1381">
        <v>0</v>
      </c>
      <c r="AV1381">
        <v>0</v>
      </c>
      <c r="AW1381">
        <v>0</v>
      </c>
      <c r="AX1381">
        <v>0</v>
      </c>
      <c r="AY1381">
        <v>25</v>
      </c>
      <c r="AZ1381">
        <v>0</v>
      </c>
      <c r="BA1381">
        <v>21</v>
      </c>
      <c r="BB1381">
        <v>1</v>
      </c>
      <c r="BC1381">
        <v>2</v>
      </c>
      <c r="BD1381">
        <v>1</v>
      </c>
      <c r="BE1381">
        <v>0</v>
      </c>
      <c r="BF1381">
        <v>0</v>
      </c>
      <c r="BG1381">
        <v>0</v>
      </c>
      <c r="BH1381">
        <v>1</v>
      </c>
      <c r="BI1381">
        <v>0</v>
      </c>
      <c r="BJ1381">
        <v>5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2</v>
      </c>
      <c r="BU1381">
        <v>31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C1381">
        <v>0</v>
      </c>
      <c r="DD1381">
        <v>0</v>
      </c>
      <c r="DE1381">
        <v>0</v>
      </c>
      <c r="DF1381">
        <v>0</v>
      </c>
      <c r="DH1381">
        <v>0</v>
      </c>
      <c r="DI1381">
        <v>0</v>
      </c>
    </row>
    <row r="1382" spans="1:113" ht="15" customHeight="1" x14ac:dyDescent="0.25">
      <c r="A1382" t="s">
        <v>6395</v>
      </c>
      <c r="B1382" t="s">
        <v>6396</v>
      </c>
      <c r="C1382" t="s">
        <v>6397</v>
      </c>
      <c r="D1382" t="s">
        <v>1189</v>
      </c>
      <c r="E1382" t="s">
        <v>1190</v>
      </c>
      <c r="F1382" t="s">
        <v>6398</v>
      </c>
      <c r="G1382">
        <v>2025</v>
      </c>
      <c r="H1382" t="s">
        <v>1160</v>
      </c>
      <c r="I1382" t="s">
        <v>121</v>
      </c>
      <c r="J1382">
        <v>14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Y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S1382">
        <v>0</v>
      </c>
      <c r="AU1382">
        <v>0</v>
      </c>
      <c r="AV1382">
        <v>0</v>
      </c>
      <c r="AW1382">
        <v>0</v>
      </c>
      <c r="AX1382">
        <v>0</v>
      </c>
      <c r="AY1382">
        <v>11</v>
      </c>
      <c r="AZ1382">
        <v>0</v>
      </c>
      <c r="BA1382">
        <v>15</v>
      </c>
      <c r="BB1382">
        <v>1</v>
      </c>
      <c r="BC1382">
        <v>3</v>
      </c>
      <c r="BD1382">
        <v>1</v>
      </c>
      <c r="BE1382">
        <v>0.5</v>
      </c>
      <c r="BF1382">
        <v>2</v>
      </c>
      <c r="BG1382">
        <v>4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2</v>
      </c>
      <c r="BU1382">
        <v>20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C1382">
        <v>0</v>
      </c>
      <c r="DD1382">
        <v>0</v>
      </c>
      <c r="DE1382">
        <v>0</v>
      </c>
      <c r="DF1382">
        <v>0</v>
      </c>
      <c r="DH1382">
        <v>0</v>
      </c>
      <c r="DI1382">
        <v>0</v>
      </c>
    </row>
    <row r="1383" spans="1:113" ht="15" customHeight="1" x14ac:dyDescent="0.25">
      <c r="A1383" t="s">
        <v>6399</v>
      </c>
      <c r="B1383" t="s">
        <v>6400</v>
      </c>
      <c r="C1383" t="s">
        <v>6401</v>
      </c>
      <c r="D1383" t="s">
        <v>1234</v>
      </c>
      <c r="E1383" t="s">
        <v>1234</v>
      </c>
      <c r="F1383" t="s">
        <v>6402</v>
      </c>
      <c r="G1383">
        <v>2025</v>
      </c>
      <c r="H1383" t="s">
        <v>1160</v>
      </c>
      <c r="I1383" t="s">
        <v>120</v>
      </c>
      <c r="J1383">
        <v>12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Y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S1383">
        <v>0</v>
      </c>
      <c r="AU1383">
        <v>0</v>
      </c>
      <c r="AV1383">
        <v>0</v>
      </c>
      <c r="AW1383">
        <v>0</v>
      </c>
      <c r="AX1383">
        <v>0</v>
      </c>
      <c r="AY1383">
        <v>15</v>
      </c>
      <c r="AZ1383">
        <v>0</v>
      </c>
      <c r="BA1383">
        <v>16</v>
      </c>
      <c r="BB1383">
        <v>1</v>
      </c>
      <c r="BC1383">
        <v>10</v>
      </c>
      <c r="BD1383">
        <v>1</v>
      </c>
      <c r="BE1383">
        <v>3</v>
      </c>
      <c r="BF1383">
        <v>10</v>
      </c>
      <c r="BG1383">
        <v>11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2</v>
      </c>
      <c r="BU1383">
        <v>30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C1383">
        <v>0</v>
      </c>
      <c r="DD1383">
        <v>0</v>
      </c>
      <c r="DE1383">
        <v>0</v>
      </c>
      <c r="DF1383">
        <v>0</v>
      </c>
      <c r="DH1383">
        <v>0</v>
      </c>
      <c r="DI1383">
        <v>0</v>
      </c>
    </row>
    <row r="1384" spans="1:113" ht="15" customHeight="1" x14ac:dyDescent="0.25">
      <c r="A1384" t="s">
        <v>6403</v>
      </c>
      <c r="B1384" t="s">
        <v>1409</v>
      </c>
      <c r="C1384" t="s">
        <v>6404</v>
      </c>
      <c r="D1384" t="s">
        <v>1219</v>
      </c>
      <c r="E1384" t="s">
        <v>1220</v>
      </c>
      <c r="F1384" t="s">
        <v>6405</v>
      </c>
      <c r="G1384">
        <v>2025</v>
      </c>
      <c r="H1384" t="s">
        <v>1160</v>
      </c>
      <c r="I1384" t="s">
        <v>109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Y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S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3</v>
      </c>
      <c r="BU1384">
        <v>18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C1384">
        <v>0</v>
      </c>
      <c r="DD1384">
        <v>0</v>
      </c>
      <c r="DE1384">
        <v>0</v>
      </c>
      <c r="DF1384">
        <v>0</v>
      </c>
      <c r="DH1384">
        <v>0</v>
      </c>
      <c r="DI1384">
        <v>0</v>
      </c>
    </row>
    <row r="1385" spans="1:113" ht="15" customHeight="1" x14ac:dyDescent="0.25">
      <c r="A1385" t="s">
        <v>6406</v>
      </c>
      <c r="B1385" t="s">
        <v>6407</v>
      </c>
      <c r="C1385" t="s">
        <v>6408</v>
      </c>
      <c r="D1385" t="s">
        <v>1234</v>
      </c>
      <c r="E1385" t="s">
        <v>1234</v>
      </c>
      <c r="F1385" t="s">
        <v>6409</v>
      </c>
      <c r="G1385">
        <v>2025</v>
      </c>
      <c r="H1385" t="s">
        <v>1160</v>
      </c>
      <c r="I1385" t="s">
        <v>111</v>
      </c>
      <c r="J1385">
        <v>17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Y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S1385">
        <v>0</v>
      </c>
      <c r="AU1385">
        <v>0</v>
      </c>
      <c r="AV1385">
        <v>0</v>
      </c>
      <c r="AW1385">
        <v>0</v>
      </c>
      <c r="AX1385">
        <v>0</v>
      </c>
      <c r="AY1385">
        <v>87</v>
      </c>
      <c r="AZ1385">
        <v>2</v>
      </c>
      <c r="BA1385">
        <v>87</v>
      </c>
      <c r="BB1385">
        <v>9</v>
      </c>
      <c r="BC1385">
        <v>53</v>
      </c>
      <c r="BD1385">
        <v>3</v>
      </c>
      <c r="BE1385">
        <v>5</v>
      </c>
      <c r="BF1385">
        <v>43</v>
      </c>
      <c r="BG1385">
        <v>5</v>
      </c>
      <c r="BH1385">
        <v>0</v>
      </c>
      <c r="BI1385">
        <v>0</v>
      </c>
      <c r="BJ1385">
        <v>4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2</v>
      </c>
      <c r="BR1385">
        <v>2</v>
      </c>
      <c r="BS1385">
        <v>0</v>
      </c>
      <c r="BT1385">
        <v>2</v>
      </c>
      <c r="BU1385">
        <v>18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C1385">
        <v>0</v>
      </c>
      <c r="DD1385">
        <v>0</v>
      </c>
      <c r="DE1385">
        <v>0</v>
      </c>
      <c r="DF1385">
        <v>0</v>
      </c>
      <c r="DH1385">
        <v>0</v>
      </c>
      <c r="DI1385">
        <v>0</v>
      </c>
    </row>
    <row r="1386" spans="1:113" ht="15" customHeight="1" x14ac:dyDescent="0.25">
      <c r="A1386" t="s">
        <v>6410</v>
      </c>
      <c r="B1386" t="s">
        <v>6411</v>
      </c>
      <c r="C1386" t="s">
        <v>6412</v>
      </c>
      <c r="D1386" t="s">
        <v>1655</v>
      </c>
      <c r="E1386" t="s">
        <v>1220</v>
      </c>
      <c r="F1386" t="s">
        <v>6413</v>
      </c>
      <c r="G1386">
        <v>2025</v>
      </c>
      <c r="H1386" t="s">
        <v>1160</v>
      </c>
      <c r="I1386" t="s">
        <v>139</v>
      </c>
      <c r="J1386">
        <v>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Y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S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3</v>
      </c>
      <c r="BU1386">
        <v>30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C1386">
        <v>0</v>
      </c>
      <c r="DD1386">
        <v>0</v>
      </c>
      <c r="DE1386">
        <v>0</v>
      </c>
      <c r="DF1386">
        <v>0</v>
      </c>
      <c r="DH1386">
        <v>0</v>
      </c>
      <c r="DI1386">
        <v>0</v>
      </c>
    </row>
    <row r="1387" spans="1:113" ht="15" customHeight="1" x14ac:dyDescent="0.25">
      <c r="A1387" t="s">
        <v>6414</v>
      </c>
      <c r="B1387" t="s">
        <v>6415</v>
      </c>
      <c r="C1387" t="s">
        <v>6416</v>
      </c>
      <c r="D1387" t="s">
        <v>1297</v>
      </c>
      <c r="E1387" t="s">
        <v>1220</v>
      </c>
      <c r="F1387" t="s">
        <v>6417</v>
      </c>
      <c r="G1387">
        <v>2025</v>
      </c>
      <c r="H1387" t="s">
        <v>1160</v>
      </c>
      <c r="I1387" t="s">
        <v>140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Y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S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4</v>
      </c>
      <c r="BU1387">
        <v>30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C1387">
        <v>0</v>
      </c>
      <c r="DD1387">
        <v>0</v>
      </c>
      <c r="DE1387">
        <v>0</v>
      </c>
      <c r="DF1387">
        <v>0</v>
      </c>
      <c r="DH1387">
        <v>0</v>
      </c>
      <c r="DI1387">
        <v>0</v>
      </c>
    </row>
    <row r="1388" spans="1:113" ht="15" customHeight="1" x14ac:dyDescent="0.25">
      <c r="A1388" t="s">
        <v>6418</v>
      </c>
      <c r="B1388" t="s">
        <v>6419</v>
      </c>
      <c r="C1388" t="s">
        <v>526</v>
      </c>
      <c r="D1388" t="s">
        <v>431</v>
      </c>
      <c r="E1388" t="s">
        <v>431</v>
      </c>
      <c r="F1388" t="s">
        <v>6420</v>
      </c>
      <c r="G1388">
        <v>2025</v>
      </c>
      <c r="H1388" t="s">
        <v>1160</v>
      </c>
      <c r="I1388" t="s">
        <v>104</v>
      </c>
      <c r="J1388">
        <v>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Y1388">
        <v>0</v>
      </c>
      <c r="AA1388">
        <v>2</v>
      </c>
      <c r="AB1388">
        <v>17</v>
      </c>
      <c r="AC1388">
        <v>0</v>
      </c>
      <c r="AD1388">
        <v>0</v>
      </c>
      <c r="AE1388">
        <v>0</v>
      </c>
      <c r="AF1388">
        <v>1</v>
      </c>
      <c r="AG1388">
        <v>1.3584852102212599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S1388">
        <v>0</v>
      </c>
      <c r="AU1388">
        <v>0</v>
      </c>
      <c r="AV1388">
        <v>0</v>
      </c>
      <c r="AW1388">
        <v>0</v>
      </c>
      <c r="AX1388">
        <v>0</v>
      </c>
      <c r="AY1388">
        <v>6</v>
      </c>
      <c r="AZ1388">
        <v>0</v>
      </c>
      <c r="BA1388">
        <v>1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1</v>
      </c>
      <c r="BU1388">
        <v>10</v>
      </c>
      <c r="BV1388">
        <v>0</v>
      </c>
      <c r="BW1388">
        <v>0</v>
      </c>
      <c r="BX1388">
        <v>1</v>
      </c>
      <c r="BY1388">
        <v>22</v>
      </c>
      <c r="BZ1388">
        <v>0</v>
      </c>
      <c r="CA1388">
        <v>0</v>
      </c>
      <c r="CB1388">
        <v>0</v>
      </c>
      <c r="CC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C1388">
        <v>0</v>
      </c>
      <c r="DD1388">
        <v>0</v>
      </c>
      <c r="DE1388">
        <v>0</v>
      </c>
      <c r="DF1388">
        <v>0</v>
      </c>
      <c r="DH1388">
        <v>1.7</v>
      </c>
      <c r="DI1388">
        <v>1.7</v>
      </c>
    </row>
    <row r="1389" spans="1:113" ht="15" customHeight="1" x14ac:dyDescent="0.25">
      <c r="A1389" t="s">
        <v>6421</v>
      </c>
      <c r="B1389" t="s">
        <v>6422</v>
      </c>
      <c r="C1389" t="s">
        <v>6423</v>
      </c>
      <c r="D1389" t="s">
        <v>1655</v>
      </c>
      <c r="E1389" t="s">
        <v>1220</v>
      </c>
      <c r="F1389" t="s">
        <v>6424</v>
      </c>
      <c r="G1389">
        <v>2025</v>
      </c>
      <c r="H1389" t="s">
        <v>1160</v>
      </c>
      <c r="I1389" t="s">
        <v>121</v>
      </c>
      <c r="J1389">
        <v>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Y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S1389">
        <v>0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5</v>
      </c>
      <c r="BU1389">
        <v>35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C1389">
        <v>0</v>
      </c>
      <c r="DD1389">
        <v>0</v>
      </c>
      <c r="DE1389">
        <v>0</v>
      </c>
      <c r="DF1389">
        <v>0</v>
      </c>
      <c r="DH1389">
        <v>0</v>
      </c>
      <c r="DI1389">
        <v>0</v>
      </c>
    </row>
    <row r="1390" spans="1:113" ht="15" customHeight="1" x14ac:dyDescent="0.25">
      <c r="A1390" t="s">
        <v>6425</v>
      </c>
      <c r="B1390" t="s">
        <v>6426</v>
      </c>
      <c r="C1390" t="s">
        <v>6427</v>
      </c>
      <c r="D1390" t="s">
        <v>1243</v>
      </c>
      <c r="E1390" t="s">
        <v>1190</v>
      </c>
      <c r="F1390" t="s">
        <v>6428</v>
      </c>
      <c r="G1390">
        <v>2025</v>
      </c>
      <c r="H1390" t="s">
        <v>1160</v>
      </c>
      <c r="I1390" t="s">
        <v>124</v>
      </c>
      <c r="J1390">
        <v>14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Y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S1390">
        <v>0</v>
      </c>
      <c r="AU1390">
        <v>0</v>
      </c>
      <c r="AV1390">
        <v>0</v>
      </c>
      <c r="AW1390">
        <v>0</v>
      </c>
      <c r="AX1390">
        <v>0</v>
      </c>
      <c r="AY1390">
        <v>13</v>
      </c>
      <c r="AZ1390">
        <v>1</v>
      </c>
      <c r="BA1390">
        <v>22</v>
      </c>
      <c r="BB1390">
        <v>5</v>
      </c>
      <c r="BC1390">
        <v>35</v>
      </c>
      <c r="BD1390">
        <v>0</v>
      </c>
      <c r="BE1390">
        <v>4</v>
      </c>
      <c r="BF1390">
        <v>34.5</v>
      </c>
      <c r="BG1390">
        <v>6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1</v>
      </c>
      <c r="BS1390">
        <v>0</v>
      </c>
      <c r="BT1390">
        <v>3</v>
      </c>
      <c r="BU1390">
        <v>25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C1390">
        <v>0</v>
      </c>
      <c r="DD1390">
        <v>0</v>
      </c>
      <c r="DE1390">
        <v>0</v>
      </c>
      <c r="DF1390">
        <v>0</v>
      </c>
      <c r="DH1390">
        <v>0</v>
      </c>
      <c r="DI1390">
        <v>0</v>
      </c>
    </row>
    <row r="1391" spans="1:113" ht="15" customHeight="1" x14ac:dyDescent="0.25">
      <c r="A1391" t="s">
        <v>6429</v>
      </c>
      <c r="B1391" t="s">
        <v>6430</v>
      </c>
      <c r="C1391" t="s">
        <v>1015</v>
      </c>
      <c r="D1391" t="s">
        <v>431</v>
      </c>
      <c r="E1391" t="s">
        <v>431</v>
      </c>
      <c r="F1391" t="s">
        <v>6431</v>
      </c>
      <c r="G1391">
        <v>2025</v>
      </c>
      <c r="H1391" t="s">
        <v>1160</v>
      </c>
      <c r="I1391" t="s">
        <v>142</v>
      </c>
      <c r="J1391">
        <v>13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Y1391">
        <v>0</v>
      </c>
      <c r="AA1391">
        <v>72</v>
      </c>
      <c r="AB1391">
        <v>283</v>
      </c>
      <c r="AC1391">
        <v>2</v>
      </c>
      <c r="AD1391">
        <v>0</v>
      </c>
      <c r="AE1391">
        <v>0</v>
      </c>
      <c r="AF1391">
        <v>17</v>
      </c>
      <c r="AG1391">
        <v>-3.9011475154351198</v>
      </c>
      <c r="AH1391">
        <v>0</v>
      </c>
      <c r="AI1391">
        <v>45</v>
      </c>
      <c r="AJ1391">
        <v>50</v>
      </c>
      <c r="AK1391">
        <v>264</v>
      </c>
      <c r="AL1391">
        <v>0</v>
      </c>
      <c r="AM1391">
        <v>0</v>
      </c>
      <c r="AN1391">
        <v>0</v>
      </c>
      <c r="AO1391">
        <v>-115</v>
      </c>
      <c r="AP1391">
        <v>361</v>
      </c>
      <c r="AQ1391">
        <v>10</v>
      </c>
      <c r="AR1391">
        <v>-1.64446221371942</v>
      </c>
      <c r="AS1391">
        <v>0</v>
      </c>
      <c r="AT1391">
        <v>-2.29565217391304</v>
      </c>
      <c r="AU1391">
        <v>9.4339622641509399E-2</v>
      </c>
      <c r="AV1391">
        <v>-2.8649725959142999E-2</v>
      </c>
      <c r="AW1391">
        <v>0.121454625790864</v>
      </c>
      <c r="AX1391">
        <v>0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</v>
      </c>
      <c r="BU1391">
        <v>5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C1391">
        <v>0</v>
      </c>
      <c r="DD1391">
        <v>0</v>
      </c>
      <c r="DE1391">
        <v>0</v>
      </c>
      <c r="DF1391">
        <v>0</v>
      </c>
      <c r="DH1391">
        <v>66.7</v>
      </c>
      <c r="DI1391">
        <v>111.7</v>
      </c>
    </row>
    <row r="1392" spans="1:113" ht="15" customHeight="1" x14ac:dyDescent="0.25">
      <c r="A1392" t="s">
        <v>6432</v>
      </c>
      <c r="B1392" t="s">
        <v>6433</v>
      </c>
      <c r="C1392" t="s">
        <v>6434</v>
      </c>
      <c r="D1392" t="s">
        <v>1219</v>
      </c>
      <c r="E1392" t="s">
        <v>1220</v>
      </c>
      <c r="F1392" t="s">
        <v>6435</v>
      </c>
      <c r="G1392">
        <v>2025</v>
      </c>
      <c r="H1392" t="s">
        <v>1160</v>
      </c>
      <c r="I1392" t="s">
        <v>142</v>
      </c>
      <c r="J1392">
        <v>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Y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S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>
        <v>1</v>
      </c>
      <c r="BQ1392">
        <v>0</v>
      </c>
      <c r="BR1392">
        <v>0</v>
      </c>
      <c r="BS1392">
        <v>0</v>
      </c>
      <c r="BT1392">
        <v>3</v>
      </c>
      <c r="BU1392">
        <v>25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C1392">
        <v>0</v>
      </c>
      <c r="DD1392">
        <v>0</v>
      </c>
      <c r="DE1392">
        <v>0</v>
      </c>
      <c r="DF1392">
        <v>0</v>
      </c>
      <c r="DH1392">
        <v>0</v>
      </c>
      <c r="DI1392">
        <v>0</v>
      </c>
    </row>
    <row r="1393" spans="1:113" ht="15" customHeight="1" x14ac:dyDescent="0.25">
      <c r="A1393" t="s">
        <v>6436</v>
      </c>
      <c r="B1393" t="s">
        <v>6437</v>
      </c>
      <c r="C1393" t="s">
        <v>777</v>
      </c>
      <c r="D1393" t="s">
        <v>431</v>
      </c>
      <c r="E1393" t="s">
        <v>431</v>
      </c>
      <c r="F1393" t="s">
        <v>6438</v>
      </c>
      <c r="G1393">
        <v>2025</v>
      </c>
      <c r="H1393" t="s">
        <v>1160</v>
      </c>
      <c r="I1393" t="s">
        <v>133</v>
      </c>
      <c r="J1393">
        <v>16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Y1393">
        <v>0</v>
      </c>
      <c r="AA1393">
        <v>238</v>
      </c>
      <c r="AB1393">
        <v>1350</v>
      </c>
      <c r="AC1393">
        <v>8</v>
      </c>
      <c r="AD1393">
        <v>1</v>
      </c>
      <c r="AE1393">
        <v>0</v>
      </c>
      <c r="AF1393">
        <v>57</v>
      </c>
      <c r="AG1393">
        <v>14.038851955604899</v>
      </c>
      <c r="AH1393">
        <v>0</v>
      </c>
      <c r="AI1393">
        <v>67</v>
      </c>
      <c r="AJ1393">
        <v>85</v>
      </c>
      <c r="AK1393">
        <v>488</v>
      </c>
      <c r="AL1393">
        <v>4</v>
      </c>
      <c r="AM1393">
        <v>0</v>
      </c>
      <c r="AN1393">
        <v>0</v>
      </c>
      <c r="AO1393">
        <v>35</v>
      </c>
      <c r="AP1393">
        <v>552</v>
      </c>
      <c r="AQ1393">
        <v>23</v>
      </c>
      <c r="AR1393">
        <v>-10.227876861455</v>
      </c>
      <c r="AS1393">
        <v>0</v>
      </c>
      <c r="AT1393">
        <v>13.9428571428571</v>
      </c>
      <c r="AU1393">
        <v>0.183982683982684</v>
      </c>
      <c r="AV1393">
        <v>1.04104699583581E-2</v>
      </c>
      <c r="AW1393">
        <v>0.28326135494487698</v>
      </c>
      <c r="AX1393">
        <v>0</v>
      </c>
      <c r="AY1393">
        <v>3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1</v>
      </c>
      <c r="BU1393">
        <v>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C1393">
        <v>0</v>
      </c>
      <c r="DD1393">
        <v>0</v>
      </c>
      <c r="DE1393">
        <v>0</v>
      </c>
      <c r="DF1393">
        <v>0</v>
      </c>
      <c r="DH1393">
        <v>255.8</v>
      </c>
      <c r="DI1393">
        <v>322.8</v>
      </c>
    </row>
    <row r="1394" spans="1:113" ht="15" customHeight="1" x14ac:dyDescent="0.25">
      <c r="A1394" t="s">
        <v>6439</v>
      </c>
      <c r="B1394" t="s">
        <v>6440</v>
      </c>
      <c r="C1394" t="s">
        <v>443</v>
      </c>
      <c r="D1394" t="s">
        <v>439</v>
      </c>
      <c r="E1394" t="s">
        <v>439</v>
      </c>
      <c r="F1394" t="s">
        <v>6441</v>
      </c>
      <c r="G1394">
        <v>2025</v>
      </c>
      <c r="H1394" t="s">
        <v>1160</v>
      </c>
      <c r="I1394" t="s">
        <v>90</v>
      </c>
      <c r="J1394">
        <v>17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Y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H1394">
        <v>0</v>
      </c>
      <c r="AI1394">
        <v>30</v>
      </c>
      <c r="AJ1394">
        <v>37</v>
      </c>
      <c r="AK1394">
        <v>301</v>
      </c>
      <c r="AL1394">
        <v>0</v>
      </c>
      <c r="AM1394">
        <v>1</v>
      </c>
      <c r="AN1394">
        <v>1</v>
      </c>
      <c r="AO1394">
        <v>148</v>
      </c>
      <c r="AP1394">
        <v>209</v>
      </c>
      <c r="AQ1394">
        <v>15</v>
      </c>
      <c r="AR1394">
        <v>1.4276832967298101</v>
      </c>
      <c r="AS1394">
        <v>0</v>
      </c>
      <c r="AT1394">
        <v>2.0337837837837802</v>
      </c>
      <c r="AU1394">
        <v>5.9967585089140997E-2</v>
      </c>
      <c r="AV1394">
        <v>3.1759656652360503E-2</v>
      </c>
      <c r="AW1394">
        <v>0.112183137290364</v>
      </c>
      <c r="AX1394">
        <v>0</v>
      </c>
      <c r="AY1394">
        <v>5</v>
      </c>
      <c r="AZ1394">
        <v>0</v>
      </c>
      <c r="BA1394">
        <v>5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3</v>
      </c>
      <c r="BU1394">
        <v>21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C1394">
        <v>0</v>
      </c>
      <c r="DD1394">
        <v>0</v>
      </c>
      <c r="DE1394">
        <v>0</v>
      </c>
      <c r="DF1394">
        <v>0</v>
      </c>
      <c r="DH1394">
        <v>28.1</v>
      </c>
      <c r="DI1394">
        <v>58.1</v>
      </c>
    </row>
    <row r="1395" spans="1:113" ht="15" customHeight="1" x14ac:dyDescent="0.25">
      <c r="A1395" t="s">
        <v>6442</v>
      </c>
      <c r="B1395" t="s">
        <v>4540</v>
      </c>
      <c r="C1395" t="s">
        <v>6443</v>
      </c>
      <c r="D1395" t="s">
        <v>1234</v>
      </c>
      <c r="E1395" t="s">
        <v>1234</v>
      </c>
      <c r="F1395" t="s">
        <v>6444</v>
      </c>
      <c r="G1395">
        <v>2025</v>
      </c>
      <c r="H1395" t="s">
        <v>1160</v>
      </c>
      <c r="I1395" t="s">
        <v>140</v>
      </c>
      <c r="J1395">
        <v>14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Y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S1395">
        <v>0</v>
      </c>
      <c r="AU1395">
        <v>0</v>
      </c>
      <c r="AV1395">
        <v>0</v>
      </c>
      <c r="AW1395">
        <v>0</v>
      </c>
      <c r="AX1395">
        <v>0</v>
      </c>
      <c r="AY1395">
        <v>11</v>
      </c>
      <c r="AZ1395">
        <v>0</v>
      </c>
      <c r="BA1395">
        <v>19</v>
      </c>
      <c r="BB1395">
        <v>3</v>
      </c>
      <c r="BC1395">
        <v>6</v>
      </c>
      <c r="BD1395">
        <v>0</v>
      </c>
      <c r="BE1395">
        <v>2</v>
      </c>
      <c r="BF1395">
        <v>5</v>
      </c>
      <c r="BG1395">
        <v>13</v>
      </c>
      <c r="BH1395">
        <v>0</v>
      </c>
      <c r="BI1395">
        <v>0</v>
      </c>
      <c r="BJ1395">
        <v>2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</v>
      </c>
      <c r="BU1395">
        <v>5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C1395">
        <v>0</v>
      </c>
      <c r="DD1395">
        <v>0</v>
      </c>
      <c r="DE1395">
        <v>0</v>
      </c>
      <c r="DF1395">
        <v>0</v>
      </c>
      <c r="DH1395">
        <v>0</v>
      </c>
      <c r="DI1395">
        <v>0</v>
      </c>
    </row>
    <row r="1396" spans="1:113" ht="15" customHeight="1" x14ac:dyDescent="0.25">
      <c r="A1396" t="s">
        <v>6445</v>
      </c>
      <c r="B1396" t="s">
        <v>6446</v>
      </c>
      <c r="C1396" t="s">
        <v>6447</v>
      </c>
      <c r="D1396" t="s">
        <v>1297</v>
      </c>
      <c r="E1396" t="s">
        <v>1220</v>
      </c>
      <c r="F1396" t="s">
        <v>6448</v>
      </c>
      <c r="G1396">
        <v>2025</v>
      </c>
      <c r="H1396" t="s">
        <v>1160</v>
      </c>
      <c r="I1396" t="s">
        <v>93</v>
      </c>
      <c r="J1396">
        <v>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Y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S1396">
        <v>0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</v>
      </c>
      <c r="BA1396">
        <v>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2</v>
      </c>
      <c r="BU1396">
        <v>15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C1396">
        <v>0</v>
      </c>
      <c r="DD1396">
        <v>0</v>
      </c>
      <c r="DE1396">
        <v>0</v>
      </c>
      <c r="DF1396">
        <v>0</v>
      </c>
      <c r="DH1396">
        <v>0</v>
      </c>
      <c r="DI1396">
        <v>0</v>
      </c>
    </row>
    <row r="1397" spans="1:113" ht="15" customHeight="1" x14ac:dyDescent="0.25">
      <c r="A1397" t="s">
        <v>6449</v>
      </c>
      <c r="B1397" t="s">
        <v>6450</v>
      </c>
      <c r="C1397" t="s">
        <v>6451</v>
      </c>
      <c r="D1397" t="s">
        <v>1234</v>
      </c>
      <c r="E1397" t="s">
        <v>1234</v>
      </c>
      <c r="F1397" t="s">
        <v>6452</v>
      </c>
      <c r="G1397">
        <v>2025</v>
      </c>
      <c r="H1397" t="s">
        <v>1160</v>
      </c>
      <c r="I1397" t="s">
        <v>126</v>
      </c>
      <c r="J1397">
        <v>16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Y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S1397">
        <v>0</v>
      </c>
      <c r="AU1397">
        <v>0</v>
      </c>
      <c r="AV1397">
        <v>0</v>
      </c>
      <c r="AW1397">
        <v>0</v>
      </c>
      <c r="AX1397">
        <v>0</v>
      </c>
      <c r="AY1397">
        <v>61</v>
      </c>
      <c r="AZ1397">
        <v>5</v>
      </c>
      <c r="BA1397">
        <v>35</v>
      </c>
      <c r="BB1397">
        <v>10</v>
      </c>
      <c r="BC1397">
        <v>47</v>
      </c>
      <c r="BD1397">
        <v>0</v>
      </c>
      <c r="BE1397">
        <v>3</v>
      </c>
      <c r="BF1397">
        <v>30</v>
      </c>
      <c r="BG1397">
        <v>7</v>
      </c>
      <c r="BH1397">
        <v>1</v>
      </c>
      <c r="BI1397">
        <v>0</v>
      </c>
      <c r="BJ1397">
        <v>5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C1397">
        <v>0</v>
      </c>
      <c r="DD1397">
        <v>0</v>
      </c>
      <c r="DE1397">
        <v>0</v>
      </c>
      <c r="DF1397">
        <v>0</v>
      </c>
      <c r="DH1397">
        <v>0</v>
      </c>
      <c r="DI1397">
        <v>0</v>
      </c>
    </row>
    <row r="1398" spans="1:113" ht="15" customHeight="1" x14ac:dyDescent="0.25">
      <c r="A1398" t="s">
        <v>6453</v>
      </c>
      <c r="B1398" t="s">
        <v>6454</v>
      </c>
      <c r="C1398" t="s">
        <v>981</v>
      </c>
      <c r="D1398" t="s">
        <v>439</v>
      </c>
      <c r="E1398" t="s">
        <v>439</v>
      </c>
      <c r="F1398" t="s">
        <v>6455</v>
      </c>
      <c r="G1398">
        <v>2025</v>
      </c>
      <c r="H1398" t="s">
        <v>1160</v>
      </c>
      <c r="I1398" t="s">
        <v>126</v>
      </c>
      <c r="J1398">
        <v>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Y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H1398">
        <v>0</v>
      </c>
      <c r="AI1398">
        <v>1</v>
      </c>
      <c r="AJ1398">
        <v>4</v>
      </c>
      <c r="AK1398">
        <v>11</v>
      </c>
      <c r="AL1398">
        <v>0</v>
      </c>
      <c r="AM1398">
        <v>0</v>
      </c>
      <c r="AN1398">
        <v>0</v>
      </c>
      <c r="AO1398">
        <v>16</v>
      </c>
      <c r="AP1398">
        <v>11</v>
      </c>
      <c r="AQ1398">
        <v>1</v>
      </c>
      <c r="AR1398">
        <v>-1.19573243462946</v>
      </c>
      <c r="AS1398">
        <v>0</v>
      </c>
      <c r="AT1398">
        <v>0.6875</v>
      </c>
      <c r="AU1398">
        <v>7.3937153419593397E-3</v>
      </c>
      <c r="AV1398">
        <v>3.5523978685612799E-3</v>
      </c>
      <c r="AW1398">
        <v>1.35772515209319E-2</v>
      </c>
      <c r="AX1398">
        <v>0</v>
      </c>
      <c r="AY1398">
        <v>2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3</v>
      </c>
      <c r="BU1398">
        <v>25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C1398">
        <v>0</v>
      </c>
      <c r="DD1398">
        <v>0</v>
      </c>
      <c r="DE1398">
        <v>0</v>
      </c>
      <c r="DF1398">
        <v>0</v>
      </c>
      <c r="DH1398">
        <v>1.1000000000000001</v>
      </c>
      <c r="DI1398">
        <v>2.1</v>
      </c>
    </row>
    <row r="1399" spans="1:113" ht="15" customHeight="1" x14ac:dyDescent="0.25">
      <c r="A1399" t="s">
        <v>6456</v>
      </c>
      <c r="B1399" t="s">
        <v>6457</v>
      </c>
      <c r="C1399" t="s">
        <v>6458</v>
      </c>
      <c r="D1399" t="s">
        <v>1350</v>
      </c>
      <c r="E1399" t="s">
        <v>1307</v>
      </c>
      <c r="F1399" t="s">
        <v>6459</v>
      </c>
      <c r="G1399">
        <v>2025</v>
      </c>
      <c r="H1399" t="s">
        <v>1160</v>
      </c>
      <c r="I1399" t="s">
        <v>126</v>
      </c>
      <c r="J1399">
        <v>13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Y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S1399">
        <v>0</v>
      </c>
      <c r="AU1399">
        <v>0</v>
      </c>
      <c r="AV1399">
        <v>0</v>
      </c>
      <c r="AW1399">
        <v>0</v>
      </c>
      <c r="AX1399">
        <v>0</v>
      </c>
      <c r="AY1399">
        <v>7</v>
      </c>
      <c r="AZ1399">
        <v>0</v>
      </c>
      <c r="BA1399">
        <v>8</v>
      </c>
      <c r="BB1399">
        <v>0</v>
      </c>
      <c r="BC1399">
        <v>0</v>
      </c>
      <c r="BD1399">
        <v>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4</v>
      </c>
      <c r="BU1399">
        <v>35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C1399">
        <v>0</v>
      </c>
      <c r="DD1399">
        <v>0</v>
      </c>
      <c r="DE1399">
        <v>0</v>
      </c>
      <c r="DF1399">
        <v>0</v>
      </c>
      <c r="DH1399">
        <v>0</v>
      </c>
      <c r="DI1399">
        <v>0</v>
      </c>
    </row>
    <row r="1400" spans="1:113" ht="15" customHeight="1" x14ac:dyDescent="0.25">
      <c r="A1400" t="s">
        <v>6460</v>
      </c>
      <c r="B1400" t="s">
        <v>6461</v>
      </c>
      <c r="C1400" t="s">
        <v>6462</v>
      </c>
      <c r="D1400" t="s">
        <v>1234</v>
      </c>
      <c r="E1400" t="s">
        <v>1234</v>
      </c>
      <c r="F1400" t="s">
        <v>6463</v>
      </c>
      <c r="G1400">
        <v>2025</v>
      </c>
      <c r="H1400" t="s">
        <v>1160</v>
      </c>
      <c r="I1400" t="s">
        <v>114</v>
      </c>
      <c r="J1400">
        <v>15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-2.48269143770449</v>
      </c>
      <c r="Y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S1400">
        <v>0</v>
      </c>
      <c r="AU1400">
        <v>0</v>
      </c>
      <c r="AV1400">
        <v>0</v>
      </c>
      <c r="AW1400">
        <v>0</v>
      </c>
      <c r="AX1400">
        <v>0</v>
      </c>
      <c r="AY1400">
        <v>18</v>
      </c>
      <c r="AZ1400">
        <v>0</v>
      </c>
      <c r="BA1400">
        <v>7</v>
      </c>
      <c r="BB1400">
        <v>0</v>
      </c>
      <c r="BC1400">
        <v>0</v>
      </c>
      <c r="BD1400">
        <v>1</v>
      </c>
      <c r="BE1400">
        <v>0</v>
      </c>
      <c r="BF1400">
        <v>0</v>
      </c>
      <c r="BG1400">
        <v>0</v>
      </c>
      <c r="BH1400">
        <v>1</v>
      </c>
      <c r="BI1400">
        <v>20</v>
      </c>
      <c r="BJ1400">
        <v>5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2</v>
      </c>
      <c r="BU1400">
        <v>15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C1400">
        <v>0</v>
      </c>
      <c r="DD1400">
        <v>0</v>
      </c>
      <c r="DE1400">
        <v>0</v>
      </c>
      <c r="DF1400">
        <v>0</v>
      </c>
      <c r="DH1400">
        <v>0</v>
      </c>
      <c r="DI1400">
        <v>0</v>
      </c>
    </row>
    <row r="1401" spans="1:113" ht="15" customHeight="1" x14ac:dyDescent="0.25">
      <c r="A1401" t="s">
        <v>6464</v>
      </c>
      <c r="B1401" t="s">
        <v>6465</v>
      </c>
      <c r="C1401" t="s">
        <v>6466</v>
      </c>
      <c r="D1401" t="s">
        <v>1297</v>
      </c>
      <c r="E1401" t="s">
        <v>1220</v>
      </c>
      <c r="F1401" t="s">
        <v>6467</v>
      </c>
      <c r="G1401">
        <v>2025</v>
      </c>
      <c r="H1401" t="s">
        <v>1160</v>
      </c>
      <c r="I1401" t="s">
        <v>1200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Y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S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C1401">
        <v>0</v>
      </c>
      <c r="DD1401">
        <v>0</v>
      </c>
      <c r="DE1401">
        <v>0</v>
      </c>
      <c r="DF1401">
        <v>0</v>
      </c>
      <c r="DH1401">
        <v>0</v>
      </c>
      <c r="DI1401">
        <v>0</v>
      </c>
    </row>
    <row r="1402" spans="1:113" ht="15" customHeight="1" x14ac:dyDescent="0.25">
      <c r="A1402" t="s">
        <v>6468</v>
      </c>
      <c r="B1402" t="s">
        <v>6469</v>
      </c>
      <c r="C1402" t="s">
        <v>6470</v>
      </c>
      <c r="D1402" t="s">
        <v>1209</v>
      </c>
      <c r="E1402" t="s">
        <v>1169</v>
      </c>
      <c r="F1402" t="s">
        <v>6471</v>
      </c>
      <c r="G1402">
        <v>2025</v>
      </c>
      <c r="H1402" t="s">
        <v>1160</v>
      </c>
      <c r="I1402" t="s">
        <v>1200</v>
      </c>
      <c r="J1402">
        <v>17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Y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S1402">
        <v>0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C1402">
        <v>0</v>
      </c>
      <c r="DD1402">
        <v>0</v>
      </c>
      <c r="DE1402">
        <v>0</v>
      </c>
      <c r="DF1402">
        <v>0</v>
      </c>
      <c r="DH1402">
        <v>0</v>
      </c>
      <c r="DI1402">
        <v>0</v>
      </c>
    </row>
    <row r="1403" spans="1:113" ht="15" customHeight="1" x14ac:dyDescent="0.25">
      <c r="A1403" t="s">
        <v>6472</v>
      </c>
      <c r="B1403" t="s">
        <v>3251</v>
      </c>
      <c r="C1403" t="s">
        <v>6473</v>
      </c>
      <c r="D1403" t="s">
        <v>1189</v>
      </c>
      <c r="E1403" t="s">
        <v>1190</v>
      </c>
      <c r="F1403" t="s">
        <v>6474</v>
      </c>
      <c r="G1403">
        <v>2025</v>
      </c>
      <c r="H1403" t="s">
        <v>1160</v>
      </c>
      <c r="I1403" t="s">
        <v>1200</v>
      </c>
      <c r="J1403">
        <v>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Y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S1403">
        <v>0</v>
      </c>
      <c r="AU1403">
        <v>0</v>
      </c>
      <c r="AV1403">
        <v>0</v>
      </c>
      <c r="AW1403">
        <v>0</v>
      </c>
      <c r="AX1403">
        <v>0</v>
      </c>
      <c r="AY1403">
        <v>4</v>
      </c>
      <c r="AZ1403">
        <v>0</v>
      </c>
      <c r="BA1403">
        <v>8</v>
      </c>
      <c r="BB1403">
        <v>2</v>
      </c>
      <c r="BC1403">
        <v>13</v>
      </c>
      <c r="BD1403">
        <v>0</v>
      </c>
      <c r="BE1403">
        <v>2</v>
      </c>
      <c r="BF1403">
        <v>13</v>
      </c>
      <c r="BG1403">
        <v>6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</v>
      </c>
      <c r="BU1403">
        <v>15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C1403">
        <v>0</v>
      </c>
      <c r="DD1403">
        <v>0</v>
      </c>
      <c r="DE1403">
        <v>0</v>
      </c>
      <c r="DF1403">
        <v>0</v>
      </c>
      <c r="DH1403">
        <v>0</v>
      </c>
      <c r="DI1403">
        <v>0</v>
      </c>
    </row>
    <row r="1404" spans="1:113" ht="15" customHeight="1" x14ac:dyDescent="0.25">
      <c r="A1404" t="s">
        <v>6475</v>
      </c>
      <c r="B1404" t="s">
        <v>6476</v>
      </c>
      <c r="C1404" t="s">
        <v>586</v>
      </c>
      <c r="D1404" t="s">
        <v>10</v>
      </c>
      <c r="E1404" t="s">
        <v>10</v>
      </c>
      <c r="F1404" t="s">
        <v>6477</v>
      </c>
      <c r="G1404">
        <v>2025</v>
      </c>
      <c r="H1404" t="s">
        <v>1160</v>
      </c>
      <c r="I1404" t="s">
        <v>112</v>
      </c>
      <c r="J1404">
        <v>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Y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H1404">
        <v>0</v>
      </c>
      <c r="AI1404">
        <v>1</v>
      </c>
      <c r="AJ1404">
        <v>5</v>
      </c>
      <c r="AK1404">
        <v>25</v>
      </c>
      <c r="AL1404">
        <v>0</v>
      </c>
      <c r="AM1404">
        <v>0</v>
      </c>
      <c r="AN1404">
        <v>0</v>
      </c>
      <c r="AO1404">
        <v>97</v>
      </c>
      <c r="AP1404">
        <v>4</v>
      </c>
      <c r="AQ1404">
        <v>1</v>
      </c>
      <c r="AR1404">
        <v>-4.1960778009961404</v>
      </c>
      <c r="AS1404">
        <v>0</v>
      </c>
      <c r="AT1404">
        <v>0.25773195876288701</v>
      </c>
      <c r="AU1404">
        <v>8.2372322899505798E-3</v>
      </c>
      <c r="AV1404">
        <v>1.9135924245413299E-2</v>
      </c>
      <c r="AW1404">
        <v>2.5750995406715198E-2</v>
      </c>
      <c r="AX1404">
        <v>0</v>
      </c>
      <c r="AY1404">
        <v>0</v>
      </c>
      <c r="AZ1404">
        <v>0</v>
      </c>
      <c r="BA1404">
        <v>1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C1404">
        <v>0</v>
      </c>
      <c r="DD1404">
        <v>0</v>
      </c>
      <c r="DE1404">
        <v>0</v>
      </c>
      <c r="DF1404">
        <v>0</v>
      </c>
      <c r="DH1404">
        <v>2.5</v>
      </c>
      <c r="DI1404">
        <v>3.5</v>
      </c>
    </row>
    <row r="1405" spans="1:113" ht="15" customHeight="1" x14ac:dyDescent="0.25">
      <c r="A1405" t="s">
        <v>6478</v>
      </c>
      <c r="B1405" t="s">
        <v>6479</v>
      </c>
      <c r="C1405" t="s">
        <v>6480</v>
      </c>
      <c r="D1405" t="s">
        <v>1243</v>
      </c>
      <c r="E1405" t="s">
        <v>1190</v>
      </c>
      <c r="F1405" t="s">
        <v>6481</v>
      </c>
      <c r="G1405">
        <v>2025</v>
      </c>
      <c r="H1405" t="s">
        <v>1160</v>
      </c>
      <c r="I1405" t="s">
        <v>126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Y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S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1</v>
      </c>
      <c r="BC1405">
        <v>2</v>
      </c>
      <c r="BD1405">
        <v>0</v>
      </c>
      <c r="BE1405">
        <v>0</v>
      </c>
      <c r="BF1405">
        <v>0</v>
      </c>
      <c r="BG1405">
        <v>1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C1405">
        <v>0</v>
      </c>
      <c r="DD1405">
        <v>0</v>
      </c>
      <c r="DE1405">
        <v>0</v>
      </c>
      <c r="DF1405">
        <v>0</v>
      </c>
      <c r="DH1405">
        <v>0</v>
      </c>
      <c r="DI1405">
        <v>0</v>
      </c>
    </row>
    <row r="1406" spans="1:113" ht="15" customHeight="1" x14ac:dyDescent="0.25">
      <c r="A1406" t="s">
        <v>6482</v>
      </c>
      <c r="B1406" t="s">
        <v>6483</v>
      </c>
      <c r="C1406" t="s">
        <v>474</v>
      </c>
      <c r="D1406" t="s">
        <v>10</v>
      </c>
      <c r="E1406" t="s">
        <v>10</v>
      </c>
      <c r="F1406" t="s">
        <v>6484</v>
      </c>
      <c r="G1406">
        <v>2025</v>
      </c>
      <c r="H1406" t="s">
        <v>1160</v>
      </c>
      <c r="I1406" t="s">
        <v>97</v>
      </c>
      <c r="J1406">
        <v>17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Y1406">
        <v>0</v>
      </c>
      <c r="AA1406">
        <v>10</v>
      </c>
      <c r="AB1406">
        <v>62</v>
      </c>
      <c r="AC1406">
        <v>1</v>
      </c>
      <c r="AD1406">
        <v>0</v>
      </c>
      <c r="AE1406">
        <v>0</v>
      </c>
      <c r="AF1406">
        <v>4</v>
      </c>
      <c r="AG1406">
        <v>2.49965554429218</v>
      </c>
      <c r="AH1406">
        <v>0</v>
      </c>
      <c r="AI1406">
        <v>86</v>
      </c>
      <c r="AJ1406">
        <v>118</v>
      </c>
      <c r="AK1406">
        <v>1211</v>
      </c>
      <c r="AL1406">
        <v>5</v>
      </c>
      <c r="AM1406">
        <v>3</v>
      </c>
      <c r="AN1406">
        <v>3</v>
      </c>
      <c r="AO1406">
        <v>1204</v>
      </c>
      <c r="AP1406">
        <v>458</v>
      </c>
      <c r="AQ1406">
        <v>48</v>
      </c>
      <c r="AR1406">
        <v>46.384202658402202</v>
      </c>
      <c r="AS1406">
        <v>0</v>
      </c>
      <c r="AT1406">
        <v>1.0058139534883701</v>
      </c>
      <c r="AU1406">
        <v>0.28992628992628999</v>
      </c>
      <c r="AV1406">
        <v>0.35184102863822297</v>
      </c>
      <c r="AW1406">
        <v>0.68117815493619105</v>
      </c>
      <c r="AX1406">
        <v>0</v>
      </c>
      <c r="AY1406">
        <v>2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3</v>
      </c>
      <c r="BU1406">
        <v>30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C1406">
        <v>0</v>
      </c>
      <c r="DD1406">
        <v>0</v>
      </c>
      <c r="DE1406">
        <v>0</v>
      </c>
      <c r="DF1406">
        <v>0</v>
      </c>
      <c r="DH1406">
        <v>157.30000000000001</v>
      </c>
      <c r="DI1406">
        <v>243.3</v>
      </c>
    </row>
    <row r="1407" spans="1:113" ht="15" customHeight="1" x14ac:dyDescent="0.25">
      <c r="A1407" t="s">
        <v>6485</v>
      </c>
      <c r="B1407" t="s">
        <v>6486</v>
      </c>
      <c r="C1407" t="s">
        <v>618</v>
      </c>
      <c r="D1407" t="s">
        <v>439</v>
      </c>
      <c r="E1407" t="s">
        <v>439</v>
      </c>
      <c r="F1407" t="s">
        <v>6487</v>
      </c>
      <c r="G1407">
        <v>2025</v>
      </c>
      <c r="H1407" t="s">
        <v>1160</v>
      </c>
      <c r="I1407" t="s">
        <v>111</v>
      </c>
      <c r="J1407">
        <v>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Y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H1407">
        <v>0</v>
      </c>
      <c r="AI1407">
        <v>40</v>
      </c>
      <c r="AJ1407">
        <v>49</v>
      </c>
      <c r="AK1407">
        <v>489</v>
      </c>
      <c r="AL1407">
        <v>3</v>
      </c>
      <c r="AM1407">
        <v>0</v>
      </c>
      <c r="AN1407">
        <v>0</v>
      </c>
      <c r="AO1407">
        <v>277</v>
      </c>
      <c r="AP1407">
        <v>274</v>
      </c>
      <c r="AQ1407">
        <v>23</v>
      </c>
      <c r="AR1407">
        <v>36.427842312750897</v>
      </c>
      <c r="AS1407">
        <v>0</v>
      </c>
      <c r="AT1407">
        <v>1.76534296028881</v>
      </c>
      <c r="AU1407">
        <v>8.9090909090909096E-2</v>
      </c>
      <c r="AV1407">
        <v>7.4222936763129702E-2</v>
      </c>
      <c r="AW1407">
        <v>0.18559241937055401</v>
      </c>
      <c r="AX1407">
        <v>0</v>
      </c>
      <c r="AY1407">
        <v>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1</v>
      </c>
      <c r="BU1407">
        <v>5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C1407">
        <v>0</v>
      </c>
      <c r="DD1407">
        <v>0</v>
      </c>
      <c r="DE1407">
        <v>0</v>
      </c>
      <c r="DF1407">
        <v>0</v>
      </c>
      <c r="DH1407">
        <v>66.900000000000006</v>
      </c>
      <c r="DI1407">
        <v>106.9</v>
      </c>
    </row>
    <row r="1408" spans="1:113" ht="15" customHeight="1" x14ac:dyDescent="0.25">
      <c r="A1408" t="s">
        <v>6488</v>
      </c>
      <c r="B1408" t="s">
        <v>6489</v>
      </c>
      <c r="C1408" t="s">
        <v>768</v>
      </c>
      <c r="D1408" t="s">
        <v>439</v>
      </c>
      <c r="E1408" t="s">
        <v>439</v>
      </c>
      <c r="F1408" t="s">
        <v>6490</v>
      </c>
      <c r="G1408">
        <v>2025</v>
      </c>
      <c r="H1408" t="s">
        <v>1160</v>
      </c>
      <c r="I1408" t="s">
        <v>89</v>
      </c>
      <c r="J1408">
        <v>13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Y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H1408">
        <v>0</v>
      </c>
      <c r="AI1408">
        <v>35</v>
      </c>
      <c r="AJ1408">
        <v>50</v>
      </c>
      <c r="AK1408">
        <v>328</v>
      </c>
      <c r="AL1408">
        <v>1</v>
      </c>
      <c r="AM1408">
        <v>1</v>
      </c>
      <c r="AN1408">
        <v>0</v>
      </c>
      <c r="AO1408">
        <v>240</v>
      </c>
      <c r="AP1408">
        <v>196</v>
      </c>
      <c r="AQ1408">
        <v>18</v>
      </c>
      <c r="AR1408">
        <v>-9.8418382619483999</v>
      </c>
      <c r="AS1408">
        <v>0</v>
      </c>
      <c r="AT1408">
        <v>1.36666666666667</v>
      </c>
      <c r="AU1408">
        <v>0.10121457489878501</v>
      </c>
      <c r="AV1408">
        <v>7.4812967581047399E-2</v>
      </c>
      <c r="AW1408">
        <v>0.204190939654911</v>
      </c>
      <c r="AX1408">
        <v>0</v>
      </c>
      <c r="AY1408">
        <v>8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5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C1408">
        <v>0</v>
      </c>
      <c r="DD1408">
        <v>0</v>
      </c>
      <c r="DE1408">
        <v>0</v>
      </c>
      <c r="DF1408">
        <v>0</v>
      </c>
      <c r="DH1408">
        <v>38.799999999999997</v>
      </c>
      <c r="DI1408">
        <v>73.8</v>
      </c>
    </row>
    <row r="1409" spans="1:113" ht="15" customHeight="1" x14ac:dyDescent="0.25">
      <c r="A1409" t="s">
        <v>6491</v>
      </c>
      <c r="B1409" t="s">
        <v>6492</v>
      </c>
      <c r="C1409" t="s">
        <v>715</v>
      </c>
      <c r="D1409" t="s">
        <v>10</v>
      </c>
      <c r="E1409" t="s">
        <v>10</v>
      </c>
      <c r="F1409" t="s">
        <v>6493</v>
      </c>
      <c r="G1409">
        <v>2025</v>
      </c>
      <c r="H1409" t="s">
        <v>1160</v>
      </c>
      <c r="I1409" t="s">
        <v>123</v>
      </c>
      <c r="J1409">
        <v>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Y1409">
        <v>0</v>
      </c>
      <c r="AA1409">
        <v>5</v>
      </c>
      <c r="AB1409">
        <v>20</v>
      </c>
      <c r="AC1409">
        <v>1</v>
      </c>
      <c r="AD1409">
        <v>1</v>
      </c>
      <c r="AE1409">
        <v>0</v>
      </c>
      <c r="AF1409">
        <v>2</v>
      </c>
      <c r="AG1409">
        <v>1.8625007853843301</v>
      </c>
      <c r="AH1409">
        <v>0</v>
      </c>
      <c r="AI1409">
        <v>53</v>
      </c>
      <c r="AJ1409">
        <v>78</v>
      </c>
      <c r="AK1409">
        <v>571</v>
      </c>
      <c r="AL1409">
        <v>5</v>
      </c>
      <c r="AM1409">
        <v>1</v>
      </c>
      <c r="AN1409">
        <v>0</v>
      </c>
      <c r="AO1409">
        <v>338</v>
      </c>
      <c r="AP1409">
        <v>414</v>
      </c>
      <c r="AQ1409">
        <v>28</v>
      </c>
      <c r="AR1409">
        <v>16.019448061033199</v>
      </c>
      <c r="AS1409">
        <v>1</v>
      </c>
      <c r="AT1409">
        <v>1.68934911242604</v>
      </c>
      <c r="AU1409">
        <v>0.14207650273224001</v>
      </c>
      <c r="AV1409">
        <v>7.45643061989852E-2</v>
      </c>
      <c r="AW1409">
        <v>0.26530976843764997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2</v>
      </c>
      <c r="BU1409">
        <v>25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C1409">
        <v>0</v>
      </c>
      <c r="DD1409">
        <v>0</v>
      </c>
      <c r="DE1409">
        <v>0</v>
      </c>
      <c r="DF1409">
        <v>0</v>
      </c>
      <c r="DH1409">
        <v>97.1</v>
      </c>
      <c r="DI1409">
        <v>150.1</v>
      </c>
    </row>
    <row r="1410" spans="1:113" ht="15" customHeight="1" x14ac:dyDescent="0.25">
      <c r="A1410" t="s">
        <v>6494</v>
      </c>
      <c r="B1410" t="s">
        <v>6495</v>
      </c>
      <c r="C1410" t="s">
        <v>6496</v>
      </c>
      <c r="D1410" t="s">
        <v>1234</v>
      </c>
      <c r="E1410" t="s">
        <v>1234</v>
      </c>
      <c r="F1410" t="s">
        <v>6497</v>
      </c>
      <c r="G1410">
        <v>2025</v>
      </c>
      <c r="H1410" t="s">
        <v>1160</v>
      </c>
      <c r="I1410" t="s">
        <v>126</v>
      </c>
      <c r="J1410">
        <v>17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Y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S1410">
        <v>0</v>
      </c>
      <c r="AU1410">
        <v>0</v>
      </c>
      <c r="AV1410">
        <v>0</v>
      </c>
      <c r="AW1410">
        <v>0</v>
      </c>
      <c r="AX1410">
        <v>0</v>
      </c>
      <c r="AY1410">
        <v>27</v>
      </c>
      <c r="AZ1410">
        <v>2</v>
      </c>
      <c r="BA1410">
        <v>21</v>
      </c>
      <c r="BB1410">
        <v>13</v>
      </c>
      <c r="BC1410">
        <v>62</v>
      </c>
      <c r="BD1410">
        <v>1</v>
      </c>
      <c r="BE1410">
        <v>7</v>
      </c>
      <c r="BF1410">
        <v>49</v>
      </c>
      <c r="BG1410">
        <v>19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3</v>
      </c>
      <c r="BU1410">
        <v>15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C1410">
        <v>0</v>
      </c>
      <c r="DD1410">
        <v>0</v>
      </c>
      <c r="DE1410">
        <v>0</v>
      </c>
      <c r="DF1410">
        <v>0</v>
      </c>
      <c r="DH1410">
        <v>0</v>
      </c>
      <c r="DI1410">
        <v>0</v>
      </c>
    </row>
    <row r="1411" spans="1:113" ht="15" customHeight="1" x14ac:dyDescent="0.25">
      <c r="A1411" t="s">
        <v>6498</v>
      </c>
      <c r="B1411" t="s">
        <v>6499</v>
      </c>
      <c r="C1411" t="s">
        <v>6500</v>
      </c>
      <c r="D1411" t="s">
        <v>1243</v>
      </c>
      <c r="E1411" t="s">
        <v>1190</v>
      </c>
      <c r="F1411" t="s">
        <v>6501</v>
      </c>
      <c r="G1411">
        <v>2025</v>
      </c>
      <c r="H1411" t="s">
        <v>1160</v>
      </c>
      <c r="I1411" t="s">
        <v>104</v>
      </c>
      <c r="J1411">
        <v>16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Y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S1411">
        <v>0</v>
      </c>
      <c r="AU1411">
        <v>0</v>
      </c>
      <c r="AV1411">
        <v>0</v>
      </c>
      <c r="AW1411">
        <v>0</v>
      </c>
      <c r="AX1411">
        <v>0</v>
      </c>
      <c r="AY1411">
        <v>20</v>
      </c>
      <c r="AZ1411">
        <v>1</v>
      </c>
      <c r="BA1411">
        <v>23</v>
      </c>
      <c r="BB1411">
        <v>6</v>
      </c>
      <c r="BC1411">
        <v>27</v>
      </c>
      <c r="BD1411">
        <v>0</v>
      </c>
      <c r="BE1411">
        <v>6</v>
      </c>
      <c r="BF1411">
        <v>30</v>
      </c>
      <c r="BG1411">
        <v>11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2</v>
      </c>
      <c r="BR1411">
        <v>2</v>
      </c>
      <c r="BS1411">
        <v>0</v>
      </c>
      <c r="BT1411">
        <v>2</v>
      </c>
      <c r="BU1411">
        <v>20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C1411">
        <v>0</v>
      </c>
      <c r="DD1411">
        <v>0</v>
      </c>
      <c r="DE1411">
        <v>0</v>
      </c>
      <c r="DF1411">
        <v>0</v>
      </c>
      <c r="DH1411">
        <v>0</v>
      </c>
      <c r="DI1411">
        <v>0</v>
      </c>
    </row>
    <row r="1412" spans="1:113" ht="15" customHeight="1" x14ac:dyDescent="0.25">
      <c r="A1412" t="s">
        <v>6502</v>
      </c>
      <c r="B1412" t="s">
        <v>6503</v>
      </c>
      <c r="C1412" t="s">
        <v>6504</v>
      </c>
      <c r="D1412" t="s">
        <v>1350</v>
      </c>
      <c r="E1412" t="s">
        <v>1307</v>
      </c>
      <c r="F1412" t="s">
        <v>6505</v>
      </c>
      <c r="G1412">
        <v>2025</v>
      </c>
      <c r="H1412" t="s">
        <v>1160</v>
      </c>
      <c r="I1412" t="s">
        <v>104</v>
      </c>
      <c r="J1412">
        <v>12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Y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S1412">
        <v>0</v>
      </c>
      <c r="AU1412">
        <v>0</v>
      </c>
      <c r="AV1412">
        <v>0</v>
      </c>
      <c r="AW1412">
        <v>0</v>
      </c>
      <c r="AX1412">
        <v>0</v>
      </c>
      <c r="AY1412">
        <v>35</v>
      </c>
      <c r="AZ1412">
        <v>1</v>
      </c>
      <c r="BA1412">
        <v>13</v>
      </c>
      <c r="BB1412">
        <v>1</v>
      </c>
      <c r="BC1412">
        <v>2</v>
      </c>
      <c r="BD1412">
        <v>2</v>
      </c>
      <c r="BE1412">
        <v>0</v>
      </c>
      <c r="BF1412">
        <v>0</v>
      </c>
      <c r="BG1412">
        <v>0</v>
      </c>
      <c r="BH1412">
        <v>1</v>
      </c>
      <c r="BI1412">
        <v>3</v>
      </c>
      <c r="BJ1412">
        <v>10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2</v>
      </c>
      <c r="BR1412">
        <v>2</v>
      </c>
      <c r="BS1412">
        <v>0</v>
      </c>
      <c r="BT1412">
        <v>2</v>
      </c>
      <c r="BU1412">
        <v>19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C1412">
        <v>0</v>
      </c>
      <c r="DD1412">
        <v>0</v>
      </c>
      <c r="DE1412">
        <v>0</v>
      </c>
      <c r="DF1412">
        <v>0</v>
      </c>
      <c r="DH1412">
        <v>0</v>
      </c>
      <c r="DI1412">
        <v>0</v>
      </c>
    </row>
    <row r="1413" spans="1:113" ht="15" customHeight="1" x14ac:dyDescent="0.25">
      <c r="A1413" t="s">
        <v>6506</v>
      </c>
      <c r="B1413" t="s">
        <v>6507</v>
      </c>
      <c r="C1413" t="s">
        <v>6508</v>
      </c>
      <c r="D1413" t="s">
        <v>1350</v>
      </c>
      <c r="E1413" t="s">
        <v>1307</v>
      </c>
      <c r="F1413" t="s">
        <v>6509</v>
      </c>
      <c r="G1413">
        <v>2025</v>
      </c>
      <c r="H1413" t="s">
        <v>1160</v>
      </c>
      <c r="I1413" t="s">
        <v>120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Y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S1413">
        <v>0</v>
      </c>
      <c r="AU1413">
        <v>0</v>
      </c>
      <c r="AV1413">
        <v>0</v>
      </c>
      <c r="AW1413">
        <v>0</v>
      </c>
      <c r="AX1413">
        <v>0</v>
      </c>
      <c r="AY1413">
        <v>5</v>
      </c>
      <c r="AZ1413">
        <v>1</v>
      </c>
      <c r="BA1413">
        <v>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4</v>
      </c>
      <c r="BU1413">
        <v>41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C1413">
        <v>0</v>
      </c>
      <c r="DD1413">
        <v>0</v>
      </c>
      <c r="DE1413">
        <v>0</v>
      </c>
      <c r="DF1413">
        <v>0</v>
      </c>
      <c r="DH1413">
        <v>0</v>
      </c>
      <c r="DI1413">
        <v>0</v>
      </c>
    </row>
    <row r="1414" spans="1:113" ht="15" customHeight="1" x14ac:dyDescent="0.25">
      <c r="A1414" t="s">
        <v>6510</v>
      </c>
      <c r="B1414" t="s">
        <v>6511</v>
      </c>
      <c r="C1414" t="s">
        <v>742</v>
      </c>
      <c r="D1414" t="s">
        <v>439</v>
      </c>
      <c r="E1414" t="s">
        <v>439</v>
      </c>
      <c r="F1414" t="s">
        <v>6512</v>
      </c>
      <c r="G1414">
        <v>2025</v>
      </c>
      <c r="H1414" t="s">
        <v>1160</v>
      </c>
      <c r="I1414" t="s">
        <v>1200</v>
      </c>
      <c r="J1414">
        <v>15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Y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H1414">
        <v>0</v>
      </c>
      <c r="AI1414">
        <v>24</v>
      </c>
      <c r="AJ1414">
        <v>33</v>
      </c>
      <c r="AK1414">
        <v>208</v>
      </c>
      <c r="AL1414">
        <v>3</v>
      </c>
      <c r="AM1414">
        <v>0</v>
      </c>
      <c r="AN1414">
        <v>0</v>
      </c>
      <c r="AO1414">
        <v>130</v>
      </c>
      <c r="AP1414">
        <v>137</v>
      </c>
      <c r="AQ1414">
        <v>12</v>
      </c>
      <c r="AR1414">
        <v>5.4060104922391501</v>
      </c>
      <c r="AS1414">
        <v>0</v>
      </c>
      <c r="AT1414">
        <v>1.6</v>
      </c>
      <c r="AU1414">
        <v>5.6798623063683301E-2</v>
      </c>
      <c r="AV1414">
        <v>2.3949889462048599E-2</v>
      </c>
      <c r="AW1414">
        <v>0.10196285721895899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3</v>
      </c>
      <c r="BU1414">
        <v>35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C1414">
        <v>0</v>
      </c>
      <c r="DD1414">
        <v>0</v>
      </c>
      <c r="DE1414">
        <v>0</v>
      </c>
      <c r="DF1414">
        <v>0</v>
      </c>
      <c r="DH1414">
        <v>38.799999999999997</v>
      </c>
      <c r="DI1414">
        <v>62.8</v>
      </c>
    </row>
    <row r="1415" spans="1:113" ht="15" customHeight="1" x14ac:dyDescent="0.25">
      <c r="A1415" t="s">
        <v>6513</v>
      </c>
      <c r="B1415" t="s">
        <v>6514</v>
      </c>
      <c r="C1415" t="s">
        <v>749</v>
      </c>
      <c r="D1415" t="s">
        <v>10</v>
      </c>
      <c r="E1415" t="s">
        <v>10</v>
      </c>
      <c r="F1415" t="s">
        <v>6515</v>
      </c>
      <c r="G1415">
        <v>2025</v>
      </c>
      <c r="H1415" t="s">
        <v>1160</v>
      </c>
      <c r="I1415" t="s">
        <v>1200</v>
      </c>
      <c r="J1415">
        <v>16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Y1415">
        <v>0</v>
      </c>
      <c r="AA1415">
        <v>10</v>
      </c>
      <c r="AB1415">
        <v>105</v>
      </c>
      <c r="AC1415">
        <v>1</v>
      </c>
      <c r="AD1415">
        <v>0</v>
      </c>
      <c r="AE1415">
        <v>0</v>
      </c>
      <c r="AF1415">
        <v>5</v>
      </c>
      <c r="AG1415">
        <v>9.3310527096618898</v>
      </c>
      <c r="AH1415">
        <v>0</v>
      </c>
      <c r="AI1415">
        <v>129</v>
      </c>
      <c r="AJ1415">
        <v>166</v>
      </c>
      <c r="AK1415">
        <v>1715</v>
      </c>
      <c r="AL1415">
        <v>10</v>
      </c>
      <c r="AM1415">
        <v>1</v>
      </c>
      <c r="AN1415">
        <v>1</v>
      </c>
      <c r="AO1415">
        <v>1566</v>
      </c>
      <c r="AP1415">
        <v>666</v>
      </c>
      <c r="AQ1415">
        <v>80</v>
      </c>
      <c r="AR1415">
        <v>115.700408653012</v>
      </c>
      <c r="AS1415">
        <v>0</v>
      </c>
      <c r="AT1415">
        <v>1.09514687100894</v>
      </c>
      <c r="AU1415">
        <v>0.28571428571428598</v>
      </c>
      <c r="AV1415">
        <v>0.28850405305821702</v>
      </c>
      <c r="AW1415">
        <v>0.63052426571218001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1</v>
      </c>
      <c r="BU1415">
        <v>15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C1415">
        <v>0</v>
      </c>
      <c r="DD1415">
        <v>0</v>
      </c>
      <c r="DE1415">
        <v>0</v>
      </c>
      <c r="DF1415">
        <v>0</v>
      </c>
      <c r="DH1415">
        <v>246</v>
      </c>
      <c r="DI1415">
        <v>375</v>
      </c>
    </row>
    <row r="1416" spans="1:113" ht="15" customHeight="1" x14ac:dyDescent="0.25">
      <c r="A1416" t="s">
        <v>6516</v>
      </c>
      <c r="B1416" t="s">
        <v>6517</v>
      </c>
      <c r="C1416" t="s">
        <v>6518</v>
      </c>
      <c r="D1416" t="s">
        <v>1234</v>
      </c>
      <c r="E1416" t="s">
        <v>1234</v>
      </c>
      <c r="F1416" t="s">
        <v>6519</v>
      </c>
      <c r="G1416">
        <v>2025</v>
      </c>
      <c r="H1416" t="s">
        <v>1160</v>
      </c>
      <c r="I1416" t="s">
        <v>1200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Y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S1416">
        <v>0</v>
      </c>
      <c r="AU1416">
        <v>0</v>
      </c>
      <c r="AV1416">
        <v>0</v>
      </c>
      <c r="AW1416">
        <v>0</v>
      </c>
      <c r="AX1416">
        <v>0</v>
      </c>
      <c r="AY1416">
        <v>4</v>
      </c>
      <c r="AZ1416">
        <v>0</v>
      </c>
      <c r="BA1416">
        <v>6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C1416">
        <v>0</v>
      </c>
      <c r="DD1416">
        <v>0</v>
      </c>
      <c r="DE1416">
        <v>0</v>
      </c>
      <c r="DF1416">
        <v>0</v>
      </c>
      <c r="DH1416">
        <v>0</v>
      </c>
      <c r="DI1416">
        <v>0</v>
      </c>
    </row>
    <row r="1417" spans="1:113" ht="15" customHeight="1" x14ac:dyDescent="0.25">
      <c r="A1417" t="s">
        <v>6520</v>
      </c>
      <c r="B1417" t="s">
        <v>6521</v>
      </c>
      <c r="C1417" t="s">
        <v>6522</v>
      </c>
      <c r="D1417" t="s">
        <v>1189</v>
      </c>
      <c r="E1417" t="s">
        <v>1190</v>
      </c>
      <c r="F1417" t="s">
        <v>6523</v>
      </c>
      <c r="G1417">
        <v>2025</v>
      </c>
      <c r="H1417" t="s">
        <v>1160</v>
      </c>
      <c r="I1417" t="s">
        <v>121</v>
      </c>
      <c r="J1417">
        <v>17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Y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S1417">
        <v>0</v>
      </c>
      <c r="AU1417">
        <v>0</v>
      </c>
      <c r="AV1417">
        <v>0</v>
      </c>
      <c r="AW1417">
        <v>0</v>
      </c>
      <c r="AX1417">
        <v>0</v>
      </c>
      <c r="AY1417">
        <v>31</v>
      </c>
      <c r="AZ1417">
        <v>4</v>
      </c>
      <c r="BA1417">
        <v>19</v>
      </c>
      <c r="BB1417">
        <v>20</v>
      </c>
      <c r="BC1417">
        <v>146</v>
      </c>
      <c r="BD1417">
        <v>3</v>
      </c>
      <c r="BE1417">
        <v>12</v>
      </c>
      <c r="BF1417">
        <v>101</v>
      </c>
      <c r="BG1417">
        <v>23</v>
      </c>
      <c r="BH1417">
        <v>0</v>
      </c>
      <c r="BI1417">
        <v>0</v>
      </c>
      <c r="BJ1417">
        <v>3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2</v>
      </c>
      <c r="BR1417">
        <v>2</v>
      </c>
      <c r="BS1417">
        <v>1</v>
      </c>
      <c r="BT1417">
        <v>6</v>
      </c>
      <c r="BU1417">
        <v>26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C1417">
        <v>0</v>
      </c>
      <c r="DD1417">
        <v>0</v>
      </c>
      <c r="DE1417">
        <v>0</v>
      </c>
      <c r="DF1417">
        <v>0</v>
      </c>
      <c r="DH1417">
        <v>0</v>
      </c>
      <c r="DI1417">
        <v>0</v>
      </c>
    </row>
    <row r="1418" spans="1:113" ht="15" customHeight="1" x14ac:dyDescent="0.25">
      <c r="A1418" t="s">
        <v>6524</v>
      </c>
      <c r="B1418" t="s">
        <v>3463</v>
      </c>
      <c r="C1418" t="s">
        <v>6525</v>
      </c>
      <c r="D1418" t="s">
        <v>1219</v>
      </c>
      <c r="E1418" t="s">
        <v>1220</v>
      </c>
      <c r="F1418" t="s">
        <v>6526</v>
      </c>
      <c r="G1418">
        <v>2025</v>
      </c>
      <c r="H1418" t="s">
        <v>1160</v>
      </c>
      <c r="I1418" t="s">
        <v>103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Y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S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1</v>
      </c>
      <c r="BP1418">
        <v>1</v>
      </c>
      <c r="BQ1418">
        <v>0</v>
      </c>
      <c r="BR1418">
        <v>0</v>
      </c>
      <c r="BS1418">
        <v>0</v>
      </c>
      <c r="BT1418">
        <v>1</v>
      </c>
      <c r="BU1418">
        <v>10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C1418">
        <v>0</v>
      </c>
      <c r="DD1418">
        <v>0</v>
      </c>
      <c r="DE1418">
        <v>0</v>
      </c>
      <c r="DF1418">
        <v>0</v>
      </c>
      <c r="DH1418">
        <v>0</v>
      </c>
      <c r="DI1418">
        <v>0</v>
      </c>
    </row>
    <row r="1419" spans="1:113" ht="15" customHeight="1" x14ac:dyDescent="0.25">
      <c r="A1419" t="s">
        <v>6527</v>
      </c>
      <c r="B1419" t="s">
        <v>6528</v>
      </c>
      <c r="C1419" t="s">
        <v>6529</v>
      </c>
      <c r="D1419" t="s">
        <v>1243</v>
      </c>
      <c r="E1419" t="s">
        <v>1190</v>
      </c>
      <c r="F1419" t="s">
        <v>6530</v>
      </c>
      <c r="G1419">
        <v>2025</v>
      </c>
      <c r="H1419" t="s">
        <v>1160</v>
      </c>
      <c r="I1419" t="s">
        <v>103</v>
      </c>
      <c r="J1419">
        <v>17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Y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S1419">
        <v>0</v>
      </c>
      <c r="AU1419">
        <v>0</v>
      </c>
      <c r="AV1419">
        <v>0</v>
      </c>
      <c r="AW1419">
        <v>0</v>
      </c>
      <c r="AX1419">
        <v>0</v>
      </c>
      <c r="AY1419">
        <v>25</v>
      </c>
      <c r="AZ1419">
        <v>0</v>
      </c>
      <c r="BA1419">
        <v>26</v>
      </c>
      <c r="BB1419">
        <v>6</v>
      </c>
      <c r="BC1419">
        <v>39</v>
      </c>
      <c r="BD1419">
        <v>1</v>
      </c>
      <c r="BE1419">
        <v>5.5</v>
      </c>
      <c r="BF1419">
        <v>41</v>
      </c>
      <c r="BG1419">
        <v>12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3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C1419">
        <v>0</v>
      </c>
      <c r="DD1419">
        <v>0</v>
      </c>
      <c r="DE1419">
        <v>0</v>
      </c>
      <c r="DF1419">
        <v>0</v>
      </c>
      <c r="DH1419">
        <v>0</v>
      </c>
      <c r="DI1419">
        <v>0</v>
      </c>
    </row>
    <row r="1420" spans="1:113" ht="15" customHeight="1" x14ac:dyDescent="0.25">
      <c r="A1420" t="s">
        <v>6531</v>
      </c>
      <c r="B1420" t="s">
        <v>6532</v>
      </c>
      <c r="C1420" t="s">
        <v>6533</v>
      </c>
      <c r="D1420" t="s">
        <v>1234</v>
      </c>
      <c r="E1420" t="s">
        <v>1234</v>
      </c>
      <c r="F1420" t="s">
        <v>6534</v>
      </c>
      <c r="G1420">
        <v>2025</v>
      </c>
      <c r="H1420" t="s">
        <v>1160</v>
      </c>
      <c r="I1420" t="s">
        <v>131</v>
      </c>
      <c r="J1420">
        <v>15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Y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S1420">
        <v>0</v>
      </c>
      <c r="AU1420">
        <v>0</v>
      </c>
      <c r="AV1420">
        <v>0</v>
      </c>
      <c r="AW1420">
        <v>0</v>
      </c>
      <c r="AX1420">
        <v>0</v>
      </c>
      <c r="AY1420">
        <v>32</v>
      </c>
      <c r="AZ1420">
        <v>3</v>
      </c>
      <c r="BA1420">
        <v>14</v>
      </c>
      <c r="BB1420">
        <v>20</v>
      </c>
      <c r="BC1420">
        <v>86</v>
      </c>
      <c r="BD1420">
        <v>2</v>
      </c>
      <c r="BE1420">
        <v>13</v>
      </c>
      <c r="BF1420">
        <v>71</v>
      </c>
      <c r="BG1420">
        <v>23</v>
      </c>
      <c r="BH1420">
        <v>0</v>
      </c>
      <c r="BI1420">
        <v>0</v>
      </c>
      <c r="BJ1420">
        <v>3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1</v>
      </c>
      <c r="BR1420">
        <v>1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C1420">
        <v>0</v>
      </c>
      <c r="DD1420">
        <v>0</v>
      </c>
      <c r="DE1420">
        <v>0</v>
      </c>
      <c r="DF1420">
        <v>0</v>
      </c>
      <c r="DH1420">
        <v>0</v>
      </c>
      <c r="DI1420">
        <v>0</v>
      </c>
    </row>
    <row r="1421" spans="1:113" ht="15" customHeight="1" x14ac:dyDescent="0.25">
      <c r="A1421" t="s">
        <v>6535</v>
      </c>
      <c r="B1421" t="s">
        <v>6536</v>
      </c>
      <c r="C1421" t="s">
        <v>6537</v>
      </c>
      <c r="D1421" t="s">
        <v>1189</v>
      </c>
      <c r="E1421" t="s">
        <v>1190</v>
      </c>
      <c r="F1421" t="s">
        <v>6538</v>
      </c>
      <c r="G1421">
        <v>2025</v>
      </c>
      <c r="H1421" t="s">
        <v>1160</v>
      </c>
      <c r="I1421" t="s">
        <v>118</v>
      </c>
      <c r="J1421">
        <v>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Y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S1421">
        <v>0</v>
      </c>
      <c r="AU1421">
        <v>0</v>
      </c>
      <c r="AV1421">
        <v>0</v>
      </c>
      <c r="AW1421">
        <v>0</v>
      </c>
      <c r="AX1421">
        <v>0</v>
      </c>
      <c r="AY1421">
        <v>12</v>
      </c>
      <c r="AZ1421">
        <v>0</v>
      </c>
      <c r="BA1421">
        <v>7</v>
      </c>
      <c r="BB1421">
        <v>3</v>
      </c>
      <c r="BC1421">
        <v>9</v>
      </c>
      <c r="BD1421">
        <v>0</v>
      </c>
      <c r="BE1421">
        <v>1.5</v>
      </c>
      <c r="BF1421">
        <v>9</v>
      </c>
      <c r="BG1421">
        <v>7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2</v>
      </c>
      <c r="BU1421">
        <v>15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C1421">
        <v>0</v>
      </c>
      <c r="DD1421">
        <v>0</v>
      </c>
      <c r="DE1421">
        <v>0</v>
      </c>
      <c r="DF1421">
        <v>0</v>
      </c>
      <c r="DH1421">
        <v>0</v>
      </c>
      <c r="DI1421">
        <v>0</v>
      </c>
    </row>
    <row r="1422" spans="1:113" ht="15" customHeight="1" x14ac:dyDescent="0.25">
      <c r="A1422" t="s">
        <v>6539</v>
      </c>
      <c r="B1422" t="s">
        <v>6343</v>
      </c>
      <c r="C1422" t="s">
        <v>6344</v>
      </c>
      <c r="D1422" t="s">
        <v>1234</v>
      </c>
      <c r="E1422" t="s">
        <v>1234</v>
      </c>
      <c r="F1422" t="s">
        <v>6540</v>
      </c>
      <c r="G1422">
        <v>2025</v>
      </c>
      <c r="H1422" t="s">
        <v>1160</v>
      </c>
      <c r="I1422" t="s">
        <v>1200</v>
      </c>
      <c r="J1422">
        <v>17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Y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S1422">
        <v>0</v>
      </c>
      <c r="AU1422">
        <v>0</v>
      </c>
      <c r="AV1422">
        <v>0</v>
      </c>
      <c r="AW1422">
        <v>0</v>
      </c>
      <c r="AX1422">
        <v>0</v>
      </c>
      <c r="AY1422">
        <v>44</v>
      </c>
      <c r="AZ1422">
        <v>1</v>
      </c>
      <c r="BA1422">
        <v>37</v>
      </c>
      <c r="BB1422">
        <v>12</v>
      </c>
      <c r="BC1422">
        <v>70</v>
      </c>
      <c r="BD1422">
        <v>1</v>
      </c>
      <c r="BE1422">
        <v>12</v>
      </c>
      <c r="BF1422">
        <v>61.5</v>
      </c>
      <c r="BG1422">
        <v>29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</v>
      </c>
      <c r="BU1422">
        <v>12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C1422">
        <v>0</v>
      </c>
      <c r="DD1422">
        <v>0</v>
      </c>
      <c r="DE1422">
        <v>0</v>
      </c>
      <c r="DF1422">
        <v>0</v>
      </c>
      <c r="DH1422">
        <v>0</v>
      </c>
      <c r="DI1422">
        <v>0</v>
      </c>
    </row>
    <row r="1423" spans="1:113" ht="15" customHeight="1" x14ac:dyDescent="0.25">
      <c r="A1423" t="s">
        <v>6541</v>
      </c>
      <c r="B1423" t="s">
        <v>6542</v>
      </c>
      <c r="C1423" t="s">
        <v>6543</v>
      </c>
      <c r="D1423" t="s">
        <v>1189</v>
      </c>
      <c r="E1423" t="s">
        <v>1190</v>
      </c>
      <c r="F1423" t="s">
        <v>6544</v>
      </c>
      <c r="G1423">
        <v>2025</v>
      </c>
      <c r="H1423" t="s">
        <v>1160</v>
      </c>
      <c r="I1423" t="s">
        <v>1200</v>
      </c>
      <c r="J1423">
        <v>17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Y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S1423">
        <v>0</v>
      </c>
      <c r="AU1423">
        <v>0</v>
      </c>
      <c r="AV1423">
        <v>0</v>
      </c>
      <c r="AW1423">
        <v>0</v>
      </c>
      <c r="AX1423">
        <v>0</v>
      </c>
      <c r="AY1423">
        <v>23</v>
      </c>
      <c r="AZ1423">
        <v>1</v>
      </c>
      <c r="BA1423">
        <v>24</v>
      </c>
      <c r="BB1423">
        <v>9</v>
      </c>
      <c r="BC1423">
        <v>59</v>
      </c>
      <c r="BD1423">
        <v>0</v>
      </c>
      <c r="BE1423">
        <v>7</v>
      </c>
      <c r="BF1423">
        <v>61</v>
      </c>
      <c r="BG1423">
        <v>14</v>
      </c>
      <c r="BH1423">
        <v>1</v>
      </c>
      <c r="BI1423">
        <v>10</v>
      </c>
      <c r="BJ1423">
        <v>3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1</v>
      </c>
      <c r="BR1423">
        <v>1</v>
      </c>
      <c r="BS1423">
        <v>0</v>
      </c>
      <c r="BT1423">
        <v>3</v>
      </c>
      <c r="BU1423">
        <v>25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C1423">
        <v>0</v>
      </c>
      <c r="DD1423">
        <v>0</v>
      </c>
      <c r="DE1423">
        <v>0</v>
      </c>
      <c r="DF1423">
        <v>0</v>
      </c>
      <c r="DH1423">
        <v>0</v>
      </c>
      <c r="DI1423">
        <v>0</v>
      </c>
    </row>
    <row r="1424" spans="1:113" ht="15" customHeight="1" x14ac:dyDescent="0.25">
      <c r="A1424" t="s">
        <v>6545</v>
      </c>
      <c r="B1424" t="s">
        <v>6546</v>
      </c>
      <c r="C1424" t="s">
        <v>613</v>
      </c>
      <c r="D1424" t="s">
        <v>431</v>
      </c>
      <c r="E1424" t="s">
        <v>431</v>
      </c>
      <c r="F1424" t="s">
        <v>6547</v>
      </c>
      <c r="G1424">
        <v>2025</v>
      </c>
      <c r="H1424" t="s">
        <v>1160</v>
      </c>
      <c r="I1424" t="s">
        <v>111</v>
      </c>
      <c r="J1424">
        <v>17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Y1424">
        <v>0</v>
      </c>
      <c r="AA1424">
        <v>243</v>
      </c>
      <c r="AB1424">
        <v>1223</v>
      </c>
      <c r="AC1424">
        <v>13</v>
      </c>
      <c r="AD1424">
        <v>2</v>
      </c>
      <c r="AE1424">
        <v>1</v>
      </c>
      <c r="AF1424">
        <v>58</v>
      </c>
      <c r="AG1424">
        <v>-2.6670393910758601</v>
      </c>
      <c r="AH1424">
        <v>0</v>
      </c>
      <c r="AI1424">
        <v>77</v>
      </c>
      <c r="AJ1424">
        <v>94</v>
      </c>
      <c r="AK1424">
        <v>616</v>
      </c>
      <c r="AL1424">
        <v>5</v>
      </c>
      <c r="AM1424">
        <v>0</v>
      </c>
      <c r="AN1424">
        <v>0</v>
      </c>
      <c r="AO1424">
        <v>54</v>
      </c>
      <c r="AP1424">
        <v>615</v>
      </c>
      <c r="AQ1424">
        <v>28</v>
      </c>
      <c r="AR1424">
        <v>17.750491282251598</v>
      </c>
      <c r="AS1424">
        <v>0</v>
      </c>
      <c r="AT1424">
        <v>11.407407407407399</v>
      </c>
      <c r="AU1424">
        <v>0.17090909090909101</v>
      </c>
      <c r="AV1424">
        <v>1.4469453376205799E-2</v>
      </c>
      <c r="AW1424">
        <v>0.26649225372697999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2</v>
      </c>
      <c r="BP1424">
        <v>2</v>
      </c>
      <c r="BQ1424">
        <v>0</v>
      </c>
      <c r="BR1424">
        <v>0</v>
      </c>
      <c r="BS1424">
        <v>0</v>
      </c>
      <c r="BT1424">
        <v>1</v>
      </c>
      <c r="BU1424">
        <v>5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C1424">
        <v>0</v>
      </c>
      <c r="DD1424">
        <v>0</v>
      </c>
      <c r="DE1424">
        <v>0</v>
      </c>
      <c r="DF1424">
        <v>0</v>
      </c>
      <c r="DH1424">
        <v>289.89999999999998</v>
      </c>
      <c r="DI1424">
        <v>366.9</v>
      </c>
    </row>
    <row r="1425" spans="1:113" ht="15" customHeight="1" x14ac:dyDescent="0.25">
      <c r="A1425" t="s">
        <v>6548</v>
      </c>
      <c r="B1425" t="s">
        <v>6549</v>
      </c>
      <c r="C1425" t="s">
        <v>6550</v>
      </c>
      <c r="D1425" t="s">
        <v>1350</v>
      </c>
      <c r="E1425" t="s">
        <v>1307</v>
      </c>
      <c r="F1425" t="s">
        <v>6551</v>
      </c>
      <c r="G1425">
        <v>2025</v>
      </c>
      <c r="H1425" t="s">
        <v>1160</v>
      </c>
      <c r="I1425" t="s">
        <v>120</v>
      </c>
      <c r="J1425">
        <v>14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Y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S1425">
        <v>0</v>
      </c>
      <c r="AU1425">
        <v>0</v>
      </c>
      <c r="AV1425">
        <v>0</v>
      </c>
      <c r="AW1425">
        <v>0</v>
      </c>
      <c r="AX1425">
        <v>0</v>
      </c>
      <c r="AY1425">
        <v>28</v>
      </c>
      <c r="AZ1425">
        <v>1</v>
      </c>
      <c r="BA1425">
        <v>8</v>
      </c>
      <c r="BB1425">
        <v>1</v>
      </c>
      <c r="BC1425">
        <v>2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2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1</v>
      </c>
      <c r="BR1425">
        <v>1</v>
      </c>
      <c r="BS1425">
        <v>0</v>
      </c>
      <c r="BT1425">
        <v>9</v>
      </c>
      <c r="BU1425">
        <v>129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C1425">
        <v>0</v>
      </c>
      <c r="DD1425">
        <v>0</v>
      </c>
      <c r="DE1425">
        <v>0</v>
      </c>
      <c r="DF1425">
        <v>0</v>
      </c>
      <c r="DH1425">
        <v>0</v>
      </c>
      <c r="DI1425">
        <v>0</v>
      </c>
    </row>
    <row r="1426" spans="1:113" ht="15" customHeight="1" x14ac:dyDescent="0.25">
      <c r="A1426" t="s">
        <v>6552</v>
      </c>
      <c r="B1426" t="s">
        <v>6553</v>
      </c>
      <c r="C1426" t="s">
        <v>6554</v>
      </c>
      <c r="D1426" t="s">
        <v>1684</v>
      </c>
      <c r="E1426" t="s">
        <v>1307</v>
      </c>
      <c r="F1426" t="s">
        <v>6555</v>
      </c>
      <c r="G1426">
        <v>2025</v>
      </c>
      <c r="H1426" t="s">
        <v>1160</v>
      </c>
      <c r="I1426" t="s">
        <v>111</v>
      </c>
      <c r="J1426">
        <v>12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Y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S1426">
        <v>0</v>
      </c>
      <c r="AU1426">
        <v>0</v>
      </c>
      <c r="AV1426">
        <v>0</v>
      </c>
      <c r="AW1426">
        <v>0</v>
      </c>
      <c r="AX1426">
        <v>0</v>
      </c>
      <c r="AY1426">
        <v>46</v>
      </c>
      <c r="AZ1426">
        <v>2</v>
      </c>
      <c r="BA1426">
        <v>27</v>
      </c>
      <c r="BB1426">
        <v>5</v>
      </c>
      <c r="BC1426">
        <v>24</v>
      </c>
      <c r="BD1426">
        <v>1</v>
      </c>
      <c r="BE1426">
        <v>2.5</v>
      </c>
      <c r="BF1426">
        <v>22.5</v>
      </c>
      <c r="BG1426">
        <v>5</v>
      </c>
      <c r="BH1426">
        <v>0</v>
      </c>
      <c r="BI1426">
        <v>0</v>
      </c>
      <c r="BJ1426">
        <v>9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</v>
      </c>
      <c r="BR1426">
        <v>1</v>
      </c>
      <c r="BS1426">
        <v>0</v>
      </c>
      <c r="BT1426">
        <v>7</v>
      </c>
      <c r="BU1426">
        <v>80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C1426">
        <v>0</v>
      </c>
      <c r="DD1426">
        <v>0</v>
      </c>
      <c r="DE1426">
        <v>0</v>
      </c>
      <c r="DF1426">
        <v>0</v>
      </c>
      <c r="DH1426">
        <v>0</v>
      </c>
      <c r="DI1426">
        <v>0</v>
      </c>
    </row>
    <row r="1427" spans="1:113" ht="15" customHeight="1" x14ac:dyDescent="0.25">
      <c r="A1427" t="s">
        <v>6556</v>
      </c>
      <c r="B1427" t="s">
        <v>6557</v>
      </c>
      <c r="C1427" t="s">
        <v>6558</v>
      </c>
      <c r="D1427" t="s">
        <v>1189</v>
      </c>
      <c r="E1427" t="s">
        <v>1190</v>
      </c>
      <c r="F1427" t="s">
        <v>6559</v>
      </c>
      <c r="G1427">
        <v>2025</v>
      </c>
      <c r="H1427" t="s">
        <v>1160</v>
      </c>
      <c r="I1427" t="s">
        <v>101</v>
      </c>
      <c r="J1427">
        <v>12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Y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S1427">
        <v>0</v>
      </c>
      <c r="AU1427">
        <v>0</v>
      </c>
      <c r="AV1427">
        <v>0</v>
      </c>
      <c r="AW1427">
        <v>0</v>
      </c>
      <c r="AX1427">
        <v>1</v>
      </c>
      <c r="AY1427">
        <v>17</v>
      </c>
      <c r="AZ1427">
        <v>2</v>
      </c>
      <c r="BA1427">
        <v>11</v>
      </c>
      <c r="BB1427">
        <v>10</v>
      </c>
      <c r="BC1427">
        <v>59</v>
      </c>
      <c r="BD1427">
        <v>0</v>
      </c>
      <c r="BE1427">
        <v>8</v>
      </c>
      <c r="BF1427">
        <v>51</v>
      </c>
      <c r="BG1427">
        <v>19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50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1</v>
      </c>
      <c r="BU1427">
        <v>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C1427">
        <v>0</v>
      </c>
      <c r="DD1427">
        <v>0</v>
      </c>
      <c r="DE1427">
        <v>0</v>
      </c>
      <c r="DF1427">
        <v>0</v>
      </c>
      <c r="DH1427">
        <v>6</v>
      </c>
      <c r="DI1427">
        <v>6</v>
      </c>
    </row>
    <row r="1428" spans="1:113" ht="15" customHeight="1" x14ac:dyDescent="0.25">
      <c r="A1428" t="s">
        <v>6560</v>
      </c>
      <c r="B1428" t="s">
        <v>6561</v>
      </c>
      <c r="C1428" t="s">
        <v>6562</v>
      </c>
      <c r="D1428" t="s">
        <v>1189</v>
      </c>
      <c r="E1428" t="s">
        <v>1190</v>
      </c>
      <c r="F1428" t="s">
        <v>6563</v>
      </c>
      <c r="G1428">
        <v>2025</v>
      </c>
      <c r="H1428" t="s">
        <v>1160</v>
      </c>
      <c r="I1428" t="s">
        <v>107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Y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S1428">
        <v>0</v>
      </c>
      <c r="AU1428">
        <v>0</v>
      </c>
      <c r="AV1428">
        <v>0</v>
      </c>
      <c r="AW1428">
        <v>0</v>
      </c>
      <c r="AX1428">
        <v>0</v>
      </c>
      <c r="AY1428">
        <v>2</v>
      </c>
      <c r="AZ1428">
        <v>0</v>
      </c>
      <c r="BA1428">
        <v>2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C1428">
        <v>0</v>
      </c>
      <c r="DD1428">
        <v>0</v>
      </c>
      <c r="DE1428">
        <v>0</v>
      </c>
      <c r="DF1428">
        <v>0</v>
      </c>
      <c r="DH1428">
        <v>0</v>
      </c>
      <c r="DI1428">
        <v>0</v>
      </c>
    </row>
    <row r="1429" spans="1:113" ht="15" customHeight="1" x14ac:dyDescent="0.25">
      <c r="A1429" t="s">
        <v>6564</v>
      </c>
      <c r="B1429" t="s">
        <v>6565</v>
      </c>
      <c r="C1429" t="s">
        <v>640</v>
      </c>
      <c r="D1429" t="s">
        <v>439</v>
      </c>
      <c r="E1429" t="s">
        <v>439</v>
      </c>
      <c r="F1429" t="s">
        <v>6566</v>
      </c>
      <c r="G1429">
        <v>2025</v>
      </c>
      <c r="H1429" t="s">
        <v>1160</v>
      </c>
      <c r="I1429" t="s">
        <v>118</v>
      </c>
      <c r="J1429">
        <v>13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Y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H1429">
        <v>0</v>
      </c>
      <c r="AI1429">
        <v>24</v>
      </c>
      <c r="AJ1429">
        <v>31</v>
      </c>
      <c r="AK1429">
        <v>252</v>
      </c>
      <c r="AL1429">
        <v>0</v>
      </c>
      <c r="AM1429">
        <v>1</v>
      </c>
      <c r="AN1429">
        <v>0</v>
      </c>
      <c r="AO1429">
        <v>266</v>
      </c>
      <c r="AP1429">
        <v>69</v>
      </c>
      <c r="AQ1429">
        <v>12</v>
      </c>
      <c r="AR1429">
        <v>10.139169549453101</v>
      </c>
      <c r="AS1429">
        <v>0</v>
      </c>
      <c r="AT1429">
        <v>0.94736842105263197</v>
      </c>
      <c r="AU1429">
        <v>6.73913043478261E-2</v>
      </c>
      <c r="AV1429">
        <v>6.2106000466962401E-2</v>
      </c>
      <c r="AW1429">
        <v>0.14456115684861301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5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C1429">
        <v>0</v>
      </c>
      <c r="DD1429">
        <v>0</v>
      </c>
      <c r="DE1429">
        <v>0</v>
      </c>
      <c r="DF1429">
        <v>0</v>
      </c>
      <c r="DH1429">
        <v>25.2</v>
      </c>
      <c r="DI1429">
        <v>49.2</v>
      </c>
    </row>
    <row r="1430" spans="1:113" ht="15" customHeight="1" x14ac:dyDescent="0.25">
      <c r="A1430" t="s">
        <v>6567</v>
      </c>
      <c r="B1430" t="s">
        <v>6568</v>
      </c>
      <c r="C1430" t="s">
        <v>6569</v>
      </c>
      <c r="D1430" t="s">
        <v>1297</v>
      </c>
      <c r="E1430" t="s">
        <v>1220</v>
      </c>
      <c r="F1430" t="s">
        <v>6570</v>
      </c>
      <c r="G1430">
        <v>2025</v>
      </c>
      <c r="H1430" t="s">
        <v>1160</v>
      </c>
      <c r="I1430" t="s">
        <v>101</v>
      </c>
      <c r="J1430">
        <v>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Y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S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7</v>
      </c>
      <c r="BU1430">
        <v>50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C1430">
        <v>0</v>
      </c>
      <c r="DD1430">
        <v>0</v>
      </c>
      <c r="DE1430">
        <v>0</v>
      </c>
      <c r="DF1430">
        <v>0</v>
      </c>
      <c r="DH1430">
        <v>0</v>
      </c>
      <c r="DI1430">
        <v>0</v>
      </c>
    </row>
    <row r="1431" spans="1:113" ht="15" customHeight="1" x14ac:dyDescent="0.25">
      <c r="A1431" t="s">
        <v>6571</v>
      </c>
      <c r="B1431" t="s">
        <v>1661</v>
      </c>
      <c r="C1431" t="s">
        <v>642</v>
      </c>
      <c r="D1431" t="s">
        <v>10</v>
      </c>
      <c r="E1431" t="s">
        <v>10</v>
      </c>
      <c r="F1431" t="s">
        <v>6572</v>
      </c>
      <c r="G1431">
        <v>2025</v>
      </c>
      <c r="H1431" t="s">
        <v>1160</v>
      </c>
      <c r="I1431" t="s">
        <v>118</v>
      </c>
      <c r="J1431">
        <v>5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Y1431">
        <v>0</v>
      </c>
      <c r="AA1431">
        <v>3</v>
      </c>
      <c r="AB1431">
        <v>28</v>
      </c>
      <c r="AC1431">
        <v>0</v>
      </c>
      <c r="AD1431">
        <v>0</v>
      </c>
      <c r="AE1431">
        <v>0</v>
      </c>
      <c r="AF1431">
        <v>1</v>
      </c>
      <c r="AG1431">
        <v>1.4113998627290101</v>
      </c>
      <c r="AH1431">
        <v>0</v>
      </c>
      <c r="AI1431">
        <v>19</v>
      </c>
      <c r="AJ1431">
        <v>22</v>
      </c>
      <c r="AK1431">
        <v>207</v>
      </c>
      <c r="AL1431">
        <v>1</v>
      </c>
      <c r="AM1431">
        <v>0</v>
      </c>
      <c r="AN1431">
        <v>0</v>
      </c>
      <c r="AO1431">
        <v>179</v>
      </c>
      <c r="AP1431">
        <v>85</v>
      </c>
      <c r="AQ1431">
        <v>8</v>
      </c>
      <c r="AR1431">
        <v>11.549512629654901</v>
      </c>
      <c r="AS1431">
        <v>0</v>
      </c>
      <c r="AT1431">
        <v>1.15642458100559</v>
      </c>
      <c r="AU1431">
        <v>4.7826086956521699E-2</v>
      </c>
      <c r="AV1431">
        <v>4.1793135652579999E-2</v>
      </c>
      <c r="AW1431">
        <v>0.10099432539158899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</v>
      </c>
      <c r="BU1431">
        <v>15</v>
      </c>
      <c r="BV1431">
        <v>2</v>
      </c>
      <c r="BW1431">
        <v>21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C1431">
        <v>0</v>
      </c>
      <c r="DD1431">
        <v>0</v>
      </c>
      <c r="DE1431">
        <v>0</v>
      </c>
      <c r="DF1431">
        <v>0</v>
      </c>
      <c r="DH1431">
        <v>29.5</v>
      </c>
      <c r="DI1431">
        <v>48.5</v>
      </c>
    </row>
    <row r="1432" spans="1:113" ht="15" customHeight="1" x14ac:dyDescent="0.25">
      <c r="A1432" t="s">
        <v>6573</v>
      </c>
      <c r="B1432" t="s">
        <v>6574</v>
      </c>
      <c r="C1432" t="s">
        <v>6575</v>
      </c>
      <c r="D1432" t="s">
        <v>1350</v>
      </c>
      <c r="E1432" t="s">
        <v>1307</v>
      </c>
      <c r="F1432" t="s">
        <v>6576</v>
      </c>
      <c r="G1432">
        <v>2025</v>
      </c>
      <c r="H1432" t="s">
        <v>1160</v>
      </c>
      <c r="I1432" t="s">
        <v>114</v>
      </c>
      <c r="J1432">
        <v>14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Y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S1432">
        <v>0</v>
      </c>
      <c r="AU1432">
        <v>0</v>
      </c>
      <c r="AV1432">
        <v>0</v>
      </c>
      <c r="AW1432">
        <v>0</v>
      </c>
      <c r="AX1432">
        <v>0</v>
      </c>
      <c r="AY1432">
        <v>53</v>
      </c>
      <c r="AZ1432">
        <v>1</v>
      </c>
      <c r="BA1432">
        <v>15</v>
      </c>
      <c r="BB1432">
        <v>1</v>
      </c>
      <c r="BC1432">
        <v>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2</v>
      </c>
      <c r="BU1432">
        <v>27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C1432">
        <v>0</v>
      </c>
      <c r="DD1432">
        <v>0</v>
      </c>
      <c r="DE1432">
        <v>0</v>
      </c>
      <c r="DF1432">
        <v>0</v>
      </c>
      <c r="DH1432">
        <v>0</v>
      </c>
      <c r="DI1432">
        <v>0</v>
      </c>
    </row>
    <row r="1433" spans="1:113" ht="15" customHeight="1" x14ac:dyDescent="0.25">
      <c r="A1433" t="s">
        <v>6577</v>
      </c>
      <c r="B1433" t="s">
        <v>2505</v>
      </c>
      <c r="C1433" t="s">
        <v>6578</v>
      </c>
      <c r="D1433" t="s">
        <v>1189</v>
      </c>
      <c r="E1433" t="s">
        <v>1190</v>
      </c>
      <c r="F1433" t="s">
        <v>6579</v>
      </c>
      <c r="G1433">
        <v>2025</v>
      </c>
      <c r="H1433" t="s">
        <v>1160</v>
      </c>
      <c r="I1433" t="s">
        <v>141</v>
      </c>
      <c r="J1433">
        <v>13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Y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S1433">
        <v>0</v>
      </c>
      <c r="AU1433">
        <v>0</v>
      </c>
      <c r="AV1433">
        <v>0</v>
      </c>
      <c r="AW1433">
        <v>0</v>
      </c>
      <c r="AX1433">
        <v>0</v>
      </c>
      <c r="AY1433">
        <v>6</v>
      </c>
      <c r="AZ1433">
        <v>1</v>
      </c>
      <c r="BA1433">
        <v>11</v>
      </c>
      <c r="BB1433">
        <v>2</v>
      </c>
      <c r="BC1433">
        <v>12</v>
      </c>
      <c r="BD1433">
        <v>0</v>
      </c>
      <c r="BE1433">
        <v>1.5</v>
      </c>
      <c r="BF1433">
        <v>12.5</v>
      </c>
      <c r="BG1433">
        <v>6</v>
      </c>
      <c r="BH1433">
        <v>0</v>
      </c>
      <c r="BI1433">
        <v>0</v>
      </c>
      <c r="BJ1433">
        <v>1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</v>
      </c>
      <c r="BR1433">
        <v>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C1433">
        <v>0</v>
      </c>
      <c r="DD1433">
        <v>0</v>
      </c>
      <c r="DE1433">
        <v>0</v>
      </c>
      <c r="DF1433">
        <v>0</v>
      </c>
      <c r="DH1433">
        <v>0</v>
      </c>
      <c r="DI1433">
        <v>0</v>
      </c>
    </row>
    <row r="1434" spans="1:113" ht="15" customHeight="1" x14ac:dyDescent="0.25">
      <c r="A1434" t="s">
        <v>6580</v>
      </c>
      <c r="B1434" t="s">
        <v>6581</v>
      </c>
      <c r="C1434" t="s">
        <v>6582</v>
      </c>
      <c r="D1434" t="s">
        <v>1684</v>
      </c>
      <c r="E1434" t="s">
        <v>1307</v>
      </c>
      <c r="F1434" t="s">
        <v>6583</v>
      </c>
      <c r="G1434">
        <v>2025</v>
      </c>
      <c r="H1434" t="s">
        <v>1160</v>
      </c>
      <c r="I1434" t="s">
        <v>143</v>
      </c>
      <c r="J1434">
        <v>17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Y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S1434">
        <v>0</v>
      </c>
      <c r="AU1434">
        <v>0</v>
      </c>
      <c r="AV1434">
        <v>0</v>
      </c>
      <c r="AW1434">
        <v>0</v>
      </c>
      <c r="AX1434">
        <v>0</v>
      </c>
      <c r="AY1434">
        <v>52</v>
      </c>
      <c r="AZ1434">
        <v>0</v>
      </c>
      <c r="BA1434">
        <v>47</v>
      </c>
      <c r="BB1434">
        <v>1</v>
      </c>
      <c r="BC1434">
        <v>5</v>
      </c>
      <c r="BD1434">
        <v>1</v>
      </c>
      <c r="BE1434">
        <v>0</v>
      </c>
      <c r="BF1434">
        <v>0</v>
      </c>
      <c r="BG1434">
        <v>2</v>
      </c>
      <c r="BH1434">
        <v>0</v>
      </c>
      <c r="BI1434">
        <v>0</v>
      </c>
      <c r="BJ1434">
        <v>3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2</v>
      </c>
      <c r="BU1434">
        <v>30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C1434">
        <v>0</v>
      </c>
      <c r="DD1434">
        <v>0</v>
      </c>
      <c r="DE1434">
        <v>0</v>
      </c>
      <c r="DF1434">
        <v>0</v>
      </c>
      <c r="DH1434">
        <v>0</v>
      </c>
      <c r="DI1434">
        <v>0</v>
      </c>
    </row>
    <row r="1435" spans="1:113" ht="15" customHeight="1" x14ac:dyDescent="0.25">
      <c r="A1435" t="s">
        <v>6584</v>
      </c>
      <c r="B1435" t="s">
        <v>6343</v>
      </c>
      <c r="C1435" t="s">
        <v>6585</v>
      </c>
      <c r="D1435" t="s">
        <v>1158</v>
      </c>
      <c r="E1435" t="s">
        <v>1158</v>
      </c>
      <c r="F1435" t="s">
        <v>6586</v>
      </c>
      <c r="G1435">
        <v>2025</v>
      </c>
      <c r="H1435" t="s">
        <v>1160</v>
      </c>
      <c r="I1435" t="s">
        <v>96</v>
      </c>
      <c r="J1435">
        <v>16</v>
      </c>
      <c r="K1435">
        <v>304</v>
      </c>
      <c r="L1435">
        <v>478</v>
      </c>
      <c r="M1435">
        <v>3011</v>
      </c>
      <c r="N1435">
        <v>23</v>
      </c>
      <c r="O1435">
        <v>11</v>
      </c>
      <c r="P1435">
        <v>27</v>
      </c>
      <c r="Q1435">
        <v>-202</v>
      </c>
      <c r="R1435">
        <v>3</v>
      </c>
      <c r="S1435">
        <v>2</v>
      </c>
      <c r="T1435">
        <v>3102</v>
      </c>
      <c r="U1435">
        <v>1539</v>
      </c>
      <c r="V1435">
        <v>153</v>
      </c>
      <c r="W1435">
        <v>-21.972916407197399</v>
      </c>
      <c r="X1435">
        <v>0.99892047745687496</v>
      </c>
      <c r="Y1435">
        <v>1</v>
      </c>
      <c r="Z1435">
        <v>0.97066408768536405</v>
      </c>
      <c r="AA1435">
        <v>54</v>
      </c>
      <c r="AB1435">
        <v>216</v>
      </c>
      <c r="AC1435">
        <v>2</v>
      </c>
      <c r="AD1435">
        <v>3</v>
      </c>
      <c r="AE1435">
        <v>2</v>
      </c>
      <c r="AF1435">
        <v>19</v>
      </c>
      <c r="AG1435">
        <v>4.1731751525231298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S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</v>
      </c>
      <c r="BP1435">
        <v>3</v>
      </c>
      <c r="BQ1435">
        <v>0</v>
      </c>
      <c r="BR1435">
        <v>0</v>
      </c>
      <c r="BS1435">
        <v>0</v>
      </c>
      <c r="BT1435">
        <v>2</v>
      </c>
      <c r="BU1435">
        <v>20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C1435">
        <v>0</v>
      </c>
      <c r="DD1435">
        <v>0</v>
      </c>
      <c r="DE1435">
        <v>0</v>
      </c>
      <c r="DF1435">
        <v>0</v>
      </c>
      <c r="DH1435">
        <v>218.04</v>
      </c>
      <c r="DI1435">
        <v>218.04</v>
      </c>
    </row>
    <row r="1436" spans="1:113" ht="15" customHeight="1" x14ac:dyDescent="0.25">
      <c r="A1436" t="s">
        <v>6587</v>
      </c>
      <c r="B1436" t="s">
        <v>6588</v>
      </c>
      <c r="C1436" t="s">
        <v>6589</v>
      </c>
      <c r="D1436" t="s">
        <v>1350</v>
      </c>
      <c r="E1436" t="s">
        <v>1307</v>
      </c>
      <c r="F1436" t="s">
        <v>6590</v>
      </c>
      <c r="G1436">
        <v>2025</v>
      </c>
      <c r="H1436" t="s">
        <v>1160</v>
      </c>
      <c r="I1436" t="s">
        <v>1200</v>
      </c>
      <c r="J1436">
        <v>17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Y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S1436">
        <v>0</v>
      </c>
      <c r="AU1436">
        <v>0</v>
      </c>
      <c r="AV1436">
        <v>0</v>
      </c>
      <c r="AW1436">
        <v>0</v>
      </c>
      <c r="AX1436">
        <v>0</v>
      </c>
      <c r="AY1436">
        <v>32</v>
      </c>
      <c r="AZ1436">
        <v>0</v>
      </c>
      <c r="BA1436">
        <v>13</v>
      </c>
      <c r="BB1436">
        <v>0</v>
      </c>
      <c r="BC1436">
        <v>0</v>
      </c>
      <c r="BD1436">
        <v>1</v>
      </c>
      <c r="BE1436">
        <v>0</v>
      </c>
      <c r="BF1436">
        <v>0</v>
      </c>
      <c r="BG1436">
        <v>0</v>
      </c>
      <c r="BH1436">
        <v>3</v>
      </c>
      <c r="BI1436">
        <v>43</v>
      </c>
      <c r="BJ1436">
        <v>18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4</v>
      </c>
      <c r="BU1436">
        <v>26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C1436">
        <v>0</v>
      </c>
      <c r="DD1436">
        <v>0</v>
      </c>
      <c r="DE1436">
        <v>0</v>
      </c>
      <c r="DF1436">
        <v>0</v>
      </c>
      <c r="DH1436">
        <v>0</v>
      </c>
      <c r="DI1436">
        <v>0</v>
      </c>
    </row>
    <row r="1437" spans="1:113" ht="15" customHeight="1" x14ac:dyDescent="0.25">
      <c r="A1437" t="s">
        <v>6591</v>
      </c>
      <c r="B1437" t="s">
        <v>6592</v>
      </c>
      <c r="C1437" t="s">
        <v>6593</v>
      </c>
      <c r="D1437" t="s">
        <v>1234</v>
      </c>
      <c r="E1437" t="s">
        <v>1234</v>
      </c>
      <c r="F1437" t="s">
        <v>6594</v>
      </c>
      <c r="G1437">
        <v>2025</v>
      </c>
      <c r="H1437" t="s">
        <v>1160</v>
      </c>
      <c r="I1437" t="s">
        <v>90</v>
      </c>
      <c r="J1437">
        <v>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Y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S1437">
        <v>0</v>
      </c>
      <c r="AU1437">
        <v>0</v>
      </c>
      <c r="AV1437">
        <v>0</v>
      </c>
      <c r="AW1437">
        <v>0</v>
      </c>
      <c r="AX1437">
        <v>0</v>
      </c>
      <c r="AY1437">
        <v>6</v>
      </c>
      <c r="AZ1437">
        <v>0</v>
      </c>
      <c r="BA1437">
        <v>3</v>
      </c>
      <c r="BB1437">
        <v>1</v>
      </c>
      <c r="BC1437">
        <v>7</v>
      </c>
      <c r="BD1437">
        <v>0</v>
      </c>
      <c r="BE1437">
        <v>1</v>
      </c>
      <c r="BF1437">
        <v>7</v>
      </c>
      <c r="BG1437">
        <v>3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1</v>
      </c>
      <c r="BU1437">
        <v>5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C1437">
        <v>0</v>
      </c>
      <c r="DD1437">
        <v>0</v>
      </c>
      <c r="DE1437">
        <v>0</v>
      </c>
      <c r="DF1437">
        <v>0</v>
      </c>
      <c r="DH1437">
        <v>0</v>
      </c>
      <c r="DI1437">
        <v>0</v>
      </c>
    </row>
    <row r="1438" spans="1:113" ht="15" customHeight="1" x14ac:dyDescent="0.25">
      <c r="A1438" t="s">
        <v>6595</v>
      </c>
      <c r="B1438" t="s">
        <v>6596</v>
      </c>
      <c r="C1438" t="s">
        <v>6597</v>
      </c>
      <c r="D1438" t="s">
        <v>1350</v>
      </c>
      <c r="E1438" t="s">
        <v>1307</v>
      </c>
      <c r="F1438" t="s">
        <v>6598</v>
      </c>
      <c r="G1438">
        <v>2025</v>
      </c>
      <c r="H1438" t="s">
        <v>1160</v>
      </c>
      <c r="I1438" t="s">
        <v>133</v>
      </c>
      <c r="J1438">
        <v>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Y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S1438">
        <v>0</v>
      </c>
      <c r="AU1438">
        <v>0</v>
      </c>
      <c r="AV1438">
        <v>0</v>
      </c>
      <c r="AW1438">
        <v>0</v>
      </c>
      <c r="AX1438">
        <v>0</v>
      </c>
      <c r="AY1438">
        <v>10</v>
      </c>
      <c r="AZ1438">
        <v>0</v>
      </c>
      <c r="BA1438">
        <v>4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0</v>
      </c>
      <c r="BT1438">
        <v>1</v>
      </c>
      <c r="BU1438">
        <v>10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C1438">
        <v>0</v>
      </c>
      <c r="DD1438">
        <v>0</v>
      </c>
      <c r="DE1438">
        <v>0</v>
      </c>
      <c r="DF1438">
        <v>0</v>
      </c>
      <c r="DH1438">
        <v>0</v>
      </c>
      <c r="DI1438">
        <v>0</v>
      </c>
    </row>
    <row r="1439" spans="1:113" ht="15" customHeight="1" x14ac:dyDescent="0.25">
      <c r="A1439" t="s">
        <v>6599</v>
      </c>
      <c r="B1439" t="s">
        <v>6600</v>
      </c>
      <c r="C1439" t="s">
        <v>6601</v>
      </c>
      <c r="D1439" t="s">
        <v>1297</v>
      </c>
      <c r="E1439" t="s">
        <v>1220</v>
      </c>
      <c r="F1439" t="s">
        <v>6602</v>
      </c>
      <c r="G1439">
        <v>2025</v>
      </c>
      <c r="H1439" t="s">
        <v>1160</v>
      </c>
      <c r="I1439" t="s">
        <v>126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Y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S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5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C1439">
        <v>0</v>
      </c>
      <c r="DD1439">
        <v>0</v>
      </c>
      <c r="DE1439">
        <v>0</v>
      </c>
      <c r="DF1439">
        <v>0</v>
      </c>
      <c r="DH1439">
        <v>0</v>
      </c>
      <c r="DI1439">
        <v>0</v>
      </c>
    </row>
    <row r="1440" spans="1:113" ht="15" customHeight="1" x14ac:dyDescent="0.25">
      <c r="A1440" t="s">
        <v>6603</v>
      </c>
      <c r="B1440" t="s">
        <v>6604</v>
      </c>
      <c r="C1440" t="s">
        <v>6605</v>
      </c>
      <c r="D1440" t="s">
        <v>1158</v>
      </c>
      <c r="E1440" t="s">
        <v>1158</v>
      </c>
      <c r="F1440" t="s">
        <v>6606</v>
      </c>
      <c r="G1440">
        <v>2025</v>
      </c>
      <c r="H1440" t="s">
        <v>1160</v>
      </c>
      <c r="I1440" t="s">
        <v>121</v>
      </c>
      <c r="J1440">
        <v>14</v>
      </c>
      <c r="K1440">
        <v>273</v>
      </c>
      <c r="L1440">
        <v>423</v>
      </c>
      <c r="M1440">
        <v>3041</v>
      </c>
      <c r="N1440">
        <v>19</v>
      </c>
      <c r="O1440">
        <v>8</v>
      </c>
      <c r="P1440">
        <v>23</v>
      </c>
      <c r="Q1440">
        <v>-189</v>
      </c>
      <c r="R1440">
        <v>0</v>
      </c>
      <c r="S1440">
        <v>0</v>
      </c>
      <c r="T1440">
        <v>3405</v>
      </c>
      <c r="U1440">
        <v>1365</v>
      </c>
      <c r="V1440">
        <v>137</v>
      </c>
      <c r="W1440">
        <v>47.661198193578102</v>
      </c>
      <c r="X1440">
        <v>0.35767335249598797</v>
      </c>
      <c r="Y1440">
        <v>0</v>
      </c>
      <c r="Z1440">
        <v>0.89309838472834102</v>
      </c>
      <c r="AA1440">
        <v>48</v>
      </c>
      <c r="AB1440">
        <v>209</v>
      </c>
      <c r="AC1440">
        <v>1</v>
      </c>
      <c r="AD1440">
        <v>2</v>
      </c>
      <c r="AE1440">
        <v>0</v>
      </c>
      <c r="AF1440">
        <v>20</v>
      </c>
      <c r="AG1440">
        <v>15.042248274062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S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2</v>
      </c>
      <c r="BQ1440">
        <v>0</v>
      </c>
      <c r="BR1440">
        <v>0</v>
      </c>
      <c r="BS1440">
        <v>0</v>
      </c>
      <c r="BT1440">
        <v>2</v>
      </c>
      <c r="BU1440">
        <v>17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C1440">
        <v>0</v>
      </c>
      <c r="DD1440">
        <v>0</v>
      </c>
      <c r="DE1440">
        <v>0</v>
      </c>
      <c r="DF1440">
        <v>0</v>
      </c>
      <c r="DH1440">
        <v>208.54</v>
      </c>
      <c r="DI1440">
        <v>208.54</v>
      </c>
    </row>
    <row r="1441" spans="1:113" ht="15" customHeight="1" x14ac:dyDescent="0.25">
      <c r="A1441" t="s">
        <v>6607</v>
      </c>
      <c r="B1441" t="s">
        <v>6608</v>
      </c>
      <c r="C1441" t="s">
        <v>6609</v>
      </c>
      <c r="D1441" t="s">
        <v>1158</v>
      </c>
      <c r="E1441" t="s">
        <v>1158</v>
      </c>
      <c r="F1441" t="s">
        <v>6610</v>
      </c>
      <c r="G1441">
        <v>2025</v>
      </c>
      <c r="H1441" t="s">
        <v>1160</v>
      </c>
      <c r="I1441" t="s">
        <v>124</v>
      </c>
      <c r="J1441">
        <v>2</v>
      </c>
      <c r="K1441">
        <v>1</v>
      </c>
      <c r="L1441">
        <v>2</v>
      </c>
      <c r="M1441">
        <v>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31</v>
      </c>
      <c r="U1441">
        <v>7</v>
      </c>
      <c r="V1441">
        <v>1</v>
      </c>
      <c r="W1441">
        <v>-1.21161995315924</v>
      </c>
      <c r="X1441">
        <v>-8.0900430679321307</v>
      </c>
      <c r="Y1441">
        <v>0</v>
      </c>
      <c r="Z1441">
        <v>0.29032258064516098</v>
      </c>
      <c r="AA1441">
        <v>4</v>
      </c>
      <c r="AB1441">
        <v>-1</v>
      </c>
      <c r="AC1441">
        <v>0</v>
      </c>
      <c r="AD1441">
        <v>0</v>
      </c>
      <c r="AE1441">
        <v>0</v>
      </c>
      <c r="AF1441">
        <v>1</v>
      </c>
      <c r="AG1441">
        <v>-2.4298220174387102</v>
      </c>
      <c r="AH1441">
        <v>0</v>
      </c>
      <c r="AI1441">
        <v>1</v>
      </c>
      <c r="AJ1441">
        <v>1</v>
      </c>
      <c r="AK1441">
        <v>9</v>
      </c>
      <c r="AL1441">
        <v>0</v>
      </c>
      <c r="AM1441">
        <v>0</v>
      </c>
      <c r="AN1441">
        <v>0</v>
      </c>
      <c r="AO1441">
        <v>2</v>
      </c>
      <c r="AP1441">
        <v>7</v>
      </c>
      <c r="AQ1441">
        <v>1</v>
      </c>
      <c r="AR1441">
        <v>0.45754102151840897</v>
      </c>
      <c r="AS1441">
        <v>0</v>
      </c>
      <c r="AT1441">
        <v>4.5</v>
      </c>
      <c r="AU1441">
        <v>1.88679245283019E-3</v>
      </c>
      <c r="AV1441">
        <v>4.5662100456620998E-4</v>
      </c>
      <c r="AW1441">
        <v>3.14982338244163E-3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C1441">
        <v>0</v>
      </c>
      <c r="DD1441">
        <v>0</v>
      </c>
      <c r="DE1441">
        <v>0</v>
      </c>
      <c r="DF1441">
        <v>0</v>
      </c>
      <c r="DH1441">
        <v>1.1599999999999999</v>
      </c>
      <c r="DI1441">
        <v>2.16</v>
      </c>
    </row>
    <row r="1442" spans="1:113" ht="15" customHeight="1" x14ac:dyDescent="0.25">
      <c r="A1442" t="s">
        <v>6611</v>
      </c>
      <c r="B1442" t="s">
        <v>6612</v>
      </c>
      <c r="C1442" t="s">
        <v>944</v>
      </c>
      <c r="D1442" t="s">
        <v>431</v>
      </c>
      <c r="E1442" t="s">
        <v>431</v>
      </c>
      <c r="F1442" t="s">
        <v>6613</v>
      </c>
      <c r="G1442">
        <v>2025</v>
      </c>
      <c r="H1442" t="s">
        <v>1160</v>
      </c>
      <c r="I1442" t="s">
        <v>140</v>
      </c>
      <c r="J1442">
        <v>16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Y1442">
        <v>0</v>
      </c>
      <c r="AA1442">
        <v>184</v>
      </c>
      <c r="AB1442">
        <v>730</v>
      </c>
      <c r="AC1442">
        <v>12</v>
      </c>
      <c r="AD1442">
        <v>0</v>
      </c>
      <c r="AE1442">
        <v>0</v>
      </c>
      <c r="AF1442">
        <v>49</v>
      </c>
      <c r="AG1442">
        <v>-1.1562271384668701</v>
      </c>
      <c r="AH1442">
        <v>1</v>
      </c>
      <c r="AI1442">
        <v>20</v>
      </c>
      <c r="AJ1442">
        <v>24</v>
      </c>
      <c r="AK1442">
        <v>144</v>
      </c>
      <c r="AL1442">
        <v>0</v>
      </c>
      <c r="AM1442">
        <v>0</v>
      </c>
      <c r="AN1442">
        <v>0</v>
      </c>
      <c r="AO1442">
        <v>40</v>
      </c>
      <c r="AP1442">
        <v>123</v>
      </c>
      <c r="AQ1442">
        <v>7</v>
      </c>
      <c r="AR1442">
        <v>0.67355003836215999</v>
      </c>
      <c r="AS1442">
        <v>0</v>
      </c>
      <c r="AT1442">
        <v>3.6</v>
      </c>
      <c r="AU1442">
        <v>5.2747252747252803E-2</v>
      </c>
      <c r="AV1442">
        <v>1.06439595529537E-2</v>
      </c>
      <c r="AW1442">
        <v>8.6571650807946696E-2</v>
      </c>
      <c r="AX1442">
        <v>0</v>
      </c>
      <c r="AY1442">
        <v>0</v>
      </c>
      <c r="AZ1442">
        <v>0</v>
      </c>
      <c r="BA1442">
        <v>1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C1442">
        <v>0</v>
      </c>
      <c r="DD1442">
        <v>0</v>
      </c>
      <c r="DE1442">
        <v>0</v>
      </c>
      <c r="DF1442">
        <v>0</v>
      </c>
      <c r="DH1442">
        <v>161.4</v>
      </c>
      <c r="DI1442">
        <v>181.4</v>
      </c>
    </row>
    <row r="1443" spans="1:113" ht="15" customHeight="1" x14ac:dyDescent="0.25">
      <c r="A1443" t="s">
        <v>6614</v>
      </c>
      <c r="B1443" t="s">
        <v>6615</v>
      </c>
      <c r="C1443" t="s">
        <v>6616</v>
      </c>
      <c r="D1443" t="s">
        <v>1350</v>
      </c>
      <c r="E1443" t="s">
        <v>1307</v>
      </c>
      <c r="F1443" t="s">
        <v>6617</v>
      </c>
      <c r="G1443">
        <v>2025</v>
      </c>
      <c r="H1443" t="s">
        <v>1160</v>
      </c>
      <c r="I1443" t="s">
        <v>103</v>
      </c>
      <c r="J1443">
        <v>14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Y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S1443">
        <v>0</v>
      </c>
      <c r="AU1443">
        <v>0</v>
      </c>
      <c r="AV1443">
        <v>0</v>
      </c>
      <c r="AW1443">
        <v>0</v>
      </c>
      <c r="AX1443">
        <v>0</v>
      </c>
      <c r="AY1443">
        <v>34</v>
      </c>
      <c r="AZ1443">
        <v>1</v>
      </c>
      <c r="BA1443">
        <v>17</v>
      </c>
      <c r="BB1443">
        <v>0</v>
      </c>
      <c r="BC1443">
        <v>0</v>
      </c>
      <c r="BD1443">
        <v>0</v>
      </c>
      <c r="BE1443">
        <v>1</v>
      </c>
      <c r="BF1443">
        <v>0</v>
      </c>
      <c r="BG1443">
        <v>0</v>
      </c>
      <c r="BH1443">
        <v>1</v>
      </c>
      <c r="BI1443">
        <v>0</v>
      </c>
      <c r="BJ1443">
        <v>14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6</v>
      </c>
      <c r="BU1443">
        <v>56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C1443">
        <v>0</v>
      </c>
      <c r="DD1443">
        <v>0</v>
      </c>
      <c r="DE1443">
        <v>0</v>
      </c>
      <c r="DF1443">
        <v>0</v>
      </c>
      <c r="DH1443">
        <v>0</v>
      </c>
      <c r="DI1443">
        <v>0</v>
      </c>
    </row>
    <row r="1444" spans="1:113" ht="15" customHeight="1" x14ac:dyDescent="0.25">
      <c r="A1444" t="s">
        <v>6618</v>
      </c>
      <c r="B1444" t="s">
        <v>6619</v>
      </c>
      <c r="C1444" t="s">
        <v>6620</v>
      </c>
      <c r="D1444" t="s">
        <v>1350</v>
      </c>
      <c r="E1444" t="s">
        <v>1307</v>
      </c>
      <c r="F1444" t="s">
        <v>6621</v>
      </c>
      <c r="G1444">
        <v>2025</v>
      </c>
      <c r="H1444" t="s">
        <v>1160</v>
      </c>
      <c r="I1444" t="s">
        <v>140</v>
      </c>
      <c r="J1444">
        <v>12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Y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S1444">
        <v>0</v>
      </c>
      <c r="AU1444">
        <v>0</v>
      </c>
      <c r="AV1444">
        <v>0</v>
      </c>
      <c r="AW1444">
        <v>0</v>
      </c>
      <c r="AX1444">
        <v>0</v>
      </c>
      <c r="AY1444">
        <v>48</v>
      </c>
      <c r="AZ1444">
        <v>0</v>
      </c>
      <c r="BA1444">
        <v>24</v>
      </c>
      <c r="BB1444">
        <v>2</v>
      </c>
      <c r="BC1444">
        <v>2</v>
      </c>
      <c r="BD1444">
        <v>0</v>
      </c>
      <c r="BE1444">
        <v>0.5</v>
      </c>
      <c r="BF1444">
        <v>3.5</v>
      </c>
      <c r="BG1444">
        <v>4</v>
      </c>
      <c r="BH1444">
        <v>1</v>
      </c>
      <c r="BI1444">
        <v>3</v>
      </c>
      <c r="BJ1444">
        <v>7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1</v>
      </c>
      <c r="BR1444">
        <v>1</v>
      </c>
      <c r="BS1444">
        <v>0</v>
      </c>
      <c r="BT1444">
        <v>2</v>
      </c>
      <c r="BU1444">
        <v>24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C1444">
        <v>0</v>
      </c>
      <c r="DD1444">
        <v>0</v>
      </c>
      <c r="DE1444">
        <v>0</v>
      </c>
      <c r="DF1444">
        <v>0</v>
      </c>
      <c r="DH1444">
        <v>0</v>
      </c>
      <c r="DI1444">
        <v>0</v>
      </c>
    </row>
    <row r="1445" spans="1:113" ht="15" customHeight="1" x14ac:dyDescent="0.25">
      <c r="A1445" t="s">
        <v>6622</v>
      </c>
      <c r="B1445" t="s">
        <v>2636</v>
      </c>
      <c r="C1445" t="s">
        <v>6623</v>
      </c>
      <c r="D1445" t="s">
        <v>1168</v>
      </c>
      <c r="E1445" t="s">
        <v>1169</v>
      </c>
      <c r="F1445" t="s">
        <v>6624</v>
      </c>
      <c r="G1445">
        <v>2025</v>
      </c>
      <c r="H1445" t="s">
        <v>1160</v>
      </c>
      <c r="I1445" t="s">
        <v>111</v>
      </c>
      <c r="J1445">
        <v>17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Y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S1445">
        <v>0</v>
      </c>
      <c r="AU1445">
        <v>0</v>
      </c>
      <c r="AV1445">
        <v>0</v>
      </c>
      <c r="AW1445">
        <v>0</v>
      </c>
      <c r="AX1445">
        <v>0</v>
      </c>
      <c r="AY1445">
        <v>3</v>
      </c>
      <c r="AZ1445">
        <v>0</v>
      </c>
      <c r="BA1445">
        <v>1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5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27</v>
      </c>
      <c r="CA1445">
        <v>34</v>
      </c>
      <c r="CB1445">
        <v>5</v>
      </c>
      <c r="CC1445">
        <v>2</v>
      </c>
      <c r="CD1445">
        <v>59</v>
      </c>
      <c r="CE1445">
        <v>0.79411764705882404</v>
      </c>
      <c r="CF1445">
        <v>0</v>
      </c>
      <c r="CG1445">
        <v>6</v>
      </c>
      <c r="CH1445">
        <v>8</v>
      </c>
      <c r="CI1445">
        <v>9</v>
      </c>
      <c r="CJ1445">
        <v>4</v>
      </c>
      <c r="CK1445">
        <v>0</v>
      </c>
      <c r="CL1445">
        <v>0</v>
      </c>
      <c r="CM1445">
        <v>0</v>
      </c>
      <c r="CN1445">
        <v>0</v>
      </c>
      <c r="CO1445">
        <v>1</v>
      </c>
      <c r="CP1445">
        <v>3</v>
      </c>
      <c r="CQ1445">
        <v>1</v>
      </c>
      <c r="CR1445" t="s">
        <v>6625</v>
      </c>
      <c r="CS1445" t="s">
        <v>6626</v>
      </c>
      <c r="CT1445" t="s">
        <v>6627</v>
      </c>
      <c r="CU1445">
        <v>1066</v>
      </c>
      <c r="CV1445">
        <v>272</v>
      </c>
      <c r="CW1445">
        <v>97</v>
      </c>
      <c r="CX1445">
        <v>54</v>
      </c>
      <c r="CY1445">
        <v>56</v>
      </c>
      <c r="CZ1445">
        <v>1</v>
      </c>
      <c r="DA1445">
        <v>1</v>
      </c>
      <c r="DB1445">
        <v>0.96428571428571397</v>
      </c>
      <c r="DC1445">
        <v>1</v>
      </c>
      <c r="DD1445">
        <v>1</v>
      </c>
      <c r="DE1445">
        <v>0</v>
      </c>
      <c r="DF1445">
        <v>0</v>
      </c>
      <c r="DG1445">
        <v>42</v>
      </c>
      <c r="DH1445">
        <v>0</v>
      </c>
      <c r="DI1445">
        <v>0</v>
      </c>
    </row>
    <row r="1446" spans="1:113" ht="15" customHeight="1" x14ac:dyDescent="0.25">
      <c r="A1446" t="s">
        <v>6628</v>
      </c>
      <c r="B1446" t="s">
        <v>6629</v>
      </c>
      <c r="C1446" t="s">
        <v>6630</v>
      </c>
      <c r="D1446" t="s">
        <v>1219</v>
      </c>
      <c r="E1446" t="s">
        <v>1220</v>
      </c>
      <c r="F1446" t="s">
        <v>6631</v>
      </c>
      <c r="G1446">
        <v>2025</v>
      </c>
      <c r="H1446" t="s">
        <v>1160</v>
      </c>
      <c r="I1446" t="s">
        <v>123</v>
      </c>
      <c r="J1446">
        <v>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Y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S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4</v>
      </c>
      <c r="BU1446">
        <v>30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C1446">
        <v>0</v>
      </c>
      <c r="DD1446">
        <v>0</v>
      </c>
      <c r="DE1446">
        <v>0</v>
      </c>
      <c r="DF1446">
        <v>0</v>
      </c>
      <c r="DH1446">
        <v>0</v>
      </c>
      <c r="DI1446">
        <v>0</v>
      </c>
    </row>
    <row r="1447" spans="1:113" ht="15" customHeight="1" x14ac:dyDescent="0.25">
      <c r="A1447" t="s">
        <v>6632</v>
      </c>
      <c r="B1447" t="s">
        <v>6633</v>
      </c>
      <c r="C1447" t="s">
        <v>6634</v>
      </c>
      <c r="D1447" t="s">
        <v>1243</v>
      </c>
      <c r="E1447" t="s">
        <v>1190</v>
      </c>
      <c r="F1447" t="s">
        <v>6635</v>
      </c>
      <c r="G1447">
        <v>2025</v>
      </c>
      <c r="H1447" t="s">
        <v>1160</v>
      </c>
      <c r="I1447" t="s">
        <v>97</v>
      </c>
      <c r="J1447">
        <v>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Y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S1447">
        <v>0</v>
      </c>
      <c r="AU1447">
        <v>0</v>
      </c>
      <c r="AV1447">
        <v>0</v>
      </c>
      <c r="AW1447">
        <v>0</v>
      </c>
      <c r="AX1447">
        <v>0</v>
      </c>
      <c r="AY1447">
        <v>7</v>
      </c>
      <c r="AZ1447">
        <v>0</v>
      </c>
      <c r="BA1447">
        <v>8</v>
      </c>
      <c r="BB1447">
        <v>1</v>
      </c>
      <c r="BC1447">
        <v>1</v>
      </c>
      <c r="BD1447">
        <v>0</v>
      </c>
      <c r="BE1447">
        <v>0</v>
      </c>
      <c r="BF1447">
        <v>0</v>
      </c>
      <c r="BG1447">
        <v>1</v>
      </c>
      <c r="BH1447">
        <v>0</v>
      </c>
      <c r="BI1447">
        <v>0</v>
      </c>
      <c r="BJ1447">
        <v>1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2</v>
      </c>
      <c r="BU1447">
        <v>10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C1447">
        <v>0</v>
      </c>
      <c r="DD1447">
        <v>0</v>
      </c>
      <c r="DE1447">
        <v>0</v>
      </c>
      <c r="DF1447">
        <v>0</v>
      </c>
      <c r="DH1447">
        <v>0</v>
      </c>
      <c r="DI1447">
        <v>0</v>
      </c>
    </row>
    <row r="1448" spans="1:113" ht="15" customHeight="1" x14ac:dyDescent="0.25">
      <c r="A1448" t="s">
        <v>6636</v>
      </c>
      <c r="B1448" t="s">
        <v>6637</v>
      </c>
      <c r="C1448" t="s">
        <v>6638</v>
      </c>
      <c r="D1448" t="s">
        <v>1234</v>
      </c>
      <c r="E1448" t="s">
        <v>1234</v>
      </c>
      <c r="F1448" t="s">
        <v>6639</v>
      </c>
      <c r="G1448">
        <v>2025</v>
      </c>
      <c r="H1448" t="s">
        <v>1160</v>
      </c>
      <c r="I1448" t="s">
        <v>124</v>
      </c>
      <c r="J1448">
        <v>13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Y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S1448">
        <v>0</v>
      </c>
      <c r="AU1448">
        <v>0</v>
      </c>
      <c r="AV1448">
        <v>0</v>
      </c>
      <c r="AW1448">
        <v>0</v>
      </c>
      <c r="AX1448">
        <v>0</v>
      </c>
      <c r="AY1448">
        <v>13</v>
      </c>
      <c r="AZ1448">
        <v>0</v>
      </c>
      <c r="BA1448">
        <v>19</v>
      </c>
      <c r="BB1448">
        <v>0</v>
      </c>
      <c r="BC1448">
        <v>0</v>
      </c>
      <c r="BD1448">
        <v>0</v>
      </c>
      <c r="BE1448">
        <v>0.5</v>
      </c>
      <c r="BF1448">
        <v>0.5</v>
      </c>
      <c r="BG1448">
        <v>2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C1448">
        <v>0</v>
      </c>
      <c r="DD1448">
        <v>0</v>
      </c>
      <c r="DE1448">
        <v>0</v>
      </c>
      <c r="DF1448">
        <v>0</v>
      </c>
      <c r="DH1448">
        <v>0</v>
      </c>
      <c r="DI1448">
        <v>0</v>
      </c>
    </row>
    <row r="1449" spans="1:113" ht="15" customHeight="1" x14ac:dyDescent="0.25">
      <c r="A1449" t="s">
        <v>6640</v>
      </c>
      <c r="B1449" t="s">
        <v>6641</v>
      </c>
      <c r="C1449" t="s">
        <v>6642</v>
      </c>
      <c r="D1449" t="s">
        <v>1189</v>
      </c>
      <c r="E1449" t="s">
        <v>1190</v>
      </c>
      <c r="F1449" t="s">
        <v>6643</v>
      </c>
      <c r="G1449">
        <v>2025</v>
      </c>
      <c r="H1449" t="s">
        <v>1160</v>
      </c>
      <c r="I1449" t="s">
        <v>124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Y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S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1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C1449">
        <v>0</v>
      </c>
      <c r="DD1449">
        <v>0</v>
      </c>
      <c r="DE1449">
        <v>0</v>
      </c>
      <c r="DF1449">
        <v>0</v>
      </c>
      <c r="DH1449">
        <v>0</v>
      </c>
      <c r="DI1449">
        <v>0</v>
      </c>
    </row>
    <row r="1450" spans="1:113" ht="15" customHeight="1" x14ac:dyDescent="0.25">
      <c r="A1450" t="s">
        <v>6644</v>
      </c>
      <c r="B1450" t="s">
        <v>6645</v>
      </c>
      <c r="C1450" t="s">
        <v>6646</v>
      </c>
      <c r="D1450" t="s">
        <v>1168</v>
      </c>
      <c r="E1450" t="s">
        <v>1169</v>
      </c>
      <c r="F1450" t="s">
        <v>6647</v>
      </c>
      <c r="G1450">
        <v>2025</v>
      </c>
      <c r="H1450" t="s">
        <v>1160</v>
      </c>
      <c r="I1450" t="s">
        <v>138</v>
      </c>
      <c r="J1450">
        <v>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Y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S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12</v>
      </c>
      <c r="CA1450">
        <v>16</v>
      </c>
      <c r="CB1450">
        <v>4</v>
      </c>
      <c r="CC1450">
        <v>0</v>
      </c>
      <c r="CD1450">
        <v>57</v>
      </c>
      <c r="CE1450">
        <v>0.75</v>
      </c>
      <c r="CF1450">
        <v>0</v>
      </c>
      <c r="CG1450">
        <v>1</v>
      </c>
      <c r="CH1450">
        <v>4</v>
      </c>
      <c r="CI1450">
        <v>3</v>
      </c>
      <c r="CJ1450">
        <v>4</v>
      </c>
      <c r="CK1450">
        <v>0</v>
      </c>
      <c r="CL1450">
        <v>0</v>
      </c>
      <c r="CM1450">
        <v>0</v>
      </c>
      <c r="CN1450">
        <v>0</v>
      </c>
      <c r="CO1450">
        <v>2</v>
      </c>
      <c r="CP1450">
        <v>1</v>
      </c>
      <c r="CQ1450">
        <v>1</v>
      </c>
      <c r="CR1450" t="s">
        <v>6648</v>
      </c>
      <c r="CS1450" t="s">
        <v>6649</v>
      </c>
      <c r="CU1450">
        <v>526</v>
      </c>
      <c r="CV1450">
        <v>208</v>
      </c>
      <c r="CW1450">
        <v>0</v>
      </c>
      <c r="CX1450">
        <v>13</v>
      </c>
      <c r="CY1450">
        <v>13</v>
      </c>
      <c r="CZ1450">
        <v>0</v>
      </c>
      <c r="DA1450">
        <v>0</v>
      </c>
      <c r="DB1450">
        <v>1</v>
      </c>
      <c r="DC1450">
        <v>0</v>
      </c>
      <c r="DD1450">
        <v>0</v>
      </c>
      <c r="DE1450">
        <v>0</v>
      </c>
      <c r="DF1450">
        <v>0</v>
      </c>
      <c r="DH1450">
        <v>0</v>
      </c>
      <c r="DI1450">
        <v>0</v>
      </c>
    </row>
    <row r="1451" spans="1:113" ht="15" customHeight="1" x14ac:dyDescent="0.25">
      <c r="A1451" t="s">
        <v>6650</v>
      </c>
      <c r="B1451" t="s">
        <v>6651</v>
      </c>
      <c r="C1451" t="s">
        <v>6652</v>
      </c>
      <c r="D1451" t="s">
        <v>1350</v>
      </c>
      <c r="E1451" t="s">
        <v>1307</v>
      </c>
      <c r="F1451" t="s">
        <v>6653</v>
      </c>
      <c r="G1451">
        <v>2025</v>
      </c>
      <c r="H1451" t="s">
        <v>1160</v>
      </c>
      <c r="I1451" t="s">
        <v>97</v>
      </c>
      <c r="J1451">
        <v>17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Y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S1451">
        <v>0</v>
      </c>
      <c r="AU1451">
        <v>0</v>
      </c>
      <c r="AV1451">
        <v>0</v>
      </c>
      <c r="AW1451">
        <v>0</v>
      </c>
      <c r="AX1451">
        <v>0</v>
      </c>
      <c r="AY1451">
        <v>57</v>
      </c>
      <c r="AZ1451">
        <v>0</v>
      </c>
      <c r="BA1451">
        <v>19</v>
      </c>
      <c r="BB1451">
        <v>2</v>
      </c>
      <c r="BC1451">
        <v>2</v>
      </c>
      <c r="BD1451">
        <v>0</v>
      </c>
      <c r="BE1451">
        <v>0</v>
      </c>
      <c r="BF1451">
        <v>0</v>
      </c>
      <c r="BG1451">
        <v>0</v>
      </c>
      <c r="BH1451">
        <v>3</v>
      </c>
      <c r="BI1451">
        <v>84</v>
      </c>
      <c r="BJ1451">
        <v>14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5</v>
      </c>
      <c r="BU1451">
        <v>59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C1451">
        <v>0</v>
      </c>
      <c r="DD1451">
        <v>0</v>
      </c>
      <c r="DE1451">
        <v>0</v>
      </c>
      <c r="DF1451">
        <v>0</v>
      </c>
      <c r="DH1451">
        <v>0</v>
      </c>
      <c r="DI1451">
        <v>0</v>
      </c>
    </row>
    <row r="1452" spans="1:113" ht="15" customHeight="1" x14ac:dyDescent="0.25">
      <c r="A1452" t="s">
        <v>6654</v>
      </c>
      <c r="B1452" t="s">
        <v>6655</v>
      </c>
      <c r="C1452" t="s">
        <v>6656</v>
      </c>
      <c r="D1452" t="s">
        <v>1219</v>
      </c>
      <c r="E1452" t="s">
        <v>1220</v>
      </c>
      <c r="F1452" t="s">
        <v>6657</v>
      </c>
      <c r="G1452">
        <v>2025</v>
      </c>
      <c r="H1452" t="s">
        <v>1160</v>
      </c>
      <c r="I1452" t="s">
        <v>97</v>
      </c>
      <c r="J1452">
        <v>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Y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S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4</v>
      </c>
      <c r="BU1452">
        <v>19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C1452">
        <v>0</v>
      </c>
      <c r="DD1452">
        <v>0</v>
      </c>
      <c r="DE1452">
        <v>0</v>
      </c>
      <c r="DF1452">
        <v>0</v>
      </c>
      <c r="DH1452">
        <v>0</v>
      </c>
      <c r="DI1452">
        <v>0</v>
      </c>
    </row>
    <row r="1453" spans="1:113" ht="15" customHeight="1" x14ac:dyDescent="0.25">
      <c r="A1453" t="s">
        <v>6658</v>
      </c>
      <c r="B1453" t="s">
        <v>6659</v>
      </c>
      <c r="C1453" t="s">
        <v>6660</v>
      </c>
      <c r="D1453" t="s">
        <v>1350</v>
      </c>
      <c r="E1453" t="s">
        <v>1307</v>
      </c>
      <c r="F1453" t="s">
        <v>6661</v>
      </c>
      <c r="G1453">
        <v>2025</v>
      </c>
      <c r="H1453" t="s">
        <v>1160</v>
      </c>
      <c r="I1453" t="s">
        <v>97</v>
      </c>
      <c r="J1453">
        <v>16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Y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S1453">
        <v>0</v>
      </c>
      <c r="AU1453">
        <v>0</v>
      </c>
      <c r="AV1453">
        <v>0</v>
      </c>
      <c r="AW1453">
        <v>0</v>
      </c>
      <c r="AX1453">
        <v>0</v>
      </c>
      <c r="AY1453">
        <v>21</v>
      </c>
      <c r="AZ1453">
        <v>0</v>
      </c>
      <c r="BA1453">
        <v>8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2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2</v>
      </c>
      <c r="BU1453">
        <v>27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C1453">
        <v>0</v>
      </c>
      <c r="DD1453">
        <v>0</v>
      </c>
      <c r="DE1453">
        <v>0</v>
      </c>
      <c r="DF1453">
        <v>0</v>
      </c>
      <c r="DH1453">
        <v>0</v>
      </c>
      <c r="DI1453">
        <v>0</v>
      </c>
    </row>
    <row r="1454" spans="1:113" ht="15" customHeight="1" x14ac:dyDescent="0.25">
      <c r="A1454" t="s">
        <v>6662</v>
      </c>
      <c r="B1454" t="s">
        <v>6663</v>
      </c>
      <c r="C1454" t="s">
        <v>6664</v>
      </c>
      <c r="D1454" t="s">
        <v>1684</v>
      </c>
      <c r="E1454" t="s">
        <v>1307</v>
      </c>
      <c r="F1454" t="s">
        <v>6665</v>
      </c>
      <c r="G1454">
        <v>2025</v>
      </c>
      <c r="H1454" t="s">
        <v>1160</v>
      </c>
      <c r="I1454" t="s">
        <v>142</v>
      </c>
      <c r="J1454">
        <v>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Y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S1454">
        <v>0</v>
      </c>
      <c r="AU1454">
        <v>0</v>
      </c>
      <c r="AV1454">
        <v>0</v>
      </c>
      <c r="AW1454">
        <v>0</v>
      </c>
      <c r="AX1454">
        <v>0</v>
      </c>
      <c r="AY1454">
        <v>3</v>
      </c>
      <c r="AZ1454">
        <v>0</v>
      </c>
      <c r="BA1454">
        <v>5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5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1</v>
      </c>
      <c r="BU1454">
        <v>25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C1454">
        <v>0</v>
      </c>
      <c r="DD1454">
        <v>0</v>
      </c>
      <c r="DE1454">
        <v>0</v>
      </c>
      <c r="DF1454">
        <v>0</v>
      </c>
      <c r="DH1454">
        <v>0</v>
      </c>
      <c r="DI1454">
        <v>0</v>
      </c>
    </row>
    <row r="1455" spans="1:113" ht="15" customHeight="1" x14ac:dyDescent="0.25">
      <c r="A1455" t="s">
        <v>6666</v>
      </c>
      <c r="B1455" t="s">
        <v>6667</v>
      </c>
      <c r="C1455" t="s">
        <v>6668</v>
      </c>
      <c r="D1455" t="s">
        <v>1684</v>
      </c>
      <c r="E1455" t="s">
        <v>1307</v>
      </c>
      <c r="F1455" t="s">
        <v>6669</v>
      </c>
      <c r="G1455">
        <v>2025</v>
      </c>
      <c r="H1455" t="s">
        <v>1160</v>
      </c>
      <c r="I1455" t="s">
        <v>139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Y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S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0</v>
      </c>
      <c r="BA1455">
        <v>1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C1455">
        <v>0</v>
      </c>
      <c r="DD1455">
        <v>0</v>
      </c>
      <c r="DE1455">
        <v>0</v>
      </c>
      <c r="DF1455">
        <v>0</v>
      </c>
      <c r="DH1455">
        <v>0</v>
      </c>
      <c r="DI1455">
        <v>0</v>
      </c>
    </row>
    <row r="1456" spans="1:113" ht="15" customHeight="1" x14ac:dyDescent="0.25">
      <c r="A1456" t="s">
        <v>6670</v>
      </c>
      <c r="B1456" t="s">
        <v>6671</v>
      </c>
      <c r="C1456" t="s">
        <v>549</v>
      </c>
      <c r="D1456" t="s">
        <v>431</v>
      </c>
      <c r="E1456" t="s">
        <v>431</v>
      </c>
      <c r="F1456" t="s">
        <v>6672</v>
      </c>
      <c r="G1456">
        <v>2025</v>
      </c>
      <c r="H1456" t="s">
        <v>1160</v>
      </c>
      <c r="I1456" t="s">
        <v>107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Y1456">
        <v>0</v>
      </c>
      <c r="AA1456">
        <v>2</v>
      </c>
      <c r="AB1456">
        <v>2</v>
      </c>
      <c r="AC1456">
        <v>0</v>
      </c>
      <c r="AD1456">
        <v>0</v>
      </c>
      <c r="AE1456">
        <v>0</v>
      </c>
      <c r="AF1456">
        <v>0</v>
      </c>
      <c r="AG1456">
        <v>0.85844106751028504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S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C1456">
        <v>0</v>
      </c>
      <c r="DD1456">
        <v>0</v>
      </c>
      <c r="DE1456">
        <v>0</v>
      </c>
      <c r="DF1456">
        <v>0</v>
      </c>
      <c r="DH1456">
        <v>0.2</v>
      </c>
      <c r="DI1456">
        <v>0.2</v>
      </c>
    </row>
    <row r="1457" spans="1:113" ht="15" customHeight="1" x14ac:dyDescent="0.25">
      <c r="A1457" t="s">
        <v>6673</v>
      </c>
      <c r="B1457" t="s">
        <v>6674</v>
      </c>
      <c r="C1457" t="s">
        <v>6675</v>
      </c>
      <c r="D1457" t="s">
        <v>1684</v>
      </c>
      <c r="E1457" t="s">
        <v>1307</v>
      </c>
      <c r="F1457" t="s">
        <v>6676</v>
      </c>
      <c r="G1457">
        <v>2025</v>
      </c>
      <c r="H1457" t="s">
        <v>1160</v>
      </c>
      <c r="I1457" t="s">
        <v>120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Y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S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C1457">
        <v>0</v>
      </c>
      <c r="DD1457">
        <v>0</v>
      </c>
      <c r="DE1457">
        <v>0</v>
      </c>
      <c r="DF1457">
        <v>0</v>
      </c>
      <c r="DH1457">
        <v>0</v>
      </c>
      <c r="DI1457">
        <v>0</v>
      </c>
    </row>
    <row r="1458" spans="1:113" ht="15" customHeight="1" x14ac:dyDescent="0.25">
      <c r="A1458" t="s">
        <v>6677</v>
      </c>
      <c r="B1458" t="s">
        <v>6678</v>
      </c>
      <c r="C1458" t="s">
        <v>6679</v>
      </c>
      <c r="D1458" t="s">
        <v>1189</v>
      </c>
      <c r="E1458" t="s">
        <v>1190</v>
      </c>
      <c r="F1458" t="s">
        <v>6680</v>
      </c>
      <c r="G1458">
        <v>2025</v>
      </c>
      <c r="H1458" t="s">
        <v>1160</v>
      </c>
      <c r="I1458" t="s">
        <v>101</v>
      </c>
      <c r="J1458">
        <v>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Y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S1458">
        <v>0</v>
      </c>
      <c r="AU1458">
        <v>0</v>
      </c>
      <c r="AV1458">
        <v>0</v>
      </c>
      <c r="AW1458">
        <v>0</v>
      </c>
      <c r="AX1458">
        <v>0</v>
      </c>
      <c r="AY1458">
        <v>7</v>
      </c>
      <c r="AZ1458">
        <v>0</v>
      </c>
      <c r="BA1458">
        <v>8</v>
      </c>
      <c r="BB1458">
        <v>1</v>
      </c>
      <c r="BC1458">
        <v>1</v>
      </c>
      <c r="BD1458">
        <v>0</v>
      </c>
      <c r="BE1458">
        <v>1</v>
      </c>
      <c r="BF1458">
        <v>1</v>
      </c>
      <c r="BG1458">
        <v>2</v>
      </c>
      <c r="BH1458">
        <v>0</v>
      </c>
      <c r="BI1458">
        <v>0</v>
      </c>
      <c r="BJ1458">
        <v>1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C1458">
        <v>0</v>
      </c>
      <c r="DD1458">
        <v>0</v>
      </c>
      <c r="DE1458">
        <v>0</v>
      </c>
      <c r="DF1458">
        <v>0</v>
      </c>
      <c r="DH1458">
        <v>0</v>
      </c>
      <c r="DI1458">
        <v>0</v>
      </c>
    </row>
    <row r="1459" spans="1:113" ht="15" customHeight="1" x14ac:dyDescent="0.25">
      <c r="A1459" t="s">
        <v>6681</v>
      </c>
      <c r="B1459" t="s">
        <v>6682</v>
      </c>
      <c r="C1459" t="s">
        <v>6683</v>
      </c>
      <c r="D1459" t="s">
        <v>1307</v>
      </c>
      <c r="E1459" t="s">
        <v>1307</v>
      </c>
      <c r="F1459" t="s">
        <v>6684</v>
      </c>
      <c r="G1459">
        <v>2025</v>
      </c>
      <c r="H1459" t="s">
        <v>1160</v>
      </c>
      <c r="I1459" t="s">
        <v>101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Y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S1459">
        <v>0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1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C1459">
        <v>0</v>
      </c>
      <c r="DD1459">
        <v>0</v>
      </c>
      <c r="DE1459">
        <v>0</v>
      </c>
      <c r="DF1459">
        <v>0</v>
      </c>
      <c r="DH1459">
        <v>0</v>
      </c>
      <c r="DI1459">
        <v>0</v>
      </c>
    </row>
    <row r="1460" spans="1:113" ht="15" customHeight="1" x14ac:dyDescent="0.25">
      <c r="A1460" t="s">
        <v>6685</v>
      </c>
      <c r="B1460" t="s">
        <v>6686</v>
      </c>
      <c r="C1460" t="s">
        <v>6687</v>
      </c>
      <c r="D1460" t="s">
        <v>1234</v>
      </c>
      <c r="E1460" t="s">
        <v>1234</v>
      </c>
      <c r="F1460" t="s">
        <v>6688</v>
      </c>
      <c r="G1460">
        <v>2025</v>
      </c>
      <c r="H1460" t="s">
        <v>1160</v>
      </c>
      <c r="I1460" t="s">
        <v>101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Y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S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C1460">
        <v>0</v>
      </c>
      <c r="DD1460">
        <v>0</v>
      </c>
      <c r="DE1460">
        <v>0</v>
      </c>
      <c r="DF1460">
        <v>0</v>
      </c>
      <c r="DH1460">
        <v>0</v>
      </c>
      <c r="DI1460">
        <v>0</v>
      </c>
    </row>
    <row r="1461" spans="1:113" ht="15" customHeight="1" x14ac:dyDescent="0.25">
      <c r="A1461" t="s">
        <v>6689</v>
      </c>
      <c r="B1461" t="s">
        <v>6690</v>
      </c>
      <c r="C1461" t="s">
        <v>6691</v>
      </c>
      <c r="D1461" t="s">
        <v>1243</v>
      </c>
      <c r="E1461" t="s">
        <v>1190</v>
      </c>
      <c r="F1461" t="s">
        <v>6692</v>
      </c>
      <c r="G1461">
        <v>2025</v>
      </c>
      <c r="H1461" t="s">
        <v>1160</v>
      </c>
      <c r="I1461" t="s">
        <v>114</v>
      </c>
      <c r="J1461">
        <v>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Y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S1461">
        <v>0</v>
      </c>
      <c r="AU1461">
        <v>0</v>
      </c>
      <c r="AV1461">
        <v>0</v>
      </c>
      <c r="AW1461">
        <v>0</v>
      </c>
      <c r="AX1461">
        <v>0</v>
      </c>
      <c r="AY1461">
        <v>4</v>
      </c>
      <c r="AZ1461">
        <v>1</v>
      </c>
      <c r="BA1461">
        <v>6</v>
      </c>
      <c r="BB1461">
        <v>1</v>
      </c>
      <c r="BC1461">
        <v>5</v>
      </c>
      <c r="BD1461">
        <v>0</v>
      </c>
      <c r="BE1461">
        <v>0</v>
      </c>
      <c r="BF1461">
        <v>0</v>
      </c>
      <c r="BG1461">
        <v>1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C1461">
        <v>0</v>
      </c>
      <c r="DD1461">
        <v>0</v>
      </c>
      <c r="DE1461">
        <v>0</v>
      </c>
      <c r="DF1461">
        <v>0</v>
      </c>
      <c r="DH1461">
        <v>0</v>
      </c>
      <c r="DI1461">
        <v>0</v>
      </c>
    </row>
    <row r="1462" spans="1:113" ht="15" customHeight="1" x14ac:dyDescent="0.25">
      <c r="A1462" t="s">
        <v>6693</v>
      </c>
      <c r="B1462" t="s">
        <v>6694</v>
      </c>
      <c r="C1462" t="s">
        <v>6695</v>
      </c>
      <c r="D1462" t="s">
        <v>1189</v>
      </c>
      <c r="E1462" t="s">
        <v>1190</v>
      </c>
      <c r="F1462" t="s">
        <v>6696</v>
      </c>
      <c r="G1462">
        <v>2025</v>
      </c>
      <c r="H1462" t="s">
        <v>1160</v>
      </c>
      <c r="I1462" t="s">
        <v>101</v>
      </c>
      <c r="J1462">
        <v>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Y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S1462">
        <v>0</v>
      </c>
      <c r="AU1462">
        <v>0</v>
      </c>
      <c r="AV1462">
        <v>0</v>
      </c>
      <c r="AW1462">
        <v>0</v>
      </c>
      <c r="AX1462">
        <v>0</v>
      </c>
      <c r="AY1462">
        <v>6</v>
      </c>
      <c r="AZ1462">
        <v>0</v>
      </c>
      <c r="BA1462">
        <v>4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C1462">
        <v>0</v>
      </c>
      <c r="DD1462">
        <v>0</v>
      </c>
      <c r="DE1462">
        <v>0</v>
      </c>
      <c r="DF1462">
        <v>0</v>
      </c>
      <c r="DH1462">
        <v>0</v>
      </c>
      <c r="DI1462">
        <v>0</v>
      </c>
    </row>
    <row r="1463" spans="1:113" ht="15" customHeight="1" x14ac:dyDescent="0.25">
      <c r="A1463" t="s">
        <v>6697</v>
      </c>
      <c r="B1463" t="s">
        <v>6698</v>
      </c>
      <c r="C1463" t="s">
        <v>6699</v>
      </c>
      <c r="D1463" t="s">
        <v>1350</v>
      </c>
      <c r="E1463" t="s">
        <v>1307</v>
      </c>
      <c r="F1463" t="s">
        <v>6700</v>
      </c>
      <c r="G1463">
        <v>2025</v>
      </c>
      <c r="H1463" t="s">
        <v>1160</v>
      </c>
      <c r="I1463" t="s">
        <v>118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Y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S1463">
        <v>0</v>
      </c>
      <c r="AU1463">
        <v>0</v>
      </c>
      <c r="AV1463">
        <v>0</v>
      </c>
      <c r="AW1463">
        <v>0</v>
      </c>
      <c r="AX1463">
        <v>0</v>
      </c>
      <c r="AY1463">
        <v>4</v>
      </c>
      <c r="AZ1463">
        <v>0</v>
      </c>
      <c r="BA1463">
        <v>0</v>
      </c>
      <c r="BB1463">
        <v>1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C1463">
        <v>0</v>
      </c>
      <c r="DD1463">
        <v>0</v>
      </c>
      <c r="DE1463">
        <v>0</v>
      </c>
      <c r="DF1463">
        <v>0</v>
      </c>
      <c r="DH1463">
        <v>0</v>
      </c>
      <c r="DI1463">
        <v>0</v>
      </c>
    </row>
    <row r="1464" spans="1:113" ht="15" customHeight="1" x14ac:dyDescent="0.25">
      <c r="A1464" t="s">
        <v>6701</v>
      </c>
      <c r="B1464" t="s">
        <v>6702</v>
      </c>
      <c r="C1464" t="s">
        <v>946</v>
      </c>
      <c r="D1464" t="s">
        <v>431</v>
      </c>
      <c r="E1464" t="s">
        <v>431</v>
      </c>
      <c r="F1464" t="s">
        <v>6703</v>
      </c>
      <c r="G1464">
        <v>2025</v>
      </c>
      <c r="H1464" t="s">
        <v>1160</v>
      </c>
      <c r="I1464" t="s">
        <v>140</v>
      </c>
      <c r="J1464">
        <v>10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Y1464">
        <v>0</v>
      </c>
      <c r="AA1464">
        <v>22</v>
      </c>
      <c r="AB1464">
        <v>73</v>
      </c>
      <c r="AC1464">
        <v>1</v>
      </c>
      <c r="AD1464">
        <v>1</v>
      </c>
      <c r="AE1464">
        <v>1</v>
      </c>
      <c r="AF1464">
        <v>5</v>
      </c>
      <c r="AG1464">
        <v>-9.34992969580418</v>
      </c>
      <c r="AH1464">
        <v>0</v>
      </c>
      <c r="AI1464">
        <v>2</v>
      </c>
      <c r="AJ1464">
        <v>2</v>
      </c>
      <c r="AK1464">
        <v>15</v>
      </c>
      <c r="AL1464">
        <v>0</v>
      </c>
      <c r="AM1464">
        <v>0</v>
      </c>
      <c r="AN1464">
        <v>0</v>
      </c>
      <c r="AO1464">
        <v>-1</v>
      </c>
      <c r="AP1464">
        <v>16</v>
      </c>
      <c r="AQ1464">
        <v>1</v>
      </c>
      <c r="AR1464">
        <v>-0.14054189715534399</v>
      </c>
      <c r="AS1464">
        <v>0</v>
      </c>
      <c r="AT1464">
        <v>-15</v>
      </c>
      <c r="AU1464">
        <v>4.3956043956043999E-3</v>
      </c>
      <c r="AV1464">
        <v>-2.6609898882384202E-4</v>
      </c>
      <c r="AW1464">
        <v>6.4071373012298998E-3</v>
      </c>
      <c r="AX1464">
        <v>1</v>
      </c>
      <c r="AY1464">
        <v>1</v>
      </c>
      <c r="AZ1464">
        <v>0</v>
      </c>
      <c r="BA1464">
        <v>2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16</v>
      </c>
      <c r="BY1464">
        <v>387</v>
      </c>
      <c r="BZ1464">
        <v>0</v>
      </c>
      <c r="CA1464">
        <v>0</v>
      </c>
      <c r="CB1464">
        <v>0</v>
      </c>
      <c r="CC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C1464">
        <v>0</v>
      </c>
      <c r="DD1464">
        <v>0</v>
      </c>
      <c r="DE1464">
        <v>0</v>
      </c>
      <c r="DF1464">
        <v>0</v>
      </c>
      <c r="DH1464">
        <v>18.8</v>
      </c>
      <c r="DI1464">
        <v>20.8</v>
      </c>
    </row>
    <row r="1465" spans="1:113" ht="15" customHeight="1" x14ac:dyDescent="0.25">
      <c r="A1465" t="s">
        <v>6704</v>
      </c>
      <c r="B1465" t="s">
        <v>6705</v>
      </c>
      <c r="C1465" t="s">
        <v>830</v>
      </c>
      <c r="D1465" t="s">
        <v>439</v>
      </c>
      <c r="E1465" t="s">
        <v>439</v>
      </c>
      <c r="F1465" t="s">
        <v>6706</v>
      </c>
      <c r="G1465">
        <v>2025</v>
      </c>
      <c r="H1465" t="s">
        <v>1160</v>
      </c>
      <c r="I1465" t="s">
        <v>114</v>
      </c>
      <c r="J1465">
        <v>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Y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H1465">
        <v>0</v>
      </c>
      <c r="AI1465">
        <v>1</v>
      </c>
      <c r="AJ1465">
        <v>2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0</v>
      </c>
      <c r="AQ1465">
        <v>0</v>
      </c>
      <c r="AR1465">
        <v>-0.95280242431908801</v>
      </c>
      <c r="AS1465">
        <v>0</v>
      </c>
      <c r="AT1465">
        <v>0</v>
      </c>
      <c r="AU1465">
        <v>4.1493775933610002E-3</v>
      </c>
      <c r="AV1465">
        <v>4.33651344319167E-4</v>
      </c>
      <c r="AW1465">
        <v>6.5276223310649101E-3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1</v>
      </c>
      <c r="BU1465">
        <v>10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C1465">
        <v>0</v>
      </c>
      <c r="DD1465">
        <v>0</v>
      </c>
      <c r="DE1465">
        <v>0</v>
      </c>
      <c r="DF1465">
        <v>0</v>
      </c>
      <c r="DH1465">
        <v>0</v>
      </c>
      <c r="DI1465">
        <v>1</v>
      </c>
    </row>
    <row r="1466" spans="1:113" ht="15" customHeight="1" x14ac:dyDescent="0.25">
      <c r="A1466" t="s">
        <v>6707</v>
      </c>
      <c r="B1466" t="s">
        <v>3024</v>
      </c>
      <c r="C1466" t="s">
        <v>6708</v>
      </c>
      <c r="D1466" t="s">
        <v>1243</v>
      </c>
      <c r="E1466" t="s">
        <v>1190</v>
      </c>
      <c r="F1466" t="s">
        <v>6709</v>
      </c>
      <c r="G1466">
        <v>2025</v>
      </c>
      <c r="H1466" t="s">
        <v>1160</v>
      </c>
      <c r="I1466" t="s">
        <v>140</v>
      </c>
      <c r="J1466">
        <v>16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Y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S1466">
        <v>0</v>
      </c>
      <c r="AU1466">
        <v>0</v>
      </c>
      <c r="AV1466">
        <v>0</v>
      </c>
      <c r="AW1466">
        <v>0</v>
      </c>
      <c r="AX1466">
        <v>0</v>
      </c>
      <c r="AY1466">
        <v>21</v>
      </c>
      <c r="AZ1466">
        <v>1</v>
      </c>
      <c r="BA1466">
        <v>40</v>
      </c>
      <c r="BB1466">
        <v>7</v>
      </c>
      <c r="BC1466">
        <v>47</v>
      </c>
      <c r="BD1466">
        <v>0</v>
      </c>
      <c r="BE1466">
        <v>7</v>
      </c>
      <c r="BF1466">
        <v>44.5</v>
      </c>
      <c r="BG1466">
        <v>13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</v>
      </c>
      <c r="BU1466">
        <v>16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C1466">
        <v>0</v>
      </c>
      <c r="DD1466">
        <v>0</v>
      </c>
      <c r="DE1466">
        <v>0</v>
      </c>
      <c r="DF1466">
        <v>0</v>
      </c>
      <c r="DH1466">
        <v>0</v>
      </c>
      <c r="DI1466">
        <v>0</v>
      </c>
    </row>
    <row r="1467" spans="1:113" ht="15" customHeight="1" x14ac:dyDescent="0.25">
      <c r="A1467" t="s">
        <v>6710</v>
      </c>
      <c r="B1467" t="s">
        <v>6711</v>
      </c>
      <c r="C1467" t="s">
        <v>6712</v>
      </c>
      <c r="D1467" t="s">
        <v>1350</v>
      </c>
      <c r="E1467" t="s">
        <v>1307</v>
      </c>
      <c r="F1467" t="s">
        <v>6713</v>
      </c>
      <c r="G1467">
        <v>2025</v>
      </c>
      <c r="H1467" t="s">
        <v>1160</v>
      </c>
      <c r="I1467" t="s">
        <v>114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Y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S1467">
        <v>0</v>
      </c>
      <c r="AU1467">
        <v>0</v>
      </c>
      <c r="AV1467">
        <v>0</v>
      </c>
      <c r="AW1467">
        <v>0</v>
      </c>
      <c r="AX1467">
        <v>0</v>
      </c>
      <c r="AY1467">
        <v>3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C1467">
        <v>0</v>
      </c>
      <c r="DD1467">
        <v>0</v>
      </c>
      <c r="DE1467">
        <v>0</v>
      </c>
      <c r="DF1467">
        <v>0</v>
      </c>
      <c r="DH1467">
        <v>0</v>
      </c>
      <c r="DI1467">
        <v>0</v>
      </c>
    </row>
    <row r="1468" spans="1:113" ht="15" customHeight="1" x14ac:dyDescent="0.25">
      <c r="A1468" t="s">
        <v>6714</v>
      </c>
      <c r="B1468" t="s">
        <v>6715</v>
      </c>
      <c r="C1468" t="s">
        <v>6716</v>
      </c>
      <c r="D1468" t="s">
        <v>1234</v>
      </c>
      <c r="E1468" t="s">
        <v>1234</v>
      </c>
      <c r="F1468" t="s">
        <v>6717</v>
      </c>
      <c r="G1468">
        <v>2025</v>
      </c>
      <c r="H1468" t="s">
        <v>1160</v>
      </c>
      <c r="I1468" t="s">
        <v>139</v>
      </c>
      <c r="J1468">
        <v>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Y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S1468">
        <v>0</v>
      </c>
      <c r="AU1468">
        <v>0</v>
      </c>
      <c r="AV1468">
        <v>0</v>
      </c>
      <c r="AW1468">
        <v>0</v>
      </c>
      <c r="AX1468">
        <v>0</v>
      </c>
      <c r="AY1468">
        <v>1</v>
      </c>
      <c r="AZ1468">
        <v>0</v>
      </c>
      <c r="BA1468">
        <v>5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1</v>
      </c>
      <c r="BU1468">
        <v>10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C1468">
        <v>0</v>
      </c>
      <c r="DD1468">
        <v>0</v>
      </c>
      <c r="DE1468">
        <v>0</v>
      </c>
      <c r="DF1468">
        <v>0</v>
      </c>
      <c r="DH1468">
        <v>0</v>
      </c>
      <c r="DI1468">
        <v>0</v>
      </c>
    </row>
    <row r="1469" spans="1:113" ht="15" customHeight="1" x14ac:dyDescent="0.25">
      <c r="A1469" t="s">
        <v>6718</v>
      </c>
      <c r="B1469" t="s">
        <v>6719</v>
      </c>
      <c r="C1469" t="s">
        <v>6720</v>
      </c>
      <c r="D1469" t="s">
        <v>1209</v>
      </c>
      <c r="E1469" t="s">
        <v>1169</v>
      </c>
      <c r="F1469" t="s">
        <v>6721</v>
      </c>
      <c r="G1469">
        <v>2025</v>
      </c>
      <c r="H1469" t="s">
        <v>1160</v>
      </c>
      <c r="I1469" t="s">
        <v>107</v>
      </c>
      <c r="J1469">
        <v>17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Y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S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1</v>
      </c>
      <c r="BU1469">
        <v>10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C1469">
        <v>0</v>
      </c>
      <c r="DD1469">
        <v>0</v>
      </c>
      <c r="DE1469">
        <v>0</v>
      </c>
      <c r="DF1469">
        <v>0</v>
      </c>
      <c r="DH1469">
        <v>0</v>
      </c>
      <c r="DI1469">
        <v>0</v>
      </c>
    </row>
    <row r="1470" spans="1:113" ht="15" customHeight="1" x14ac:dyDescent="0.25">
      <c r="A1470" t="s">
        <v>6722</v>
      </c>
      <c r="B1470" t="s">
        <v>6723</v>
      </c>
      <c r="C1470" t="s">
        <v>6724</v>
      </c>
      <c r="D1470" t="s">
        <v>1350</v>
      </c>
      <c r="E1470" t="s">
        <v>1307</v>
      </c>
      <c r="F1470" t="s">
        <v>6725</v>
      </c>
      <c r="G1470">
        <v>2025</v>
      </c>
      <c r="H1470" t="s">
        <v>1160</v>
      </c>
      <c r="I1470" t="s">
        <v>123</v>
      </c>
      <c r="J1470">
        <v>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Y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S1470">
        <v>0</v>
      </c>
      <c r="AU1470">
        <v>0</v>
      </c>
      <c r="AV1470">
        <v>0</v>
      </c>
      <c r="AW1470">
        <v>0</v>
      </c>
      <c r="AX1470">
        <v>0</v>
      </c>
      <c r="AY1470">
        <v>19</v>
      </c>
      <c r="AZ1470">
        <v>0</v>
      </c>
      <c r="BA1470">
        <v>15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23</v>
      </c>
      <c r="BJ1470">
        <v>3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10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C1470">
        <v>0</v>
      </c>
      <c r="DD1470">
        <v>0</v>
      </c>
      <c r="DE1470">
        <v>0</v>
      </c>
      <c r="DF1470">
        <v>0</v>
      </c>
      <c r="DH1470">
        <v>0</v>
      </c>
      <c r="DI1470">
        <v>0</v>
      </c>
    </row>
    <row r="1471" spans="1:113" ht="15" customHeight="1" x14ac:dyDescent="0.25">
      <c r="A1471" t="s">
        <v>6726</v>
      </c>
      <c r="B1471" t="s">
        <v>6727</v>
      </c>
      <c r="C1471" t="s">
        <v>6728</v>
      </c>
      <c r="D1471" t="s">
        <v>1189</v>
      </c>
      <c r="E1471" t="s">
        <v>1190</v>
      </c>
      <c r="F1471" t="s">
        <v>6729</v>
      </c>
      <c r="G1471">
        <v>2025</v>
      </c>
      <c r="H1471" t="s">
        <v>1160</v>
      </c>
      <c r="I1471" t="s">
        <v>142</v>
      </c>
      <c r="J1471">
        <v>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Y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S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0</v>
      </c>
      <c r="BA1471">
        <v>5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</v>
      </c>
      <c r="BU1471">
        <v>5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C1471">
        <v>0</v>
      </c>
      <c r="DD1471">
        <v>0</v>
      </c>
      <c r="DE1471">
        <v>0</v>
      </c>
      <c r="DF1471">
        <v>0</v>
      </c>
      <c r="DH1471">
        <v>0</v>
      </c>
      <c r="DI1471">
        <v>0</v>
      </c>
    </row>
    <row r="1472" spans="1:113" ht="15" customHeight="1" x14ac:dyDescent="0.25">
      <c r="A1472" t="s">
        <v>6730</v>
      </c>
      <c r="B1472" t="s">
        <v>6731</v>
      </c>
      <c r="C1472" t="s">
        <v>6732</v>
      </c>
      <c r="D1472" t="s">
        <v>1350</v>
      </c>
      <c r="E1472" t="s">
        <v>1307</v>
      </c>
      <c r="F1472" t="s">
        <v>6733</v>
      </c>
      <c r="G1472">
        <v>2025</v>
      </c>
      <c r="H1472" t="s">
        <v>1160</v>
      </c>
      <c r="I1472" t="s">
        <v>99</v>
      </c>
      <c r="J1472">
        <v>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Y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S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</v>
      </c>
      <c r="BM1472">
        <v>0</v>
      </c>
      <c r="BN1472">
        <v>0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10</v>
      </c>
      <c r="BW1472">
        <v>58</v>
      </c>
      <c r="BX1472">
        <v>14</v>
      </c>
      <c r="BY1472">
        <v>375</v>
      </c>
      <c r="BZ1472">
        <v>0</v>
      </c>
      <c r="CA1472">
        <v>0</v>
      </c>
      <c r="CB1472">
        <v>0</v>
      </c>
      <c r="CC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C1472">
        <v>0</v>
      </c>
      <c r="DD1472">
        <v>0</v>
      </c>
      <c r="DE1472">
        <v>0</v>
      </c>
      <c r="DF1472">
        <v>0</v>
      </c>
      <c r="DH1472">
        <v>0</v>
      </c>
      <c r="DI1472">
        <v>0</v>
      </c>
    </row>
    <row r="1473" spans="1:113" ht="15" customHeight="1" x14ac:dyDescent="0.25">
      <c r="A1473" t="s">
        <v>6734</v>
      </c>
      <c r="B1473" t="s">
        <v>6735</v>
      </c>
      <c r="C1473" t="s">
        <v>875</v>
      </c>
      <c r="D1473" t="s">
        <v>10</v>
      </c>
      <c r="E1473" t="s">
        <v>10</v>
      </c>
      <c r="F1473" t="s">
        <v>6736</v>
      </c>
      <c r="G1473">
        <v>2025</v>
      </c>
      <c r="H1473" t="s">
        <v>1160</v>
      </c>
      <c r="I1473" t="s">
        <v>139</v>
      </c>
      <c r="J1473">
        <v>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Y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H1473">
        <v>0</v>
      </c>
      <c r="AI1473">
        <v>18</v>
      </c>
      <c r="AJ1473">
        <v>35</v>
      </c>
      <c r="AK1473">
        <v>271</v>
      </c>
      <c r="AL1473">
        <v>2</v>
      </c>
      <c r="AM1473">
        <v>0</v>
      </c>
      <c r="AN1473">
        <v>0</v>
      </c>
      <c r="AO1473">
        <v>555</v>
      </c>
      <c r="AP1473">
        <v>52</v>
      </c>
      <c r="AQ1473">
        <v>11</v>
      </c>
      <c r="AR1473">
        <v>2.3088885260293002</v>
      </c>
      <c r="AS1473">
        <v>0</v>
      </c>
      <c r="AT1473">
        <v>0.48828828828828802</v>
      </c>
      <c r="AU1473">
        <v>6.9582504970178899E-2</v>
      </c>
      <c r="AV1473">
        <v>0.12407780013413799</v>
      </c>
      <c r="AW1473">
        <v>0.191228217549165</v>
      </c>
      <c r="AX1473">
        <v>0</v>
      </c>
      <c r="AY1473">
        <v>2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C1473">
        <v>0</v>
      </c>
      <c r="DD1473">
        <v>0</v>
      </c>
      <c r="DE1473">
        <v>0</v>
      </c>
      <c r="DF1473">
        <v>0</v>
      </c>
      <c r="DH1473">
        <v>39.1</v>
      </c>
      <c r="DI1473">
        <v>57.1</v>
      </c>
    </row>
    <row r="1474" spans="1:113" ht="15" customHeight="1" x14ac:dyDescent="0.25">
      <c r="A1474" t="s">
        <v>6737</v>
      </c>
      <c r="B1474" t="s">
        <v>6738</v>
      </c>
      <c r="C1474" t="s">
        <v>761</v>
      </c>
      <c r="D1474" t="s">
        <v>439</v>
      </c>
      <c r="E1474" t="s">
        <v>439</v>
      </c>
      <c r="F1474" t="s">
        <v>6739</v>
      </c>
      <c r="G1474">
        <v>2025</v>
      </c>
      <c r="H1474" t="s">
        <v>1160</v>
      </c>
      <c r="I1474" t="s">
        <v>89</v>
      </c>
      <c r="J1474">
        <v>12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Y1474">
        <v>0</v>
      </c>
      <c r="AA1474">
        <v>2</v>
      </c>
      <c r="AB1474">
        <v>2</v>
      </c>
      <c r="AC1474">
        <v>0</v>
      </c>
      <c r="AD1474">
        <v>0</v>
      </c>
      <c r="AE1474">
        <v>0</v>
      </c>
      <c r="AF1474">
        <v>0</v>
      </c>
      <c r="AG1474">
        <v>-1.1543679854366899</v>
      </c>
      <c r="AH1474">
        <v>0</v>
      </c>
      <c r="AI1474">
        <v>64</v>
      </c>
      <c r="AJ1474">
        <v>86</v>
      </c>
      <c r="AK1474">
        <v>680</v>
      </c>
      <c r="AL1474">
        <v>7</v>
      </c>
      <c r="AM1474">
        <v>0</v>
      </c>
      <c r="AN1474">
        <v>0</v>
      </c>
      <c r="AO1474">
        <v>560</v>
      </c>
      <c r="AP1474">
        <v>305</v>
      </c>
      <c r="AQ1474">
        <v>36</v>
      </c>
      <c r="AR1474">
        <v>23.3474906531907</v>
      </c>
      <c r="AS1474">
        <v>1</v>
      </c>
      <c r="AT1474">
        <v>1.21428571428571</v>
      </c>
      <c r="AU1474">
        <v>0.17408906882591099</v>
      </c>
      <c r="AV1474">
        <v>0.17456359102244401</v>
      </c>
      <c r="AW1474">
        <v>0.38332811695457703</v>
      </c>
      <c r="AX1474">
        <v>0</v>
      </c>
      <c r="AY1474">
        <v>2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C1474">
        <v>0</v>
      </c>
      <c r="DD1474">
        <v>0</v>
      </c>
      <c r="DE1474">
        <v>0</v>
      </c>
      <c r="DF1474">
        <v>0</v>
      </c>
      <c r="DH1474">
        <v>112.2</v>
      </c>
      <c r="DI1474">
        <v>176.2</v>
      </c>
    </row>
    <row r="1475" spans="1:113" ht="15" customHeight="1" x14ac:dyDescent="0.25">
      <c r="A1475" t="s">
        <v>6740</v>
      </c>
      <c r="B1475" t="s">
        <v>6741</v>
      </c>
      <c r="C1475" t="s">
        <v>6742</v>
      </c>
      <c r="D1475" t="s">
        <v>1219</v>
      </c>
      <c r="E1475" t="s">
        <v>1220</v>
      </c>
      <c r="F1475" t="s">
        <v>6743</v>
      </c>
      <c r="G1475">
        <v>2025</v>
      </c>
      <c r="H1475" t="s">
        <v>1160</v>
      </c>
      <c r="I1475" t="s">
        <v>138</v>
      </c>
      <c r="J1475">
        <v>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Y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S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6</v>
      </c>
      <c r="BU1475">
        <v>40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C1475">
        <v>0</v>
      </c>
      <c r="DD1475">
        <v>0</v>
      </c>
      <c r="DE1475">
        <v>0</v>
      </c>
      <c r="DF1475">
        <v>0</v>
      </c>
      <c r="DH1475">
        <v>0</v>
      </c>
      <c r="DI1475">
        <v>0</v>
      </c>
    </row>
    <row r="1476" spans="1:113" ht="15" customHeight="1" x14ac:dyDescent="0.25">
      <c r="A1476" t="s">
        <v>6744</v>
      </c>
      <c r="B1476" t="s">
        <v>6745</v>
      </c>
      <c r="C1476" t="s">
        <v>6746</v>
      </c>
      <c r="D1476" t="s">
        <v>1189</v>
      </c>
      <c r="E1476" t="s">
        <v>1190</v>
      </c>
      <c r="F1476" t="s">
        <v>6747</v>
      </c>
      <c r="G1476">
        <v>2025</v>
      </c>
      <c r="H1476" t="s">
        <v>1160</v>
      </c>
      <c r="I1476" t="s">
        <v>124</v>
      </c>
      <c r="J1476">
        <v>16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Y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S1476">
        <v>0</v>
      </c>
      <c r="AU1476">
        <v>0</v>
      </c>
      <c r="AV1476">
        <v>0</v>
      </c>
      <c r="AW1476">
        <v>0</v>
      </c>
      <c r="AX1476">
        <v>0</v>
      </c>
      <c r="AY1476">
        <v>25</v>
      </c>
      <c r="AZ1476">
        <v>2</v>
      </c>
      <c r="BA1476">
        <v>18</v>
      </c>
      <c r="BB1476">
        <v>12</v>
      </c>
      <c r="BC1476">
        <v>43</v>
      </c>
      <c r="BD1476">
        <v>1</v>
      </c>
      <c r="BE1476">
        <v>8.5</v>
      </c>
      <c r="BF1476">
        <v>41</v>
      </c>
      <c r="BG1476">
        <v>20</v>
      </c>
      <c r="BH1476">
        <v>3</v>
      </c>
      <c r="BI1476">
        <v>9</v>
      </c>
      <c r="BJ1476">
        <v>5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2</v>
      </c>
      <c r="BU1476">
        <v>11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C1476">
        <v>0</v>
      </c>
      <c r="DD1476">
        <v>0</v>
      </c>
      <c r="DE1476">
        <v>0</v>
      </c>
      <c r="DF1476">
        <v>0</v>
      </c>
      <c r="DH1476">
        <v>0</v>
      </c>
      <c r="DI1476">
        <v>0</v>
      </c>
    </row>
    <row r="1477" spans="1:113" ht="15" customHeight="1" x14ac:dyDescent="0.25">
      <c r="A1477" t="s">
        <v>6748</v>
      </c>
      <c r="B1477" t="s">
        <v>6749</v>
      </c>
      <c r="C1477" t="s">
        <v>6750</v>
      </c>
      <c r="D1477" t="s">
        <v>1219</v>
      </c>
      <c r="E1477" t="s">
        <v>1220</v>
      </c>
      <c r="F1477" t="s">
        <v>6751</v>
      </c>
      <c r="G1477">
        <v>2025</v>
      </c>
      <c r="H1477" t="s">
        <v>1160</v>
      </c>
      <c r="I1477" t="s">
        <v>112</v>
      </c>
      <c r="J1477">
        <v>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Y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S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7</v>
      </c>
      <c r="BU1477">
        <v>49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C1477">
        <v>0</v>
      </c>
      <c r="DD1477">
        <v>0</v>
      </c>
      <c r="DE1477">
        <v>0</v>
      </c>
      <c r="DF1477">
        <v>0</v>
      </c>
      <c r="DH1477">
        <v>0</v>
      </c>
      <c r="DI1477">
        <v>0</v>
      </c>
    </row>
    <row r="1478" spans="1:113" ht="15" customHeight="1" x14ac:dyDescent="0.25">
      <c r="A1478" t="s">
        <v>6752</v>
      </c>
      <c r="B1478" t="s">
        <v>6753</v>
      </c>
      <c r="C1478" t="s">
        <v>508</v>
      </c>
      <c r="D1478" t="s">
        <v>10</v>
      </c>
      <c r="E1478" t="s">
        <v>10</v>
      </c>
      <c r="F1478" t="s">
        <v>6754</v>
      </c>
      <c r="G1478">
        <v>2025</v>
      </c>
      <c r="H1478" t="s">
        <v>1160</v>
      </c>
      <c r="I1478" t="s">
        <v>96</v>
      </c>
      <c r="J1478">
        <v>15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Y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-0.53051591897383299</v>
      </c>
      <c r="AH1478">
        <v>0</v>
      </c>
      <c r="AI1478">
        <v>35</v>
      </c>
      <c r="AJ1478">
        <v>64</v>
      </c>
      <c r="AK1478">
        <v>363</v>
      </c>
      <c r="AL1478">
        <v>3</v>
      </c>
      <c r="AM1478">
        <v>1</v>
      </c>
      <c r="AN1478">
        <v>0</v>
      </c>
      <c r="AO1478">
        <v>633</v>
      </c>
      <c r="AP1478">
        <v>75</v>
      </c>
      <c r="AQ1478">
        <v>18</v>
      </c>
      <c r="AR1478">
        <v>-4.0828212427148403</v>
      </c>
      <c r="AS1478">
        <v>0</v>
      </c>
      <c r="AT1478">
        <v>0.57345971563981002</v>
      </c>
      <c r="AU1478">
        <v>0.133333333333333</v>
      </c>
      <c r="AV1478">
        <v>0.18347826086956501</v>
      </c>
      <c r="AW1478">
        <v>0.32843478260869602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7</v>
      </c>
      <c r="BU1478">
        <v>35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C1478">
        <v>0</v>
      </c>
      <c r="DD1478">
        <v>0</v>
      </c>
      <c r="DE1478">
        <v>0</v>
      </c>
      <c r="DF1478">
        <v>0</v>
      </c>
      <c r="DH1478">
        <v>54.3</v>
      </c>
      <c r="DI1478">
        <v>89.3</v>
      </c>
    </row>
    <row r="1479" spans="1:113" ht="15" customHeight="1" x14ac:dyDescent="0.25">
      <c r="A1479" t="s">
        <v>6755</v>
      </c>
      <c r="B1479" t="s">
        <v>6756</v>
      </c>
      <c r="C1479" t="s">
        <v>6757</v>
      </c>
      <c r="D1479" t="s">
        <v>1350</v>
      </c>
      <c r="E1479" t="s">
        <v>1307</v>
      </c>
      <c r="F1479" t="s">
        <v>6758</v>
      </c>
      <c r="G1479">
        <v>2025</v>
      </c>
      <c r="H1479" t="s">
        <v>1160</v>
      </c>
      <c r="I1479" t="s">
        <v>121</v>
      </c>
      <c r="J1479">
        <v>16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Y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S1479">
        <v>0</v>
      </c>
      <c r="AU1479">
        <v>0</v>
      </c>
      <c r="AV1479">
        <v>0</v>
      </c>
      <c r="AW1479">
        <v>0</v>
      </c>
      <c r="AX1479">
        <v>0</v>
      </c>
      <c r="AY1479">
        <v>57</v>
      </c>
      <c r="AZ1479">
        <v>5</v>
      </c>
      <c r="BA1479">
        <v>29</v>
      </c>
      <c r="BB1479">
        <v>7</v>
      </c>
      <c r="BC1479">
        <v>14</v>
      </c>
      <c r="BD1479">
        <v>0</v>
      </c>
      <c r="BE1479">
        <v>0</v>
      </c>
      <c r="BF1479">
        <v>0</v>
      </c>
      <c r="BG1479">
        <v>1</v>
      </c>
      <c r="BH1479">
        <v>4</v>
      </c>
      <c r="BI1479">
        <v>0</v>
      </c>
      <c r="BJ1479">
        <v>17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4</v>
      </c>
      <c r="BU1479">
        <v>40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C1479">
        <v>0</v>
      </c>
      <c r="DD1479">
        <v>0</v>
      </c>
      <c r="DE1479">
        <v>0</v>
      </c>
      <c r="DF1479">
        <v>0</v>
      </c>
      <c r="DH1479">
        <v>0</v>
      </c>
      <c r="DI1479">
        <v>0</v>
      </c>
    </row>
    <row r="1480" spans="1:113" ht="15" customHeight="1" x14ac:dyDescent="0.25">
      <c r="A1480" t="s">
        <v>6759</v>
      </c>
      <c r="B1480" t="s">
        <v>6760</v>
      </c>
      <c r="C1480" t="s">
        <v>6761</v>
      </c>
      <c r="D1480" t="s">
        <v>1350</v>
      </c>
      <c r="E1480" t="s">
        <v>1307</v>
      </c>
      <c r="F1480" t="s">
        <v>6762</v>
      </c>
      <c r="G1480">
        <v>2025</v>
      </c>
      <c r="H1480" t="s">
        <v>1160</v>
      </c>
      <c r="I1480" t="s">
        <v>141</v>
      </c>
      <c r="J1480">
        <v>14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Y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S1480">
        <v>0</v>
      </c>
      <c r="AU1480">
        <v>0</v>
      </c>
      <c r="AV1480">
        <v>0</v>
      </c>
      <c r="AW1480">
        <v>0</v>
      </c>
      <c r="AX1480">
        <v>0</v>
      </c>
      <c r="AY1480">
        <v>36</v>
      </c>
      <c r="AZ1480">
        <v>0</v>
      </c>
      <c r="BA1480">
        <v>24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3</v>
      </c>
      <c r="BU1480">
        <v>55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C1480">
        <v>0</v>
      </c>
      <c r="DD1480">
        <v>0</v>
      </c>
      <c r="DE1480">
        <v>0</v>
      </c>
      <c r="DF1480">
        <v>0</v>
      </c>
      <c r="DH1480">
        <v>0</v>
      </c>
      <c r="DI1480">
        <v>0</v>
      </c>
    </row>
    <row r="1481" spans="1:113" ht="15" customHeight="1" x14ac:dyDescent="0.25">
      <c r="A1481" t="s">
        <v>6763</v>
      </c>
      <c r="B1481" t="s">
        <v>4202</v>
      </c>
      <c r="C1481" t="s">
        <v>6764</v>
      </c>
      <c r="D1481" t="s">
        <v>1234</v>
      </c>
      <c r="E1481" t="s">
        <v>1234</v>
      </c>
      <c r="F1481" t="s">
        <v>6765</v>
      </c>
      <c r="G1481">
        <v>2025</v>
      </c>
      <c r="H1481" t="s">
        <v>1160</v>
      </c>
      <c r="I1481" t="s">
        <v>96</v>
      </c>
      <c r="J1481">
        <v>12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Y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S1481">
        <v>0</v>
      </c>
      <c r="AU1481">
        <v>0</v>
      </c>
      <c r="AV1481">
        <v>0</v>
      </c>
      <c r="AW1481">
        <v>0</v>
      </c>
      <c r="AX1481">
        <v>0</v>
      </c>
      <c r="AY1481">
        <v>36</v>
      </c>
      <c r="AZ1481">
        <v>0</v>
      </c>
      <c r="BA1481">
        <v>25</v>
      </c>
      <c r="BB1481">
        <v>5</v>
      </c>
      <c r="BC1481">
        <v>25</v>
      </c>
      <c r="BD1481">
        <v>0</v>
      </c>
      <c r="BE1481">
        <v>2</v>
      </c>
      <c r="BF1481">
        <v>12</v>
      </c>
      <c r="BG1481">
        <v>4</v>
      </c>
      <c r="BH1481">
        <v>0</v>
      </c>
      <c r="BI1481">
        <v>0</v>
      </c>
      <c r="BJ1481">
        <v>4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C1481">
        <v>0</v>
      </c>
      <c r="DD1481">
        <v>0</v>
      </c>
      <c r="DE1481">
        <v>0</v>
      </c>
      <c r="DF1481">
        <v>0</v>
      </c>
      <c r="DH1481">
        <v>0</v>
      </c>
      <c r="DI1481">
        <v>0</v>
      </c>
    </row>
    <row r="1482" spans="1:113" ht="15" customHeight="1" x14ac:dyDescent="0.25">
      <c r="A1482" t="s">
        <v>6766</v>
      </c>
      <c r="B1482" t="s">
        <v>6767</v>
      </c>
      <c r="C1482" t="s">
        <v>6768</v>
      </c>
      <c r="D1482" t="s">
        <v>1655</v>
      </c>
      <c r="E1482" t="s">
        <v>1220</v>
      </c>
      <c r="F1482" t="s">
        <v>6769</v>
      </c>
      <c r="G1482">
        <v>2025</v>
      </c>
      <c r="H1482" t="s">
        <v>1160</v>
      </c>
      <c r="I1482" t="s">
        <v>112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Y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S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5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C1482">
        <v>0</v>
      </c>
      <c r="DD1482">
        <v>0</v>
      </c>
      <c r="DE1482">
        <v>0</v>
      </c>
      <c r="DF1482">
        <v>0</v>
      </c>
      <c r="DH1482">
        <v>0</v>
      </c>
      <c r="DI1482">
        <v>0</v>
      </c>
    </row>
    <row r="1483" spans="1:113" ht="15" customHeight="1" x14ac:dyDescent="0.25">
      <c r="A1483" t="s">
        <v>6770</v>
      </c>
      <c r="B1483" t="s">
        <v>6771</v>
      </c>
      <c r="C1483" t="s">
        <v>6772</v>
      </c>
      <c r="D1483" t="s">
        <v>1219</v>
      </c>
      <c r="E1483" t="s">
        <v>1220</v>
      </c>
      <c r="F1483" t="s">
        <v>6773</v>
      </c>
      <c r="G1483">
        <v>2025</v>
      </c>
      <c r="H1483" t="s">
        <v>1160</v>
      </c>
      <c r="I1483" t="s">
        <v>89</v>
      </c>
      <c r="J1483">
        <v>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Y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3</v>
      </c>
      <c r="BU1483">
        <v>16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C1483">
        <v>0</v>
      </c>
      <c r="DD1483">
        <v>0</v>
      </c>
      <c r="DE1483">
        <v>0</v>
      </c>
      <c r="DF1483">
        <v>0</v>
      </c>
      <c r="DH1483">
        <v>0</v>
      </c>
      <c r="DI1483">
        <v>0</v>
      </c>
    </row>
    <row r="1484" spans="1:113" ht="15" customHeight="1" x14ac:dyDescent="0.25">
      <c r="A1484" t="s">
        <v>6774</v>
      </c>
      <c r="B1484" t="s">
        <v>6775</v>
      </c>
      <c r="C1484" t="s">
        <v>6776</v>
      </c>
      <c r="D1484" t="s">
        <v>1219</v>
      </c>
      <c r="E1484" t="s">
        <v>1220</v>
      </c>
      <c r="F1484" t="s">
        <v>6777</v>
      </c>
      <c r="G1484">
        <v>2025</v>
      </c>
      <c r="H1484" t="s">
        <v>1160</v>
      </c>
      <c r="I1484" t="s">
        <v>141</v>
      </c>
      <c r="J1484">
        <v>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Y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S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4</v>
      </c>
      <c r="BU1484">
        <v>30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C1484">
        <v>0</v>
      </c>
      <c r="DD1484">
        <v>0</v>
      </c>
      <c r="DE1484">
        <v>0</v>
      </c>
      <c r="DF1484">
        <v>0</v>
      </c>
      <c r="DH1484">
        <v>0</v>
      </c>
      <c r="DI1484">
        <v>0</v>
      </c>
    </row>
    <row r="1485" spans="1:113" ht="15" customHeight="1" x14ac:dyDescent="0.25">
      <c r="A1485" t="s">
        <v>6778</v>
      </c>
      <c r="B1485" t="s">
        <v>6779</v>
      </c>
      <c r="C1485" t="s">
        <v>6780</v>
      </c>
      <c r="D1485" t="s">
        <v>1234</v>
      </c>
      <c r="E1485" t="s">
        <v>1234</v>
      </c>
      <c r="F1485" t="s">
        <v>6781</v>
      </c>
      <c r="G1485">
        <v>2025</v>
      </c>
      <c r="H1485" t="s">
        <v>1160</v>
      </c>
      <c r="I1485" t="s">
        <v>112</v>
      </c>
      <c r="J1485">
        <v>13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Y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S1485">
        <v>0</v>
      </c>
      <c r="AU1485">
        <v>0</v>
      </c>
      <c r="AV1485">
        <v>0</v>
      </c>
      <c r="AW1485">
        <v>0</v>
      </c>
      <c r="AX1485">
        <v>0</v>
      </c>
      <c r="AY1485">
        <v>17</v>
      </c>
      <c r="AZ1485">
        <v>0</v>
      </c>
      <c r="BA1485">
        <v>13</v>
      </c>
      <c r="BB1485">
        <v>1</v>
      </c>
      <c r="BC1485">
        <v>5</v>
      </c>
      <c r="BD1485">
        <v>1</v>
      </c>
      <c r="BE1485">
        <v>1</v>
      </c>
      <c r="BF1485">
        <v>5</v>
      </c>
      <c r="BG1485">
        <v>3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5</v>
      </c>
      <c r="BU1485">
        <v>62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C1485">
        <v>0</v>
      </c>
      <c r="DD1485">
        <v>0</v>
      </c>
      <c r="DE1485">
        <v>0</v>
      </c>
      <c r="DF1485">
        <v>0</v>
      </c>
      <c r="DH1485">
        <v>0</v>
      </c>
      <c r="DI1485">
        <v>0</v>
      </c>
    </row>
    <row r="1486" spans="1:113" ht="15" customHeight="1" x14ac:dyDescent="0.25">
      <c r="A1486" t="s">
        <v>6782</v>
      </c>
      <c r="B1486" t="s">
        <v>1725</v>
      </c>
      <c r="C1486" t="s">
        <v>6783</v>
      </c>
      <c r="D1486" t="s">
        <v>1350</v>
      </c>
      <c r="E1486" t="s">
        <v>1307</v>
      </c>
      <c r="F1486" t="s">
        <v>6784</v>
      </c>
      <c r="G1486">
        <v>2025</v>
      </c>
      <c r="H1486" t="s">
        <v>1160</v>
      </c>
      <c r="I1486" t="s">
        <v>106</v>
      </c>
      <c r="J1486">
        <v>15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Y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S1486">
        <v>0</v>
      </c>
      <c r="AU1486">
        <v>0</v>
      </c>
      <c r="AV1486">
        <v>0</v>
      </c>
      <c r="AW1486">
        <v>0</v>
      </c>
      <c r="AX1486">
        <v>0</v>
      </c>
      <c r="AY1486">
        <v>33</v>
      </c>
      <c r="AZ1486">
        <v>2</v>
      </c>
      <c r="BA1486">
        <v>14</v>
      </c>
      <c r="BB1486">
        <v>6</v>
      </c>
      <c r="BC1486">
        <v>10</v>
      </c>
      <c r="BD1486">
        <v>0</v>
      </c>
      <c r="BE1486">
        <v>0</v>
      </c>
      <c r="BF1486">
        <v>0</v>
      </c>
      <c r="BG1486">
        <v>1</v>
      </c>
      <c r="BH1486">
        <v>3</v>
      </c>
      <c r="BI1486">
        <v>13</v>
      </c>
      <c r="BJ1486">
        <v>8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1</v>
      </c>
      <c r="BR1486">
        <v>1</v>
      </c>
      <c r="BS1486">
        <v>0</v>
      </c>
      <c r="BT1486">
        <v>7</v>
      </c>
      <c r="BU1486">
        <v>94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C1486">
        <v>0</v>
      </c>
      <c r="DD1486">
        <v>0</v>
      </c>
      <c r="DE1486">
        <v>0</v>
      </c>
      <c r="DF1486">
        <v>0</v>
      </c>
      <c r="DH1486">
        <v>0</v>
      </c>
      <c r="DI1486">
        <v>0</v>
      </c>
    </row>
    <row r="1487" spans="1:113" ht="15" customHeight="1" x14ac:dyDescent="0.25">
      <c r="A1487" t="s">
        <v>6785</v>
      </c>
      <c r="B1487" t="s">
        <v>3110</v>
      </c>
      <c r="C1487" t="s">
        <v>6786</v>
      </c>
      <c r="D1487" t="s">
        <v>1243</v>
      </c>
      <c r="E1487" t="s">
        <v>1190</v>
      </c>
      <c r="F1487" t="s">
        <v>6787</v>
      </c>
      <c r="G1487">
        <v>2025</v>
      </c>
      <c r="H1487" t="s">
        <v>1160</v>
      </c>
      <c r="I1487" t="s">
        <v>107</v>
      </c>
      <c r="J1487">
        <v>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Y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S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7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C1487">
        <v>0</v>
      </c>
      <c r="DD1487">
        <v>0</v>
      </c>
      <c r="DE1487">
        <v>0</v>
      </c>
      <c r="DF1487">
        <v>0</v>
      </c>
      <c r="DH1487">
        <v>0</v>
      </c>
      <c r="DI1487">
        <v>0</v>
      </c>
    </row>
    <row r="1488" spans="1:113" ht="15" customHeight="1" x14ac:dyDescent="0.25">
      <c r="A1488" t="s">
        <v>6788</v>
      </c>
      <c r="B1488" t="s">
        <v>6789</v>
      </c>
      <c r="C1488" t="s">
        <v>1033</v>
      </c>
      <c r="D1488" t="s">
        <v>10</v>
      </c>
      <c r="E1488" t="s">
        <v>10</v>
      </c>
      <c r="F1488" t="s">
        <v>6790</v>
      </c>
      <c r="G1488">
        <v>2025</v>
      </c>
      <c r="H1488" t="s">
        <v>1160</v>
      </c>
      <c r="I1488" t="s">
        <v>143</v>
      </c>
      <c r="J1488">
        <v>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Y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H1488">
        <v>0</v>
      </c>
      <c r="AI1488">
        <v>11</v>
      </c>
      <c r="AJ1488">
        <v>15</v>
      </c>
      <c r="AK1488">
        <v>203</v>
      </c>
      <c r="AL1488">
        <v>3</v>
      </c>
      <c r="AM1488">
        <v>0</v>
      </c>
      <c r="AN1488">
        <v>0</v>
      </c>
      <c r="AO1488">
        <v>218</v>
      </c>
      <c r="AP1488">
        <v>69</v>
      </c>
      <c r="AQ1488">
        <v>6</v>
      </c>
      <c r="AR1488">
        <v>9.4513103709477893</v>
      </c>
      <c r="AS1488">
        <v>1</v>
      </c>
      <c r="AT1488">
        <v>0.93119266055045902</v>
      </c>
      <c r="AU1488">
        <v>3.4722222222222203E-2</v>
      </c>
      <c r="AV1488">
        <v>5.4527263631815898E-2</v>
      </c>
      <c r="AW1488">
        <v>9.0252417875604493E-2</v>
      </c>
      <c r="AX1488">
        <v>0</v>
      </c>
      <c r="AY1488">
        <v>2</v>
      </c>
      <c r="AZ1488">
        <v>0</v>
      </c>
      <c r="BA1488">
        <v>3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1</v>
      </c>
      <c r="BU1488">
        <v>10</v>
      </c>
      <c r="BV1488">
        <v>0</v>
      </c>
      <c r="BW1488">
        <v>0</v>
      </c>
      <c r="BX1488">
        <v>26</v>
      </c>
      <c r="BY1488">
        <v>769</v>
      </c>
      <c r="BZ1488">
        <v>0</v>
      </c>
      <c r="CA1488">
        <v>0</v>
      </c>
      <c r="CB1488">
        <v>0</v>
      </c>
      <c r="CC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C1488">
        <v>0</v>
      </c>
      <c r="DD1488">
        <v>0</v>
      </c>
      <c r="DE1488">
        <v>0</v>
      </c>
      <c r="DF1488">
        <v>0</v>
      </c>
      <c r="DH1488">
        <v>40.299999999999997</v>
      </c>
      <c r="DI1488">
        <v>51.3</v>
      </c>
    </row>
    <row r="1489" spans="1:113" ht="15" customHeight="1" x14ac:dyDescent="0.25">
      <c r="A1489" t="s">
        <v>6791</v>
      </c>
      <c r="B1489" t="s">
        <v>6792</v>
      </c>
      <c r="C1489" t="s">
        <v>515</v>
      </c>
      <c r="D1489" t="s">
        <v>439</v>
      </c>
      <c r="E1489" t="s">
        <v>439</v>
      </c>
      <c r="F1489" t="s">
        <v>6793</v>
      </c>
      <c r="G1489">
        <v>2025</v>
      </c>
      <c r="H1489" t="s">
        <v>1160</v>
      </c>
      <c r="I1489" t="s">
        <v>96</v>
      </c>
      <c r="J1489">
        <v>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Y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H1489">
        <v>0</v>
      </c>
      <c r="AI1489">
        <v>29</v>
      </c>
      <c r="AJ1489">
        <v>34</v>
      </c>
      <c r="AK1489">
        <v>190</v>
      </c>
      <c r="AL1489">
        <v>1</v>
      </c>
      <c r="AM1489">
        <v>0</v>
      </c>
      <c r="AN1489">
        <v>0</v>
      </c>
      <c r="AO1489">
        <v>164</v>
      </c>
      <c r="AP1489">
        <v>86</v>
      </c>
      <c r="AQ1489">
        <v>8</v>
      </c>
      <c r="AR1489">
        <v>4.4169948063615703</v>
      </c>
      <c r="AS1489">
        <v>0</v>
      </c>
      <c r="AT1489">
        <v>1.15853658536585</v>
      </c>
      <c r="AU1489">
        <v>7.0833333333333304E-2</v>
      </c>
      <c r="AV1489">
        <v>4.7536231884057999E-2</v>
      </c>
      <c r="AW1489">
        <v>0.139525362318841</v>
      </c>
      <c r="AX1489">
        <v>0</v>
      </c>
      <c r="AY1489">
        <v>4</v>
      </c>
      <c r="AZ1489">
        <v>0</v>
      </c>
      <c r="BA1489">
        <v>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</v>
      </c>
      <c r="BU1489">
        <v>10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C1489">
        <v>0</v>
      </c>
      <c r="DD1489">
        <v>0</v>
      </c>
      <c r="DE1489">
        <v>0</v>
      </c>
      <c r="DF1489">
        <v>0</v>
      </c>
      <c r="DH1489">
        <v>25</v>
      </c>
      <c r="DI1489">
        <v>54</v>
      </c>
    </row>
    <row r="1490" spans="1:113" ht="15" customHeight="1" x14ac:dyDescent="0.25">
      <c r="A1490" t="s">
        <v>6794</v>
      </c>
      <c r="B1490" t="s">
        <v>6795</v>
      </c>
      <c r="C1490" t="s">
        <v>6796</v>
      </c>
      <c r="D1490" t="s">
        <v>1350</v>
      </c>
      <c r="E1490" t="s">
        <v>1307</v>
      </c>
      <c r="F1490" t="s">
        <v>6797</v>
      </c>
      <c r="G1490">
        <v>2025</v>
      </c>
      <c r="H1490" t="s">
        <v>1160</v>
      </c>
      <c r="I1490" t="s">
        <v>89</v>
      </c>
      <c r="J1490">
        <v>10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Y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S1490">
        <v>0</v>
      </c>
      <c r="AU1490">
        <v>0</v>
      </c>
      <c r="AV1490">
        <v>0</v>
      </c>
      <c r="AW1490">
        <v>0</v>
      </c>
      <c r="AX1490">
        <v>0</v>
      </c>
      <c r="AY1490">
        <v>9</v>
      </c>
      <c r="AZ1490">
        <v>0</v>
      </c>
      <c r="BA1490">
        <v>2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2</v>
      </c>
      <c r="BU1490">
        <v>10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C1490">
        <v>0</v>
      </c>
      <c r="DD1490">
        <v>0</v>
      </c>
      <c r="DE1490">
        <v>0</v>
      </c>
      <c r="DF1490">
        <v>0</v>
      </c>
      <c r="DH1490">
        <v>0</v>
      </c>
      <c r="DI1490">
        <v>0</v>
      </c>
    </row>
    <row r="1491" spans="1:113" ht="15" customHeight="1" x14ac:dyDescent="0.25">
      <c r="A1491" t="s">
        <v>6798</v>
      </c>
      <c r="B1491" t="s">
        <v>6799</v>
      </c>
      <c r="C1491" t="s">
        <v>6800</v>
      </c>
      <c r="D1491" t="s">
        <v>1297</v>
      </c>
      <c r="E1491" t="s">
        <v>1220</v>
      </c>
      <c r="F1491" t="s">
        <v>6801</v>
      </c>
      <c r="G1491">
        <v>2025</v>
      </c>
      <c r="H1491" t="s">
        <v>1160</v>
      </c>
      <c r="I1491" t="s">
        <v>103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Y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S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  <c r="BU1491">
        <v>4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C1491">
        <v>0</v>
      </c>
      <c r="DD1491">
        <v>0</v>
      </c>
      <c r="DE1491">
        <v>0</v>
      </c>
      <c r="DF1491">
        <v>0</v>
      </c>
      <c r="DH1491">
        <v>0</v>
      </c>
      <c r="DI1491">
        <v>0</v>
      </c>
    </row>
    <row r="1492" spans="1:113" ht="15" customHeight="1" x14ac:dyDescent="0.25">
      <c r="A1492" t="s">
        <v>6802</v>
      </c>
      <c r="B1492" t="s">
        <v>6803</v>
      </c>
      <c r="C1492" t="s">
        <v>665</v>
      </c>
      <c r="D1492" t="s">
        <v>439</v>
      </c>
      <c r="E1492" t="s">
        <v>439</v>
      </c>
      <c r="F1492" t="s">
        <v>6804</v>
      </c>
      <c r="G1492">
        <v>2025</v>
      </c>
      <c r="H1492" t="s">
        <v>1160</v>
      </c>
      <c r="I1492" t="s">
        <v>121</v>
      </c>
      <c r="J1492">
        <v>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Y1492">
        <v>0</v>
      </c>
      <c r="AA1492">
        <v>4</v>
      </c>
      <c r="AB1492">
        <v>3</v>
      </c>
      <c r="AC1492">
        <v>0</v>
      </c>
      <c r="AD1492">
        <v>0</v>
      </c>
      <c r="AE1492">
        <v>0</v>
      </c>
      <c r="AF1492">
        <v>2</v>
      </c>
      <c r="AG1492">
        <v>-4.2785193783929598</v>
      </c>
      <c r="AH1492">
        <v>0</v>
      </c>
      <c r="AI1492">
        <v>12</v>
      </c>
      <c r="AJ1492">
        <v>16</v>
      </c>
      <c r="AK1492">
        <v>76</v>
      </c>
      <c r="AL1492">
        <v>0</v>
      </c>
      <c r="AM1492">
        <v>0</v>
      </c>
      <c r="AN1492">
        <v>0</v>
      </c>
      <c r="AO1492">
        <v>31</v>
      </c>
      <c r="AP1492">
        <v>52</v>
      </c>
      <c r="AQ1492">
        <v>4</v>
      </c>
      <c r="AR1492">
        <v>2.2166284519480501</v>
      </c>
      <c r="AS1492">
        <v>0</v>
      </c>
      <c r="AT1492">
        <v>2.45161290322581</v>
      </c>
      <c r="AU1492">
        <v>2.8933092224231498E-2</v>
      </c>
      <c r="AV1492">
        <v>6.5057712486883499E-3</v>
      </c>
      <c r="AW1492">
        <v>4.7953678210429E-2</v>
      </c>
      <c r="AX1492">
        <v>0</v>
      </c>
      <c r="AY1492">
        <v>2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1</v>
      </c>
      <c r="BU1492">
        <v>5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C1492">
        <v>0</v>
      </c>
      <c r="DD1492">
        <v>0</v>
      </c>
      <c r="DE1492">
        <v>0</v>
      </c>
      <c r="DF1492">
        <v>0</v>
      </c>
      <c r="DH1492">
        <v>7.9</v>
      </c>
      <c r="DI1492">
        <v>19.899999999999999</v>
      </c>
    </row>
    <row r="1493" spans="1:113" ht="15" customHeight="1" x14ac:dyDescent="0.25">
      <c r="A1493" t="s">
        <v>6805</v>
      </c>
      <c r="B1493" t="s">
        <v>6806</v>
      </c>
      <c r="C1493" t="s">
        <v>6807</v>
      </c>
      <c r="D1493" t="s">
        <v>1684</v>
      </c>
      <c r="E1493" t="s">
        <v>1307</v>
      </c>
      <c r="F1493" t="s">
        <v>6808</v>
      </c>
      <c r="G1493">
        <v>2025</v>
      </c>
      <c r="H1493" t="s">
        <v>1160</v>
      </c>
      <c r="I1493" t="s">
        <v>141</v>
      </c>
      <c r="J1493">
        <v>12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Y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S1493">
        <v>0</v>
      </c>
      <c r="AU1493">
        <v>0</v>
      </c>
      <c r="AV1493">
        <v>0</v>
      </c>
      <c r="AW1493">
        <v>0</v>
      </c>
      <c r="AX1493">
        <v>0</v>
      </c>
      <c r="AY1493">
        <v>42</v>
      </c>
      <c r="AZ1493">
        <v>2</v>
      </c>
      <c r="BA1493">
        <v>32</v>
      </c>
      <c r="BB1493">
        <v>3</v>
      </c>
      <c r="BC1493">
        <v>6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3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C1493">
        <v>0</v>
      </c>
      <c r="DD1493">
        <v>0</v>
      </c>
      <c r="DE1493">
        <v>0</v>
      </c>
      <c r="DF1493">
        <v>0</v>
      </c>
      <c r="DH1493">
        <v>0</v>
      </c>
      <c r="DI1493">
        <v>0</v>
      </c>
    </row>
    <row r="1494" spans="1:113" ht="15" customHeight="1" x14ac:dyDescent="0.25">
      <c r="A1494" t="s">
        <v>6809</v>
      </c>
      <c r="B1494" t="s">
        <v>6810</v>
      </c>
      <c r="C1494" t="s">
        <v>987</v>
      </c>
      <c r="D1494" t="s">
        <v>431</v>
      </c>
      <c r="E1494" t="s">
        <v>431</v>
      </c>
      <c r="F1494" t="s">
        <v>6811</v>
      </c>
      <c r="G1494">
        <v>2025</v>
      </c>
      <c r="H1494" t="s">
        <v>1160</v>
      </c>
      <c r="I1494" t="s">
        <v>126</v>
      </c>
      <c r="J1494">
        <v>10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Y1494">
        <v>0</v>
      </c>
      <c r="AA1494">
        <v>173</v>
      </c>
      <c r="AB1494">
        <v>588</v>
      </c>
      <c r="AC1494">
        <v>1</v>
      </c>
      <c r="AD1494">
        <v>1</v>
      </c>
      <c r="AE1494">
        <v>1</v>
      </c>
      <c r="AF1494">
        <v>29</v>
      </c>
      <c r="AG1494">
        <v>-35.577412204652802</v>
      </c>
      <c r="AH1494">
        <v>0</v>
      </c>
      <c r="AI1494">
        <v>30</v>
      </c>
      <c r="AJ1494">
        <v>35</v>
      </c>
      <c r="AK1494">
        <v>277</v>
      </c>
      <c r="AL1494">
        <v>3</v>
      </c>
      <c r="AM1494">
        <v>0</v>
      </c>
      <c r="AN1494">
        <v>0</v>
      </c>
      <c r="AO1494">
        <v>-56</v>
      </c>
      <c r="AP1494">
        <v>360</v>
      </c>
      <c r="AQ1494">
        <v>11</v>
      </c>
      <c r="AR1494">
        <v>8.8123761942260899</v>
      </c>
      <c r="AS1494">
        <v>0</v>
      </c>
      <c r="AT1494">
        <v>-4.9464285714285703</v>
      </c>
      <c r="AU1494">
        <v>6.4695009242144205E-2</v>
      </c>
      <c r="AV1494">
        <v>-1.24333925399645E-2</v>
      </c>
      <c r="AW1494">
        <v>8.8339139085241103E-2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C1494">
        <v>0</v>
      </c>
      <c r="DD1494">
        <v>0</v>
      </c>
      <c r="DE1494">
        <v>0</v>
      </c>
      <c r="DF1494">
        <v>0</v>
      </c>
      <c r="DH1494">
        <v>108.5</v>
      </c>
      <c r="DI1494">
        <v>138.5</v>
      </c>
    </row>
    <row r="1495" spans="1:113" ht="15" customHeight="1" x14ac:dyDescent="0.25">
      <c r="A1495" t="s">
        <v>6812</v>
      </c>
      <c r="B1495" t="s">
        <v>6813</v>
      </c>
      <c r="C1495" t="s">
        <v>965</v>
      </c>
      <c r="D1495" t="s">
        <v>431</v>
      </c>
      <c r="E1495" t="s">
        <v>431</v>
      </c>
      <c r="F1495" t="s">
        <v>6814</v>
      </c>
      <c r="G1495">
        <v>2025</v>
      </c>
      <c r="H1495" t="s">
        <v>1160</v>
      </c>
      <c r="I1495" t="s">
        <v>141</v>
      </c>
      <c r="J1495">
        <v>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Y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S1495">
        <v>0</v>
      </c>
      <c r="AU1495">
        <v>0</v>
      </c>
      <c r="AV1495">
        <v>0</v>
      </c>
      <c r="AW1495">
        <v>0</v>
      </c>
      <c r="AX1495">
        <v>0</v>
      </c>
      <c r="AY1495">
        <v>2</v>
      </c>
      <c r="AZ1495">
        <v>0</v>
      </c>
      <c r="BA1495">
        <v>2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5</v>
      </c>
      <c r="BY1495">
        <v>100</v>
      </c>
      <c r="BZ1495">
        <v>0</v>
      </c>
      <c r="CA1495">
        <v>0</v>
      </c>
      <c r="CB1495">
        <v>0</v>
      </c>
      <c r="CC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C1495">
        <v>0</v>
      </c>
      <c r="DD1495">
        <v>0</v>
      </c>
      <c r="DE1495">
        <v>0</v>
      </c>
      <c r="DF1495">
        <v>0</v>
      </c>
      <c r="DH1495">
        <v>0</v>
      </c>
      <c r="DI1495">
        <v>0</v>
      </c>
    </row>
    <row r="1496" spans="1:113" ht="15" customHeight="1" x14ac:dyDescent="0.25">
      <c r="A1496" t="s">
        <v>6815</v>
      </c>
      <c r="B1496" t="s">
        <v>6816</v>
      </c>
      <c r="C1496" t="s">
        <v>627</v>
      </c>
      <c r="D1496" t="s">
        <v>431</v>
      </c>
      <c r="E1496" t="s">
        <v>431</v>
      </c>
      <c r="F1496" t="s">
        <v>6817</v>
      </c>
      <c r="G1496">
        <v>2025</v>
      </c>
      <c r="H1496" t="s">
        <v>1160</v>
      </c>
      <c r="I1496" t="s">
        <v>111</v>
      </c>
      <c r="J1496">
        <v>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Y1496">
        <v>0</v>
      </c>
      <c r="AA1496">
        <v>1</v>
      </c>
      <c r="AB1496">
        <v>4</v>
      </c>
      <c r="AC1496">
        <v>0</v>
      </c>
      <c r="AD1496">
        <v>0</v>
      </c>
      <c r="AE1496">
        <v>0</v>
      </c>
      <c r="AF1496">
        <v>0</v>
      </c>
      <c r="AG1496">
        <v>-0.88156277523376103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S1496">
        <v>0</v>
      </c>
      <c r="AU1496">
        <v>0</v>
      </c>
      <c r="AV1496">
        <v>0</v>
      </c>
      <c r="AW1496">
        <v>0</v>
      </c>
      <c r="AX1496">
        <v>0</v>
      </c>
      <c r="AY1496">
        <v>6</v>
      </c>
      <c r="AZ1496">
        <v>0</v>
      </c>
      <c r="BA1496">
        <v>4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2</v>
      </c>
      <c r="BY1496">
        <v>39</v>
      </c>
      <c r="BZ1496">
        <v>0</v>
      </c>
      <c r="CA1496">
        <v>0</v>
      </c>
      <c r="CB1496">
        <v>0</v>
      </c>
      <c r="CC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C1496">
        <v>0</v>
      </c>
      <c r="DD1496">
        <v>0</v>
      </c>
      <c r="DE1496">
        <v>0</v>
      </c>
      <c r="DF1496">
        <v>0</v>
      </c>
      <c r="DH1496">
        <v>0.4</v>
      </c>
      <c r="DI1496">
        <v>0.4</v>
      </c>
    </row>
    <row r="1497" spans="1:113" ht="15" customHeight="1" x14ac:dyDescent="0.25">
      <c r="A1497" t="s">
        <v>6818</v>
      </c>
      <c r="B1497" t="s">
        <v>6819</v>
      </c>
      <c r="C1497" t="s">
        <v>6820</v>
      </c>
      <c r="D1497" t="s">
        <v>1350</v>
      </c>
      <c r="E1497" t="s">
        <v>1307</v>
      </c>
      <c r="F1497" t="s">
        <v>6821</v>
      </c>
      <c r="G1497">
        <v>2025</v>
      </c>
      <c r="H1497" t="s">
        <v>1160</v>
      </c>
      <c r="I1497" t="s">
        <v>131</v>
      </c>
      <c r="J1497">
        <v>15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Y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S1497">
        <v>0</v>
      </c>
      <c r="AU1497">
        <v>0</v>
      </c>
      <c r="AV1497">
        <v>0</v>
      </c>
      <c r="AW1497">
        <v>0</v>
      </c>
      <c r="AX1497">
        <v>0</v>
      </c>
      <c r="AY1497">
        <v>36</v>
      </c>
      <c r="AZ1497">
        <v>1</v>
      </c>
      <c r="BA1497">
        <v>16</v>
      </c>
      <c r="BB1497">
        <v>5</v>
      </c>
      <c r="BC1497">
        <v>18</v>
      </c>
      <c r="BD1497">
        <v>0</v>
      </c>
      <c r="BE1497">
        <v>0</v>
      </c>
      <c r="BF1497">
        <v>0</v>
      </c>
      <c r="BG1497">
        <v>2</v>
      </c>
      <c r="BH1497">
        <v>0</v>
      </c>
      <c r="BI1497">
        <v>0</v>
      </c>
      <c r="BJ1497">
        <v>7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4</v>
      </c>
      <c r="BU1497">
        <v>67</v>
      </c>
      <c r="BV1497">
        <v>5</v>
      </c>
      <c r="BW1497">
        <v>36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C1497">
        <v>0</v>
      </c>
      <c r="DD1497">
        <v>0</v>
      </c>
      <c r="DE1497">
        <v>0</v>
      </c>
      <c r="DF1497">
        <v>0</v>
      </c>
      <c r="DH1497">
        <v>0</v>
      </c>
      <c r="DI1497">
        <v>0</v>
      </c>
    </row>
    <row r="1498" spans="1:113" ht="15" customHeight="1" x14ac:dyDescent="0.25">
      <c r="A1498" t="s">
        <v>6822</v>
      </c>
      <c r="B1498" t="s">
        <v>6823</v>
      </c>
      <c r="C1498" t="s">
        <v>6824</v>
      </c>
      <c r="D1498" t="s">
        <v>1234</v>
      </c>
      <c r="E1498" t="s">
        <v>1234</v>
      </c>
      <c r="F1498" t="s">
        <v>6825</v>
      </c>
      <c r="G1498">
        <v>2025</v>
      </c>
      <c r="H1498" t="s">
        <v>1160</v>
      </c>
      <c r="I1498" t="s">
        <v>143</v>
      </c>
      <c r="J1498">
        <v>14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Y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S1498">
        <v>0</v>
      </c>
      <c r="AU1498">
        <v>0</v>
      </c>
      <c r="AV1498">
        <v>0</v>
      </c>
      <c r="AW1498">
        <v>0</v>
      </c>
      <c r="AX1498">
        <v>0</v>
      </c>
      <c r="AY1498">
        <v>31</v>
      </c>
      <c r="AZ1498">
        <v>0</v>
      </c>
      <c r="BA1498">
        <v>23</v>
      </c>
      <c r="BB1498">
        <v>3</v>
      </c>
      <c r="BC1498">
        <v>5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2</v>
      </c>
      <c r="BU1498">
        <v>25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C1498">
        <v>0</v>
      </c>
      <c r="DD1498">
        <v>0</v>
      </c>
      <c r="DE1498">
        <v>0</v>
      </c>
      <c r="DF1498">
        <v>0</v>
      </c>
      <c r="DH1498">
        <v>0</v>
      </c>
      <c r="DI1498">
        <v>0</v>
      </c>
    </row>
    <row r="1499" spans="1:113" ht="15" customHeight="1" x14ac:dyDescent="0.25">
      <c r="A1499" t="s">
        <v>6826</v>
      </c>
      <c r="B1499" t="s">
        <v>6827</v>
      </c>
      <c r="C1499" t="s">
        <v>6828</v>
      </c>
      <c r="D1499" t="s">
        <v>1350</v>
      </c>
      <c r="E1499" t="s">
        <v>1307</v>
      </c>
      <c r="F1499" t="s">
        <v>6829</v>
      </c>
      <c r="G1499">
        <v>2025</v>
      </c>
      <c r="H1499" t="s">
        <v>1160</v>
      </c>
      <c r="I1499" t="s">
        <v>131</v>
      </c>
      <c r="J1499">
        <v>16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Y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S1499">
        <v>0</v>
      </c>
      <c r="AU1499">
        <v>0</v>
      </c>
      <c r="AV1499">
        <v>0</v>
      </c>
      <c r="AW1499">
        <v>0</v>
      </c>
      <c r="AX1499">
        <v>0</v>
      </c>
      <c r="AY1499">
        <v>37</v>
      </c>
      <c r="AZ1499">
        <v>0</v>
      </c>
      <c r="BA1499">
        <v>11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27</v>
      </c>
      <c r="BJ1499">
        <v>11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4</v>
      </c>
      <c r="BU1499">
        <v>22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C1499">
        <v>0</v>
      </c>
      <c r="DD1499">
        <v>0</v>
      </c>
      <c r="DE1499">
        <v>0</v>
      </c>
      <c r="DF1499">
        <v>0</v>
      </c>
      <c r="DH1499">
        <v>0</v>
      </c>
      <c r="DI1499">
        <v>0</v>
      </c>
    </row>
    <row r="1500" spans="1:113" ht="15" customHeight="1" x14ac:dyDescent="0.25">
      <c r="A1500" t="s">
        <v>6830</v>
      </c>
      <c r="B1500" t="s">
        <v>6831</v>
      </c>
      <c r="C1500" t="s">
        <v>6832</v>
      </c>
      <c r="D1500" t="s">
        <v>1234</v>
      </c>
      <c r="E1500" t="s">
        <v>1234</v>
      </c>
      <c r="F1500" t="s">
        <v>6833</v>
      </c>
      <c r="G1500">
        <v>2025</v>
      </c>
      <c r="H1500" t="s">
        <v>1160</v>
      </c>
      <c r="I1500" t="s">
        <v>93</v>
      </c>
      <c r="J1500">
        <v>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Y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S1500">
        <v>0</v>
      </c>
      <c r="AU1500">
        <v>0</v>
      </c>
      <c r="AV1500">
        <v>0</v>
      </c>
      <c r="AW1500">
        <v>0</v>
      </c>
      <c r="AX1500">
        <v>0</v>
      </c>
      <c r="AY1500">
        <v>13</v>
      </c>
      <c r="AZ1500">
        <v>0</v>
      </c>
      <c r="BA1500">
        <v>22</v>
      </c>
      <c r="BB1500">
        <v>1</v>
      </c>
      <c r="BC1500">
        <v>2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2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C1500">
        <v>0</v>
      </c>
      <c r="DD1500">
        <v>0</v>
      </c>
      <c r="DE1500">
        <v>0</v>
      </c>
      <c r="DF1500">
        <v>0</v>
      </c>
      <c r="DH1500">
        <v>0</v>
      </c>
      <c r="DI1500">
        <v>0</v>
      </c>
    </row>
    <row r="1501" spans="1:113" ht="15" customHeight="1" x14ac:dyDescent="0.25">
      <c r="A1501" t="s">
        <v>6834</v>
      </c>
      <c r="B1501" t="s">
        <v>6835</v>
      </c>
      <c r="C1501" t="s">
        <v>6836</v>
      </c>
      <c r="D1501" t="s">
        <v>1350</v>
      </c>
      <c r="E1501" t="s">
        <v>1307</v>
      </c>
      <c r="F1501" t="s">
        <v>6837</v>
      </c>
      <c r="G1501">
        <v>2025</v>
      </c>
      <c r="H1501" t="s">
        <v>1160</v>
      </c>
      <c r="I1501" t="s">
        <v>115</v>
      </c>
      <c r="J1501">
        <v>11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Y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S1501">
        <v>0</v>
      </c>
      <c r="AU1501">
        <v>0</v>
      </c>
      <c r="AV1501">
        <v>0</v>
      </c>
      <c r="AW1501">
        <v>0</v>
      </c>
      <c r="AX1501">
        <v>0</v>
      </c>
      <c r="AY1501">
        <v>21</v>
      </c>
      <c r="AZ1501">
        <v>0</v>
      </c>
      <c r="BA1501">
        <v>9</v>
      </c>
      <c r="BB1501">
        <v>1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2</v>
      </c>
      <c r="BU1501">
        <v>20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C1501">
        <v>0</v>
      </c>
      <c r="DD1501">
        <v>0</v>
      </c>
      <c r="DE1501">
        <v>0</v>
      </c>
      <c r="DF1501">
        <v>0</v>
      </c>
      <c r="DH1501">
        <v>0</v>
      </c>
      <c r="DI1501">
        <v>0</v>
      </c>
    </row>
    <row r="1502" spans="1:113" ht="15" customHeight="1" x14ac:dyDescent="0.25">
      <c r="A1502" t="s">
        <v>6838</v>
      </c>
      <c r="B1502" t="s">
        <v>5776</v>
      </c>
      <c r="C1502" t="s">
        <v>6839</v>
      </c>
      <c r="D1502" t="s">
        <v>1350</v>
      </c>
      <c r="E1502" t="s">
        <v>1307</v>
      </c>
      <c r="F1502" t="s">
        <v>6840</v>
      </c>
      <c r="G1502">
        <v>2025</v>
      </c>
      <c r="H1502" t="s">
        <v>1160</v>
      </c>
      <c r="I1502" t="s">
        <v>101</v>
      </c>
      <c r="J1502">
        <v>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Y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S1502">
        <v>0</v>
      </c>
      <c r="AU1502">
        <v>0</v>
      </c>
      <c r="AV1502">
        <v>0</v>
      </c>
      <c r="AW1502">
        <v>0</v>
      </c>
      <c r="AX1502">
        <v>0</v>
      </c>
      <c r="AY1502">
        <v>33</v>
      </c>
      <c r="AZ1502">
        <v>2</v>
      </c>
      <c r="BA1502">
        <v>18</v>
      </c>
      <c r="BB1502">
        <v>3</v>
      </c>
      <c r="BC1502">
        <v>5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3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10</v>
      </c>
      <c r="BU1502">
        <v>87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C1502">
        <v>0</v>
      </c>
      <c r="DD1502">
        <v>0</v>
      </c>
      <c r="DE1502">
        <v>0</v>
      </c>
      <c r="DF1502">
        <v>0</v>
      </c>
      <c r="DH1502">
        <v>0</v>
      </c>
      <c r="DI1502">
        <v>0</v>
      </c>
    </row>
    <row r="1503" spans="1:113" ht="15" customHeight="1" x14ac:dyDescent="0.25">
      <c r="A1503" t="s">
        <v>6841</v>
      </c>
      <c r="B1503" t="s">
        <v>6842</v>
      </c>
      <c r="C1503" t="s">
        <v>6843</v>
      </c>
      <c r="D1503" t="s">
        <v>431</v>
      </c>
      <c r="E1503" t="s">
        <v>431</v>
      </c>
      <c r="F1503" t="s">
        <v>6844</v>
      </c>
      <c r="G1503">
        <v>2025</v>
      </c>
      <c r="H1503" t="s">
        <v>1160</v>
      </c>
      <c r="I1503" t="s">
        <v>138</v>
      </c>
      <c r="J1503">
        <v>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Y1503">
        <v>0</v>
      </c>
      <c r="AA1503">
        <v>46</v>
      </c>
      <c r="AB1503">
        <v>198</v>
      </c>
      <c r="AC1503">
        <v>1</v>
      </c>
      <c r="AD1503">
        <v>0</v>
      </c>
      <c r="AE1503">
        <v>0</v>
      </c>
      <c r="AF1503">
        <v>12</v>
      </c>
      <c r="AG1503">
        <v>4.6881773328641403</v>
      </c>
      <c r="AH1503">
        <v>0</v>
      </c>
      <c r="AI1503">
        <v>12</v>
      </c>
      <c r="AJ1503">
        <v>13</v>
      </c>
      <c r="AK1503">
        <v>103</v>
      </c>
      <c r="AL1503">
        <v>0</v>
      </c>
      <c r="AM1503">
        <v>0</v>
      </c>
      <c r="AN1503">
        <v>0</v>
      </c>
      <c r="AO1503">
        <v>-2</v>
      </c>
      <c r="AP1503">
        <v>108</v>
      </c>
      <c r="AQ1503">
        <v>3</v>
      </c>
      <c r="AR1503">
        <v>3.7729433105560002</v>
      </c>
      <c r="AS1503">
        <v>0</v>
      </c>
      <c r="AT1503">
        <v>-51.5</v>
      </c>
      <c r="AU1503">
        <v>2.3008849557522099E-2</v>
      </c>
      <c r="AV1503">
        <v>-4.1779820346772502E-4</v>
      </c>
      <c r="AW1503">
        <v>3.42208155938558E-2</v>
      </c>
      <c r="AX1503">
        <v>0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C1503">
        <v>0</v>
      </c>
      <c r="DD1503">
        <v>0</v>
      </c>
      <c r="DE1503">
        <v>0</v>
      </c>
      <c r="DF1503">
        <v>0</v>
      </c>
      <c r="DH1503">
        <v>36.1</v>
      </c>
      <c r="DI1503">
        <v>48.1</v>
      </c>
    </row>
    <row r="1504" spans="1:113" ht="15" customHeight="1" x14ac:dyDescent="0.25">
      <c r="A1504" t="s">
        <v>6845</v>
      </c>
      <c r="B1504" t="s">
        <v>6846</v>
      </c>
      <c r="C1504" t="s">
        <v>6847</v>
      </c>
      <c r="D1504" t="s">
        <v>1234</v>
      </c>
      <c r="E1504" t="s">
        <v>1234</v>
      </c>
      <c r="F1504" t="s">
        <v>6848</v>
      </c>
      <c r="G1504">
        <v>2025</v>
      </c>
      <c r="H1504" t="s">
        <v>1160</v>
      </c>
      <c r="I1504" t="s">
        <v>89</v>
      </c>
      <c r="J1504">
        <v>14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Y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S1504">
        <v>0</v>
      </c>
      <c r="AU1504">
        <v>0</v>
      </c>
      <c r="AV1504">
        <v>0</v>
      </c>
      <c r="AW1504">
        <v>0</v>
      </c>
      <c r="AX1504">
        <v>0</v>
      </c>
      <c r="AY1504">
        <v>21</v>
      </c>
      <c r="AZ1504">
        <v>0</v>
      </c>
      <c r="BA1504">
        <v>15</v>
      </c>
      <c r="BB1504">
        <v>1</v>
      </c>
      <c r="BC1504">
        <v>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4</v>
      </c>
      <c r="BU1504">
        <v>26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C1504">
        <v>0</v>
      </c>
      <c r="DD1504">
        <v>0</v>
      </c>
      <c r="DE1504">
        <v>0</v>
      </c>
      <c r="DF1504">
        <v>0</v>
      </c>
      <c r="DH1504">
        <v>0</v>
      </c>
      <c r="DI1504">
        <v>0</v>
      </c>
    </row>
    <row r="1505" spans="1:113" ht="15" customHeight="1" x14ac:dyDescent="0.25">
      <c r="A1505" t="s">
        <v>6849</v>
      </c>
      <c r="B1505" t="s">
        <v>6850</v>
      </c>
      <c r="C1505" t="s">
        <v>6851</v>
      </c>
      <c r="D1505" t="s">
        <v>1350</v>
      </c>
      <c r="E1505" t="s">
        <v>1307</v>
      </c>
      <c r="F1505" t="s">
        <v>6852</v>
      </c>
      <c r="G1505">
        <v>2025</v>
      </c>
      <c r="H1505" t="s">
        <v>1160</v>
      </c>
      <c r="I1505" t="s">
        <v>107</v>
      </c>
      <c r="J1505">
        <v>11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Y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S1505">
        <v>0</v>
      </c>
      <c r="AU1505">
        <v>0</v>
      </c>
      <c r="AV1505">
        <v>0</v>
      </c>
      <c r="AW1505">
        <v>0</v>
      </c>
      <c r="AX1505">
        <v>0</v>
      </c>
      <c r="AY1505">
        <v>12</v>
      </c>
      <c r="AZ1505">
        <v>0</v>
      </c>
      <c r="BA1505">
        <v>3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3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</v>
      </c>
      <c r="BU1505">
        <v>4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C1505">
        <v>0</v>
      </c>
      <c r="DD1505">
        <v>0</v>
      </c>
      <c r="DE1505">
        <v>0</v>
      </c>
      <c r="DF1505">
        <v>0</v>
      </c>
      <c r="DH1505">
        <v>0</v>
      </c>
      <c r="DI1505">
        <v>0</v>
      </c>
    </row>
    <row r="1506" spans="1:113" ht="15" customHeight="1" x14ac:dyDescent="0.25">
      <c r="A1506" t="s">
        <v>6853</v>
      </c>
      <c r="B1506" t="s">
        <v>6854</v>
      </c>
      <c r="C1506" t="s">
        <v>6855</v>
      </c>
      <c r="D1506" t="s">
        <v>1158</v>
      </c>
      <c r="E1506" t="s">
        <v>1158</v>
      </c>
      <c r="F1506" t="s">
        <v>6856</v>
      </c>
      <c r="G1506">
        <v>2025</v>
      </c>
      <c r="H1506" t="s">
        <v>1160</v>
      </c>
      <c r="I1506" t="s">
        <v>138</v>
      </c>
      <c r="J1506">
        <v>9</v>
      </c>
      <c r="K1506">
        <v>174</v>
      </c>
      <c r="L1506">
        <v>257</v>
      </c>
      <c r="M1506">
        <v>1586</v>
      </c>
      <c r="N1506">
        <v>8</v>
      </c>
      <c r="O1506">
        <v>5</v>
      </c>
      <c r="P1506">
        <v>18</v>
      </c>
      <c r="Q1506">
        <v>-104</v>
      </c>
      <c r="R1506">
        <v>3</v>
      </c>
      <c r="S1506">
        <v>1</v>
      </c>
      <c r="T1506">
        <v>2030</v>
      </c>
      <c r="U1506">
        <v>642</v>
      </c>
      <c r="V1506">
        <v>74</v>
      </c>
      <c r="W1506">
        <v>-21.4979480179361</v>
      </c>
      <c r="X1506">
        <v>2.3567769965347001</v>
      </c>
      <c r="Y1506">
        <v>0</v>
      </c>
      <c r="Z1506">
        <v>0.78128078817734004</v>
      </c>
      <c r="AA1506">
        <v>31</v>
      </c>
      <c r="AB1506">
        <v>167</v>
      </c>
      <c r="AC1506">
        <v>0</v>
      </c>
      <c r="AD1506">
        <v>1</v>
      </c>
      <c r="AE1506">
        <v>1</v>
      </c>
      <c r="AF1506">
        <v>18</v>
      </c>
      <c r="AG1506">
        <v>8.6398802685872695</v>
      </c>
      <c r="AH1506">
        <v>0</v>
      </c>
      <c r="AI1506">
        <v>1</v>
      </c>
      <c r="AJ1506">
        <v>2</v>
      </c>
      <c r="AK1506">
        <v>0</v>
      </c>
      <c r="AL1506">
        <v>0</v>
      </c>
      <c r="AM1506">
        <v>0</v>
      </c>
      <c r="AN1506">
        <v>0</v>
      </c>
      <c r="AO1506">
        <v>4</v>
      </c>
      <c r="AP1506">
        <v>0</v>
      </c>
      <c r="AQ1506">
        <v>0</v>
      </c>
      <c r="AR1506">
        <v>-5.0924989468185196</v>
      </c>
      <c r="AS1506">
        <v>0</v>
      </c>
      <c r="AT1506">
        <v>0</v>
      </c>
      <c r="AU1506">
        <v>3.5398230088495601E-3</v>
      </c>
      <c r="AV1506">
        <v>8.3559640693545005E-4</v>
      </c>
      <c r="AW1506">
        <v>5.8946519981291504E-3</v>
      </c>
      <c r="AX1506">
        <v>0</v>
      </c>
      <c r="AY1506">
        <v>1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2</v>
      </c>
      <c r="BU1506">
        <v>21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C1506">
        <v>0</v>
      </c>
      <c r="DD1506">
        <v>0</v>
      </c>
      <c r="DE1506">
        <v>0</v>
      </c>
      <c r="DF1506">
        <v>0</v>
      </c>
      <c r="DH1506">
        <v>98.14</v>
      </c>
      <c r="DI1506">
        <v>99.14</v>
      </c>
    </row>
    <row r="1507" spans="1:113" ht="15" customHeight="1" x14ac:dyDescent="0.25">
      <c r="A1507" t="s">
        <v>6857</v>
      </c>
      <c r="B1507" t="s">
        <v>6858</v>
      </c>
      <c r="C1507" t="s">
        <v>6859</v>
      </c>
      <c r="D1507" t="s">
        <v>1234</v>
      </c>
      <c r="E1507" t="s">
        <v>1234</v>
      </c>
      <c r="F1507" t="s">
        <v>6860</v>
      </c>
      <c r="G1507">
        <v>2025</v>
      </c>
      <c r="H1507" t="s">
        <v>1160</v>
      </c>
      <c r="I1507" t="s">
        <v>124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Y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S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C1507">
        <v>0</v>
      </c>
      <c r="DD1507">
        <v>0</v>
      </c>
      <c r="DE1507">
        <v>0</v>
      </c>
      <c r="DF1507">
        <v>0</v>
      </c>
      <c r="DH1507">
        <v>0</v>
      </c>
      <c r="DI1507">
        <v>0</v>
      </c>
    </row>
    <row r="1508" spans="1:113" ht="15" customHeight="1" x14ac:dyDescent="0.25">
      <c r="A1508" t="s">
        <v>6861</v>
      </c>
      <c r="B1508" t="s">
        <v>6862</v>
      </c>
      <c r="C1508" t="s">
        <v>570</v>
      </c>
      <c r="D1508" t="s">
        <v>10</v>
      </c>
      <c r="E1508" t="s">
        <v>10</v>
      </c>
      <c r="F1508" t="s">
        <v>6863</v>
      </c>
      <c r="G1508">
        <v>2025</v>
      </c>
      <c r="H1508" t="s">
        <v>1160</v>
      </c>
      <c r="I1508" t="s">
        <v>109</v>
      </c>
      <c r="J1508">
        <v>8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Y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H1508">
        <v>0</v>
      </c>
      <c r="AI1508">
        <v>10</v>
      </c>
      <c r="AJ1508">
        <v>15</v>
      </c>
      <c r="AK1508">
        <v>107</v>
      </c>
      <c r="AL1508">
        <v>0</v>
      </c>
      <c r="AM1508">
        <v>0</v>
      </c>
      <c r="AN1508">
        <v>0</v>
      </c>
      <c r="AO1508">
        <v>102</v>
      </c>
      <c r="AP1508">
        <v>39</v>
      </c>
      <c r="AQ1508">
        <v>5</v>
      </c>
      <c r="AR1508">
        <v>2.3507991609221799</v>
      </c>
      <c r="AS1508">
        <v>0</v>
      </c>
      <c r="AT1508">
        <v>1.04901960784314</v>
      </c>
      <c r="AU1508">
        <v>2.8735632183908E-2</v>
      </c>
      <c r="AV1508">
        <v>2.6948480845442501E-2</v>
      </c>
      <c r="AW1508">
        <v>6.19673848676719E-2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C1508">
        <v>0</v>
      </c>
      <c r="DD1508">
        <v>0</v>
      </c>
      <c r="DE1508">
        <v>0</v>
      </c>
      <c r="DF1508">
        <v>0</v>
      </c>
      <c r="DH1508">
        <v>10.7</v>
      </c>
      <c r="DI1508">
        <v>20.7</v>
      </c>
    </row>
    <row r="1509" spans="1:113" ht="15" customHeight="1" x14ac:dyDescent="0.25">
      <c r="A1509" t="s">
        <v>6864</v>
      </c>
      <c r="B1509" t="s">
        <v>6865</v>
      </c>
      <c r="C1509" t="s">
        <v>6866</v>
      </c>
      <c r="D1509" t="s">
        <v>1350</v>
      </c>
      <c r="E1509" t="s">
        <v>1307</v>
      </c>
      <c r="F1509" t="s">
        <v>6867</v>
      </c>
      <c r="G1509">
        <v>2025</v>
      </c>
      <c r="H1509" t="s">
        <v>1160</v>
      </c>
      <c r="I1509" t="s">
        <v>96</v>
      </c>
      <c r="J1509">
        <v>16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Y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>
        <v>0</v>
      </c>
      <c r="AU1509">
        <v>0</v>
      </c>
      <c r="AV1509">
        <v>0</v>
      </c>
      <c r="AW1509">
        <v>0</v>
      </c>
      <c r="AX1509">
        <v>0</v>
      </c>
      <c r="AY1509">
        <v>43</v>
      </c>
      <c r="AZ1509">
        <v>0</v>
      </c>
      <c r="BA1509">
        <v>13</v>
      </c>
      <c r="BB1509">
        <v>1</v>
      </c>
      <c r="BC1509">
        <v>5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11</v>
      </c>
      <c r="BJ1509">
        <v>2</v>
      </c>
      <c r="BK1509">
        <v>1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</v>
      </c>
      <c r="BU1509">
        <v>5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C1509">
        <v>0</v>
      </c>
      <c r="DD1509">
        <v>0</v>
      </c>
      <c r="DE1509">
        <v>0</v>
      </c>
      <c r="DF1509">
        <v>0</v>
      </c>
      <c r="DH1509">
        <v>0</v>
      </c>
      <c r="DI1509">
        <v>0</v>
      </c>
    </row>
    <row r="1510" spans="1:113" ht="15" customHeight="1" x14ac:dyDescent="0.25">
      <c r="A1510" t="s">
        <v>6868</v>
      </c>
      <c r="B1510" t="s">
        <v>3909</v>
      </c>
      <c r="C1510" t="s">
        <v>6869</v>
      </c>
      <c r="D1510" t="s">
        <v>1350</v>
      </c>
      <c r="E1510" t="s">
        <v>1307</v>
      </c>
      <c r="F1510" t="s">
        <v>6870</v>
      </c>
      <c r="G1510">
        <v>2025</v>
      </c>
      <c r="H1510" t="s">
        <v>1160</v>
      </c>
      <c r="I1510" t="s">
        <v>118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Y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S1510">
        <v>0</v>
      </c>
      <c r="AU1510">
        <v>0</v>
      </c>
      <c r="AV1510">
        <v>0</v>
      </c>
      <c r="AW1510">
        <v>0</v>
      </c>
      <c r="AX1510">
        <v>0</v>
      </c>
      <c r="AY1510">
        <v>5</v>
      </c>
      <c r="AZ1510">
        <v>0</v>
      </c>
      <c r="BA1510">
        <v>3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1</v>
      </c>
      <c r="BU1510">
        <v>32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C1510">
        <v>0</v>
      </c>
      <c r="DD1510">
        <v>0</v>
      </c>
      <c r="DE1510">
        <v>0</v>
      </c>
      <c r="DF1510">
        <v>0</v>
      </c>
      <c r="DH1510">
        <v>0</v>
      </c>
      <c r="DI1510">
        <v>0</v>
      </c>
    </row>
    <row r="1511" spans="1:113" ht="15" customHeight="1" x14ac:dyDescent="0.25">
      <c r="A1511" t="s">
        <v>6871</v>
      </c>
      <c r="B1511" t="s">
        <v>6872</v>
      </c>
      <c r="C1511" t="s">
        <v>880</v>
      </c>
      <c r="D1511" t="s">
        <v>431</v>
      </c>
      <c r="E1511" t="s">
        <v>431</v>
      </c>
      <c r="F1511" t="s">
        <v>6873</v>
      </c>
      <c r="G1511">
        <v>2025</v>
      </c>
      <c r="H1511" t="s">
        <v>1160</v>
      </c>
      <c r="I1511" t="s">
        <v>139</v>
      </c>
      <c r="J1511">
        <v>15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Y1511">
        <v>0</v>
      </c>
      <c r="AA1511">
        <v>176</v>
      </c>
      <c r="AB1511">
        <v>740</v>
      </c>
      <c r="AC1511">
        <v>2</v>
      </c>
      <c r="AD1511">
        <v>0</v>
      </c>
      <c r="AE1511">
        <v>0</v>
      </c>
      <c r="AF1511">
        <v>42</v>
      </c>
      <c r="AG1511">
        <v>-9.7862889199022103</v>
      </c>
      <c r="AH1511">
        <v>0</v>
      </c>
      <c r="AI1511">
        <v>36</v>
      </c>
      <c r="AJ1511">
        <v>48</v>
      </c>
      <c r="AK1511">
        <v>288</v>
      </c>
      <c r="AL1511">
        <v>2</v>
      </c>
      <c r="AM1511">
        <v>1</v>
      </c>
      <c r="AN1511">
        <v>1</v>
      </c>
      <c r="AO1511">
        <v>19</v>
      </c>
      <c r="AP1511">
        <v>314</v>
      </c>
      <c r="AQ1511">
        <v>14</v>
      </c>
      <c r="AR1511">
        <v>4.0565857033043197E-2</v>
      </c>
      <c r="AS1511">
        <v>0</v>
      </c>
      <c r="AT1511">
        <v>15.157894736842101</v>
      </c>
      <c r="AU1511">
        <v>9.5427435387673898E-2</v>
      </c>
      <c r="AV1511">
        <v>4.24770847306059E-3</v>
      </c>
      <c r="AW1511">
        <v>0.146114549012653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2</v>
      </c>
      <c r="BU1511">
        <v>15</v>
      </c>
      <c r="BV1511">
        <v>0</v>
      </c>
      <c r="BW1511">
        <v>0</v>
      </c>
      <c r="BX1511">
        <v>5</v>
      </c>
      <c r="BY1511">
        <v>132</v>
      </c>
      <c r="BZ1511">
        <v>0</v>
      </c>
      <c r="CA1511">
        <v>0</v>
      </c>
      <c r="CB1511">
        <v>0</v>
      </c>
      <c r="CC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C1511">
        <v>0</v>
      </c>
      <c r="DD1511">
        <v>0</v>
      </c>
      <c r="DE1511">
        <v>0</v>
      </c>
      <c r="DF1511">
        <v>0</v>
      </c>
      <c r="DH1511">
        <v>124.8</v>
      </c>
      <c r="DI1511">
        <v>160.80000000000001</v>
      </c>
    </row>
    <row r="1512" spans="1:113" ht="15" customHeight="1" x14ac:dyDescent="0.25">
      <c r="A1512" t="s">
        <v>6874</v>
      </c>
      <c r="B1512" t="s">
        <v>6875</v>
      </c>
      <c r="C1512" t="s">
        <v>6876</v>
      </c>
      <c r="D1512" t="s">
        <v>1350</v>
      </c>
      <c r="E1512" t="s">
        <v>1307</v>
      </c>
      <c r="F1512" t="s">
        <v>6877</v>
      </c>
      <c r="G1512">
        <v>2025</v>
      </c>
      <c r="H1512" t="s">
        <v>1160</v>
      </c>
      <c r="I1512" t="s">
        <v>112</v>
      </c>
      <c r="J1512">
        <v>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Y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S1512">
        <v>0</v>
      </c>
      <c r="AU1512">
        <v>0</v>
      </c>
      <c r="AV1512">
        <v>0</v>
      </c>
      <c r="AW1512">
        <v>0</v>
      </c>
      <c r="AX1512">
        <v>0</v>
      </c>
      <c r="AY1512">
        <v>12</v>
      </c>
      <c r="AZ1512">
        <v>0</v>
      </c>
      <c r="BA1512">
        <v>5</v>
      </c>
      <c r="BB1512">
        <v>1</v>
      </c>
      <c r="BC1512">
        <v>1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2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4</v>
      </c>
      <c r="BU1512">
        <v>63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C1512">
        <v>0</v>
      </c>
      <c r="DD1512">
        <v>0</v>
      </c>
      <c r="DE1512">
        <v>0</v>
      </c>
      <c r="DF1512">
        <v>0</v>
      </c>
      <c r="DH1512">
        <v>0</v>
      </c>
      <c r="DI1512">
        <v>0</v>
      </c>
    </row>
    <row r="1513" spans="1:113" ht="15" customHeight="1" x14ac:dyDescent="0.25">
      <c r="A1513" t="s">
        <v>6878</v>
      </c>
      <c r="B1513" t="s">
        <v>4765</v>
      </c>
      <c r="C1513" t="s">
        <v>6879</v>
      </c>
      <c r="D1513" t="s">
        <v>1234</v>
      </c>
      <c r="E1513" t="s">
        <v>1234</v>
      </c>
      <c r="F1513" t="s">
        <v>6880</v>
      </c>
      <c r="G1513">
        <v>2025</v>
      </c>
      <c r="H1513" t="s">
        <v>1160</v>
      </c>
      <c r="I1513" t="s">
        <v>138</v>
      </c>
      <c r="J1513">
        <v>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Y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S1513">
        <v>0</v>
      </c>
      <c r="AU1513">
        <v>0</v>
      </c>
      <c r="AV1513">
        <v>0</v>
      </c>
      <c r="AW1513">
        <v>0</v>
      </c>
      <c r="AX1513">
        <v>0</v>
      </c>
      <c r="AY1513">
        <v>5</v>
      </c>
      <c r="AZ1513">
        <v>0</v>
      </c>
      <c r="BA1513">
        <v>6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1</v>
      </c>
      <c r="BU1513">
        <v>10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C1513">
        <v>0</v>
      </c>
      <c r="DD1513">
        <v>0</v>
      </c>
      <c r="DE1513">
        <v>0</v>
      </c>
      <c r="DF1513">
        <v>0</v>
      </c>
      <c r="DH1513">
        <v>0</v>
      </c>
      <c r="DI1513">
        <v>0</v>
      </c>
    </row>
    <row r="1514" spans="1:113" ht="15" customHeight="1" x14ac:dyDescent="0.25">
      <c r="A1514" t="s">
        <v>6881</v>
      </c>
      <c r="B1514" t="s">
        <v>6882</v>
      </c>
      <c r="C1514" t="s">
        <v>6883</v>
      </c>
      <c r="D1514" t="s">
        <v>1243</v>
      </c>
      <c r="E1514" t="s">
        <v>1190</v>
      </c>
      <c r="F1514" t="s">
        <v>6884</v>
      </c>
      <c r="G1514">
        <v>2025</v>
      </c>
      <c r="H1514" t="s">
        <v>1160</v>
      </c>
      <c r="I1514" t="s">
        <v>103</v>
      </c>
      <c r="J1514">
        <v>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Y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S1514">
        <v>0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0</v>
      </c>
      <c r="BI1514">
        <v>0</v>
      </c>
      <c r="BJ1514">
        <v>2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C1514">
        <v>0</v>
      </c>
      <c r="DD1514">
        <v>0</v>
      </c>
      <c r="DE1514">
        <v>0</v>
      </c>
      <c r="DF1514">
        <v>0</v>
      </c>
      <c r="DH1514">
        <v>0</v>
      </c>
      <c r="DI1514">
        <v>0</v>
      </c>
    </row>
    <row r="1515" spans="1:113" ht="15" customHeight="1" x14ac:dyDescent="0.25">
      <c r="A1515" t="s">
        <v>6885</v>
      </c>
      <c r="B1515" t="s">
        <v>6886</v>
      </c>
      <c r="C1515" t="s">
        <v>739</v>
      </c>
      <c r="D1515" t="s">
        <v>431</v>
      </c>
      <c r="E1515" t="s">
        <v>431</v>
      </c>
      <c r="F1515" t="s">
        <v>6887</v>
      </c>
      <c r="G1515">
        <v>2025</v>
      </c>
      <c r="H1515" t="s">
        <v>1160</v>
      </c>
      <c r="I1515" t="s">
        <v>131</v>
      </c>
      <c r="J1515">
        <v>13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Y1515">
        <v>0</v>
      </c>
      <c r="AA1515">
        <v>155</v>
      </c>
      <c r="AB1515">
        <v>643</v>
      </c>
      <c r="AC1515">
        <v>3</v>
      </c>
      <c r="AD1515">
        <v>1</v>
      </c>
      <c r="AE1515">
        <v>0</v>
      </c>
      <c r="AF1515">
        <v>33</v>
      </c>
      <c r="AG1515">
        <v>-14.0890543369715</v>
      </c>
      <c r="AH1515">
        <v>0</v>
      </c>
      <c r="AI1515">
        <v>16</v>
      </c>
      <c r="AJ1515">
        <v>22</v>
      </c>
      <c r="AK1515">
        <v>136</v>
      </c>
      <c r="AL1515">
        <v>1</v>
      </c>
      <c r="AM1515">
        <v>0</v>
      </c>
      <c r="AN1515">
        <v>0</v>
      </c>
      <c r="AO1515">
        <v>-14</v>
      </c>
      <c r="AP1515">
        <v>170</v>
      </c>
      <c r="AQ1515">
        <v>6</v>
      </c>
      <c r="AR1515">
        <v>0.73872093738684297</v>
      </c>
      <c r="AS1515">
        <v>0</v>
      </c>
      <c r="AT1515">
        <v>-9.71428571428571</v>
      </c>
      <c r="AU1515">
        <v>4.0441176470588203E-2</v>
      </c>
      <c r="AV1515">
        <v>-3.07963044434668E-3</v>
      </c>
      <c r="AW1515">
        <v>5.85060233948397E-2</v>
      </c>
      <c r="AX1515">
        <v>0</v>
      </c>
      <c r="AY1515">
        <v>2</v>
      </c>
      <c r="AZ1515">
        <v>0</v>
      </c>
      <c r="BA1515">
        <v>1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1</v>
      </c>
      <c r="BU1515">
        <v>15</v>
      </c>
      <c r="BV1515">
        <v>0</v>
      </c>
      <c r="BW1515">
        <v>0</v>
      </c>
      <c r="BX1515">
        <v>8</v>
      </c>
      <c r="BY1515">
        <v>177</v>
      </c>
      <c r="BZ1515">
        <v>0</v>
      </c>
      <c r="CA1515">
        <v>0</v>
      </c>
      <c r="CB1515">
        <v>0</v>
      </c>
      <c r="CC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C1515">
        <v>0</v>
      </c>
      <c r="DD1515">
        <v>0</v>
      </c>
      <c r="DE1515">
        <v>0</v>
      </c>
      <c r="DF1515">
        <v>0</v>
      </c>
      <c r="DH1515">
        <v>101.9</v>
      </c>
      <c r="DI1515">
        <v>117.9</v>
      </c>
    </row>
    <row r="1516" spans="1:113" ht="15" customHeight="1" x14ac:dyDescent="0.25">
      <c r="A1516" t="s">
        <v>6888</v>
      </c>
      <c r="B1516" t="s">
        <v>6889</v>
      </c>
      <c r="C1516" t="s">
        <v>467</v>
      </c>
      <c r="D1516" t="s">
        <v>10</v>
      </c>
      <c r="E1516" t="s">
        <v>10</v>
      </c>
      <c r="F1516" t="s">
        <v>6890</v>
      </c>
      <c r="G1516">
        <v>2025</v>
      </c>
      <c r="H1516" t="s">
        <v>1160</v>
      </c>
      <c r="I1516" t="s">
        <v>93</v>
      </c>
      <c r="J1516">
        <v>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Y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H1516">
        <v>0</v>
      </c>
      <c r="AI1516">
        <v>6</v>
      </c>
      <c r="AJ1516">
        <v>14</v>
      </c>
      <c r="AK1516">
        <v>94</v>
      </c>
      <c r="AL1516">
        <v>0</v>
      </c>
      <c r="AM1516">
        <v>0</v>
      </c>
      <c r="AN1516">
        <v>0</v>
      </c>
      <c r="AO1516">
        <v>262</v>
      </c>
      <c r="AP1516">
        <v>12</v>
      </c>
      <c r="AQ1516">
        <v>6</v>
      </c>
      <c r="AR1516">
        <v>3.72887849825202</v>
      </c>
      <c r="AS1516">
        <v>0</v>
      </c>
      <c r="AT1516">
        <v>0.35877862595419802</v>
      </c>
      <c r="AU1516">
        <v>2.6974951830443201E-2</v>
      </c>
      <c r="AV1516">
        <v>6.2829736211031204E-2</v>
      </c>
      <c r="AW1516">
        <v>8.4443243093386605E-2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C1516">
        <v>0</v>
      </c>
      <c r="DD1516">
        <v>0</v>
      </c>
      <c r="DE1516">
        <v>0</v>
      </c>
      <c r="DF1516">
        <v>0</v>
      </c>
      <c r="DH1516">
        <v>9.4</v>
      </c>
      <c r="DI1516">
        <v>15.4</v>
      </c>
    </row>
    <row r="1517" spans="1:113" ht="15" customHeight="1" x14ac:dyDescent="0.25">
      <c r="A1517" t="s">
        <v>6891</v>
      </c>
      <c r="B1517" t="s">
        <v>2875</v>
      </c>
      <c r="C1517" t="s">
        <v>6892</v>
      </c>
      <c r="D1517" t="s">
        <v>1234</v>
      </c>
      <c r="E1517" t="s">
        <v>1234</v>
      </c>
      <c r="F1517" t="s">
        <v>6893</v>
      </c>
      <c r="G1517">
        <v>2025</v>
      </c>
      <c r="H1517" t="s">
        <v>1160</v>
      </c>
      <c r="I1517" t="s">
        <v>121</v>
      </c>
      <c r="J1517">
        <v>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Y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S1517">
        <v>0</v>
      </c>
      <c r="AU1517">
        <v>0</v>
      </c>
      <c r="AV1517">
        <v>0</v>
      </c>
      <c r="AW1517">
        <v>0</v>
      </c>
      <c r="AX1517">
        <v>0</v>
      </c>
      <c r="AY1517">
        <v>4</v>
      </c>
      <c r="AZ1517">
        <v>1</v>
      </c>
      <c r="BA1517">
        <v>1</v>
      </c>
      <c r="BB1517">
        <v>0</v>
      </c>
      <c r="BC1517">
        <v>0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C1517">
        <v>0</v>
      </c>
      <c r="DD1517">
        <v>0</v>
      </c>
      <c r="DE1517">
        <v>0</v>
      </c>
      <c r="DF1517">
        <v>0</v>
      </c>
      <c r="DH1517">
        <v>0</v>
      </c>
      <c r="DI1517">
        <v>0</v>
      </c>
    </row>
    <row r="1518" spans="1:113" ht="15" customHeight="1" x14ac:dyDescent="0.25">
      <c r="A1518" t="s">
        <v>6894</v>
      </c>
      <c r="B1518" t="s">
        <v>6895</v>
      </c>
      <c r="C1518" t="s">
        <v>6896</v>
      </c>
      <c r="D1518" t="s">
        <v>1243</v>
      </c>
      <c r="E1518" t="s">
        <v>1190</v>
      </c>
      <c r="F1518" t="s">
        <v>6897</v>
      </c>
      <c r="G1518">
        <v>2025</v>
      </c>
      <c r="H1518" t="s">
        <v>1160</v>
      </c>
      <c r="I1518" t="s">
        <v>111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Y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S1518">
        <v>0</v>
      </c>
      <c r="AU1518">
        <v>0</v>
      </c>
      <c r="AV1518">
        <v>0</v>
      </c>
      <c r="AW1518">
        <v>0</v>
      </c>
      <c r="AX1518">
        <v>0</v>
      </c>
      <c r="AY1518">
        <v>2</v>
      </c>
      <c r="AZ1518">
        <v>0</v>
      </c>
      <c r="BA1518">
        <v>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C1518">
        <v>0</v>
      </c>
      <c r="DD1518">
        <v>0</v>
      </c>
      <c r="DE1518">
        <v>0</v>
      </c>
      <c r="DF1518">
        <v>0</v>
      </c>
      <c r="DH1518">
        <v>0</v>
      </c>
      <c r="DI1518">
        <v>0</v>
      </c>
    </row>
    <row r="1519" spans="1:113" ht="15" customHeight="1" x14ac:dyDescent="0.25">
      <c r="A1519" t="s">
        <v>6898</v>
      </c>
      <c r="B1519" t="s">
        <v>6899</v>
      </c>
      <c r="C1519" t="s">
        <v>6900</v>
      </c>
      <c r="D1519" t="s">
        <v>1158</v>
      </c>
      <c r="E1519" t="s">
        <v>1158</v>
      </c>
      <c r="F1519" t="s">
        <v>6901</v>
      </c>
      <c r="G1519">
        <v>2025</v>
      </c>
      <c r="H1519" t="s">
        <v>1160</v>
      </c>
      <c r="I1519" t="s">
        <v>112</v>
      </c>
      <c r="J1519">
        <v>4</v>
      </c>
      <c r="K1519">
        <v>15</v>
      </c>
      <c r="L1519">
        <v>24</v>
      </c>
      <c r="M1519">
        <v>183</v>
      </c>
      <c r="N1519">
        <v>1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260</v>
      </c>
      <c r="U1519">
        <v>78</v>
      </c>
      <c r="V1519">
        <v>9</v>
      </c>
      <c r="W1519">
        <v>0.63703236022298004</v>
      </c>
      <c r="X1519">
        <v>1.6047127868818201</v>
      </c>
      <c r="Y1519">
        <v>0</v>
      </c>
      <c r="Z1519">
        <v>0.70384615384615401</v>
      </c>
      <c r="AA1519">
        <v>5</v>
      </c>
      <c r="AB1519">
        <v>50</v>
      </c>
      <c r="AC1519">
        <v>0</v>
      </c>
      <c r="AD1519">
        <v>1</v>
      </c>
      <c r="AE1519">
        <v>1</v>
      </c>
      <c r="AF1519">
        <v>1</v>
      </c>
      <c r="AG1519">
        <v>-2.0915657740552001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S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C1519">
        <v>0</v>
      </c>
      <c r="DD1519">
        <v>0</v>
      </c>
      <c r="DE1519">
        <v>0</v>
      </c>
      <c r="DF1519">
        <v>0</v>
      </c>
      <c r="DH1519">
        <v>10.32</v>
      </c>
      <c r="DI1519">
        <v>10.32</v>
      </c>
    </row>
    <row r="1520" spans="1:113" ht="15" customHeight="1" x14ac:dyDescent="0.25">
      <c r="A1520" t="s">
        <v>6902</v>
      </c>
      <c r="B1520" t="s">
        <v>6903</v>
      </c>
      <c r="C1520" t="s">
        <v>6904</v>
      </c>
      <c r="D1520" t="s">
        <v>1243</v>
      </c>
      <c r="E1520" t="s">
        <v>1190</v>
      </c>
      <c r="F1520" t="s">
        <v>6905</v>
      </c>
      <c r="G1520">
        <v>2025</v>
      </c>
      <c r="H1520" t="s">
        <v>1160</v>
      </c>
      <c r="I1520" t="s">
        <v>99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Y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S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0</v>
      </c>
      <c r="BA1520">
        <v>1</v>
      </c>
      <c r="BB1520">
        <v>0</v>
      </c>
      <c r="BC1520">
        <v>0</v>
      </c>
      <c r="BD1520">
        <v>0</v>
      </c>
      <c r="BE1520">
        <v>0.5</v>
      </c>
      <c r="BF1520">
        <v>5</v>
      </c>
      <c r="BG1520">
        <v>1</v>
      </c>
      <c r="BH1520">
        <v>0</v>
      </c>
      <c r="BI1520">
        <v>0</v>
      </c>
      <c r="BJ1520">
        <v>1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C1520">
        <v>0</v>
      </c>
      <c r="DD1520">
        <v>0</v>
      </c>
      <c r="DE1520">
        <v>0</v>
      </c>
      <c r="DF1520">
        <v>0</v>
      </c>
      <c r="DH1520">
        <v>0</v>
      </c>
      <c r="DI1520">
        <v>0</v>
      </c>
    </row>
    <row r="1521" spans="1:113" ht="15" customHeight="1" x14ac:dyDescent="0.25">
      <c r="A1521" t="s">
        <v>6906</v>
      </c>
      <c r="B1521" t="s">
        <v>6907</v>
      </c>
      <c r="C1521" t="s">
        <v>6908</v>
      </c>
      <c r="D1521" t="s">
        <v>1243</v>
      </c>
      <c r="E1521" t="s">
        <v>1190</v>
      </c>
      <c r="F1521" t="s">
        <v>6909</v>
      </c>
      <c r="G1521">
        <v>2025</v>
      </c>
      <c r="H1521" t="s">
        <v>1160</v>
      </c>
      <c r="I1521" t="s">
        <v>138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Y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S1521">
        <v>0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</v>
      </c>
      <c r="BA1521">
        <v>3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C1521">
        <v>0</v>
      </c>
      <c r="DD1521">
        <v>0</v>
      </c>
      <c r="DE1521">
        <v>0</v>
      </c>
      <c r="DF1521">
        <v>0</v>
      </c>
      <c r="DH1521">
        <v>0</v>
      </c>
      <c r="DI1521">
        <v>0</v>
      </c>
    </row>
    <row r="1522" spans="1:113" ht="15" customHeight="1" x14ac:dyDescent="0.25">
      <c r="A1522" t="s">
        <v>6910</v>
      </c>
      <c r="B1522" t="s">
        <v>6911</v>
      </c>
      <c r="C1522" t="s">
        <v>6912</v>
      </c>
      <c r="D1522" t="s">
        <v>1243</v>
      </c>
      <c r="E1522" t="s">
        <v>1190</v>
      </c>
      <c r="F1522" t="s">
        <v>6913</v>
      </c>
      <c r="G1522">
        <v>2025</v>
      </c>
      <c r="H1522" t="s">
        <v>1160</v>
      </c>
      <c r="I1522" t="s">
        <v>96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Y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S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2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C1522">
        <v>0</v>
      </c>
      <c r="DD1522">
        <v>0</v>
      </c>
      <c r="DE1522">
        <v>0</v>
      </c>
      <c r="DF1522">
        <v>0</v>
      </c>
      <c r="DH1522">
        <v>0</v>
      </c>
      <c r="DI1522">
        <v>0</v>
      </c>
    </row>
    <row r="1523" spans="1:113" ht="15" customHeight="1" x14ac:dyDescent="0.25">
      <c r="A1523" t="s">
        <v>6914</v>
      </c>
      <c r="B1523" t="s">
        <v>6915</v>
      </c>
      <c r="C1523" t="s">
        <v>6916</v>
      </c>
      <c r="D1523" t="s">
        <v>1168</v>
      </c>
      <c r="E1523" t="s">
        <v>1169</v>
      </c>
      <c r="F1523" t="s">
        <v>6917</v>
      </c>
      <c r="G1523">
        <v>2025</v>
      </c>
      <c r="H1523" t="s">
        <v>1160</v>
      </c>
      <c r="I1523" t="s">
        <v>137</v>
      </c>
      <c r="J1523">
        <v>17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Y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S1523">
        <v>0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2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33</v>
      </c>
      <c r="CA1523">
        <v>35</v>
      </c>
      <c r="CB1523">
        <v>2</v>
      </c>
      <c r="CC1523">
        <v>0</v>
      </c>
      <c r="CD1523">
        <v>62</v>
      </c>
      <c r="CE1523">
        <v>0.94285714285714295</v>
      </c>
      <c r="CF1523">
        <v>0</v>
      </c>
      <c r="CG1523">
        <v>6</v>
      </c>
      <c r="CH1523">
        <v>9</v>
      </c>
      <c r="CI1523">
        <v>7</v>
      </c>
      <c r="CJ1523">
        <v>10</v>
      </c>
      <c r="CK1523">
        <v>1</v>
      </c>
      <c r="CL1523">
        <v>0</v>
      </c>
      <c r="CM1523">
        <v>0</v>
      </c>
      <c r="CN1523">
        <v>0</v>
      </c>
      <c r="CO1523">
        <v>0</v>
      </c>
      <c r="CP1523">
        <v>2</v>
      </c>
      <c r="CQ1523">
        <v>0</v>
      </c>
      <c r="CR1523" t="s">
        <v>6918</v>
      </c>
      <c r="CS1523" t="s">
        <v>6919</v>
      </c>
      <c r="CU1523">
        <v>1369</v>
      </c>
      <c r="CV1523">
        <v>104</v>
      </c>
      <c r="CW1523">
        <v>0</v>
      </c>
      <c r="CX1523">
        <v>31</v>
      </c>
      <c r="CY1523">
        <v>31</v>
      </c>
      <c r="CZ1523">
        <v>0</v>
      </c>
      <c r="DA1523">
        <v>0</v>
      </c>
      <c r="DB1523">
        <v>1</v>
      </c>
      <c r="DC1523">
        <v>0</v>
      </c>
      <c r="DD1523">
        <v>0</v>
      </c>
      <c r="DE1523">
        <v>0</v>
      </c>
      <c r="DF1523">
        <v>0</v>
      </c>
      <c r="DH1523">
        <v>0</v>
      </c>
      <c r="DI1523">
        <v>0</v>
      </c>
    </row>
    <row r="1524" spans="1:113" ht="15" customHeight="1" x14ac:dyDescent="0.25">
      <c r="A1524" t="s">
        <v>6920</v>
      </c>
      <c r="B1524" t="s">
        <v>6921</v>
      </c>
      <c r="C1524" t="s">
        <v>656</v>
      </c>
      <c r="D1524" t="s">
        <v>431</v>
      </c>
      <c r="E1524" t="s">
        <v>431</v>
      </c>
      <c r="F1524" t="s">
        <v>6922</v>
      </c>
      <c r="G1524">
        <v>2025</v>
      </c>
      <c r="H1524" t="s">
        <v>1160</v>
      </c>
      <c r="I1524" t="s">
        <v>121</v>
      </c>
      <c r="J1524">
        <v>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Y1524">
        <v>0</v>
      </c>
      <c r="AA1524">
        <v>43</v>
      </c>
      <c r="AB1524">
        <v>193</v>
      </c>
      <c r="AC1524">
        <v>0</v>
      </c>
      <c r="AD1524">
        <v>0</v>
      </c>
      <c r="AE1524">
        <v>0</v>
      </c>
      <c r="AF1524">
        <v>9</v>
      </c>
      <c r="AG1524">
        <v>-8.9948347412200995</v>
      </c>
      <c r="AH1524">
        <v>0</v>
      </c>
      <c r="AI1524">
        <v>7</v>
      </c>
      <c r="AJ1524">
        <v>7</v>
      </c>
      <c r="AK1524">
        <v>34</v>
      </c>
      <c r="AL1524">
        <v>0</v>
      </c>
      <c r="AM1524">
        <v>0</v>
      </c>
      <c r="AN1524">
        <v>0</v>
      </c>
      <c r="AO1524">
        <v>-6</v>
      </c>
      <c r="AP1524">
        <v>40</v>
      </c>
      <c r="AQ1524">
        <v>2</v>
      </c>
      <c r="AR1524">
        <v>0.33340458571910903</v>
      </c>
      <c r="AS1524">
        <v>0</v>
      </c>
      <c r="AT1524">
        <v>-5.6666666666666696</v>
      </c>
      <c r="AU1524">
        <v>1.26582278481013E-2</v>
      </c>
      <c r="AV1524">
        <v>-1.2591815320042001E-3</v>
      </c>
      <c r="AW1524">
        <v>1.8105914699748999E-2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C1524">
        <v>0</v>
      </c>
      <c r="DD1524">
        <v>0</v>
      </c>
      <c r="DE1524">
        <v>0</v>
      </c>
      <c r="DF1524">
        <v>0</v>
      </c>
      <c r="DH1524">
        <v>22.7</v>
      </c>
      <c r="DI1524">
        <v>29.7</v>
      </c>
    </row>
    <row r="1525" spans="1:113" ht="15" customHeight="1" x14ac:dyDescent="0.25">
      <c r="A1525" t="s">
        <v>6923</v>
      </c>
      <c r="B1525" t="s">
        <v>6924</v>
      </c>
      <c r="C1525" t="s">
        <v>767</v>
      </c>
      <c r="D1525" t="s">
        <v>431</v>
      </c>
      <c r="E1525" t="s">
        <v>431</v>
      </c>
      <c r="F1525" t="s">
        <v>6925</v>
      </c>
      <c r="G1525">
        <v>2025</v>
      </c>
      <c r="H1525" t="s">
        <v>1160</v>
      </c>
      <c r="I1525" t="s">
        <v>89</v>
      </c>
      <c r="J1525">
        <v>17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Y1525">
        <v>0</v>
      </c>
      <c r="AA1525">
        <v>7</v>
      </c>
      <c r="AB1525">
        <v>9</v>
      </c>
      <c r="AC1525">
        <v>0</v>
      </c>
      <c r="AD1525">
        <v>0</v>
      </c>
      <c r="AE1525">
        <v>0</v>
      </c>
      <c r="AF1525">
        <v>0</v>
      </c>
      <c r="AG1525">
        <v>-5.3677915128064297</v>
      </c>
      <c r="AH1525">
        <v>0</v>
      </c>
      <c r="AI1525">
        <v>3</v>
      </c>
      <c r="AJ1525">
        <v>4</v>
      </c>
      <c r="AK1525">
        <v>18</v>
      </c>
      <c r="AL1525">
        <v>0</v>
      </c>
      <c r="AM1525">
        <v>0</v>
      </c>
      <c r="AN1525">
        <v>0</v>
      </c>
      <c r="AO1525">
        <v>-6</v>
      </c>
      <c r="AP1525">
        <v>24</v>
      </c>
      <c r="AQ1525">
        <v>1</v>
      </c>
      <c r="AR1525">
        <v>-0.78986778308171801</v>
      </c>
      <c r="AS1525">
        <v>0</v>
      </c>
      <c r="AT1525">
        <v>-3</v>
      </c>
      <c r="AU1525">
        <v>8.0971659919028306E-3</v>
      </c>
      <c r="AV1525">
        <v>-1.8703241895261799E-3</v>
      </c>
      <c r="AW1525">
        <v>1.08365220551859E-2</v>
      </c>
      <c r="AX1525">
        <v>0</v>
      </c>
      <c r="AY1525">
        <v>3</v>
      </c>
      <c r="AZ1525">
        <v>0</v>
      </c>
      <c r="BA1525">
        <v>2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</v>
      </c>
      <c r="BU1525">
        <v>10</v>
      </c>
      <c r="BV1525">
        <v>0</v>
      </c>
      <c r="BW1525">
        <v>0</v>
      </c>
      <c r="BX1525">
        <v>33</v>
      </c>
      <c r="BY1525">
        <v>855</v>
      </c>
      <c r="BZ1525">
        <v>0</v>
      </c>
      <c r="CA1525">
        <v>0</v>
      </c>
      <c r="CB1525">
        <v>0</v>
      </c>
      <c r="CC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C1525">
        <v>0</v>
      </c>
      <c r="DD1525">
        <v>0</v>
      </c>
      <c r="DE1525">
        <v>0</v>
      </c>
      <c r="DF1525">
        <v>0</v>
      </c>
      <c r="DH1525">
        <v>2.7</v>
      </c>
      <c r="DI1525">
        <v>5.7</v>
      </c>
    </row>
    <row r="1526" spans="1:113" ht="15" customHeight="1" x14ac:dyDescent="0.25">
      <c r="A1526" t="s">
        <v>6926</v>
      </c>
      <c r="B1526" t="s">
        <v>6927</v>
      </c>
      <c r="C1526" t="s">
        <v>6928</v>
      </c>
      <c r="D1526" t="s">
        <v>1297</v>
      </c>
      <c r="E1526" t="s">
        <v>1220</v>
      </c>
      <c r="F1526" t="s">
        <v>6929</v>
      </c>
      <c r="G1526">
        <v>2025</v>
      </c>
      <c r="H1526" t="s">
        <v>1160</v>
      </c>
      <c r="I1526" t="s">
        <v>111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Y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S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2</v>
      </c>
      <c r="BU1526">
        <v>20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C1526">
        <v>0</v>
      </c>
      <c r="DD1526">
        <v>0</v>
      </c>
      <c r="DE1526">
        <v>0</v>
      </c>
      <c r="DF1526">
        <v>0</v>
      </c>
      <c r="DH1526">
        <v>0</v>
      </c>
      <c r="DI1526">
        <v>0</v>
      </c>
    </row>
    <row r="1527" spans="1:113" ht="15" customHeight="1" x14ac:dyDescent="0.25">
      <c r="A1527" t="s">
        <v>6930</v>
      </c>
      <c r="B1527" t="s">
        <v>6931</v>
      </c>
      <c r="C1527" t="s">
        <v>6932</v>
      </c>
      <c r="D1527" t="s">
        <v>1168</v>
      </c>
      <c r="E1527" t="s">
        <v>1169</v>
      </c>
      <c r="F1527" t="s">
        <v>6933</v>
      </c>
      <c r="G1527">
        <v>2025</v>
      </c>
      <c r="H1527" t="s">
        <v>1160</v>
      </c>
      <c r="I1527" t="s">
        <v>106</v>
      </c>
      <c r="J1527">
        <v>17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Y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S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3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30</v>
      </c>
      <c r="CA1527">
        <v>34</v>
      </c>
      <c r="CB1527">
        <v>4</v>
      </c>
      <c r="CC1527">
        <v>0</v>
      </c>
      <c r="CD1527">
        <v>68</v>
      </c>
      <c r="CE1527">
        <v>0.88235294117647101</v>
      </c>
      <c r="CF1527">
        <v>0</v>
      </c>
      <c r="CG1527">
        <v>5</v>
      </c>
      <c r="CH1527">
        <v>9</v>
      </c>
      <c r="CI1527">
        <v>8</v>
      </c>
      <c r="CJ1527">
        <v>6</v>
      </c>
      <c r="CK1527">
        <v>2</v>
      </c>
      <c r="CL1527">
        <v>0</v>
      </c>
      <c r="CM1527">
        <v>0</v>
      </c>
      <c r="CN1527">
        <v>0</v>
      </c>
      <c r="CO1527">
        <v>2</v>
      </c>
      <c r="CP1527">
        <v>2</v>
      </c>
      <c r="CQ1527">
        <v>0</v>
      </c>
      <c r="CR1527" t="s">
        <v>6934</v>
      </c>
      <c r="CS1527" t="s">
        <v>6935</v>
      </c>
      <c r="CU1527">
        <v>1249</v>
      </c>
      <c r="CV1527">
        <v>194</v>
      </c>
      <c r="CW1527">
        <v>0</v>
      </c>
      <c r="CX1527">
        <v>50</v>
      </c>
      <c r="CY1527">
        <v>51</v>
      </c>
      <c r="CZ1527">
        <v>1</v>
      </c>
      <c r="DA1527">
        <v>0</v>
      </c>
      <c r="DB1527">
        <v>0.98039215686274495</v>
      </c>
      <c r="DC1527">
        <v>1</v>
      </c>
      <c r="DD1527">
        <v>1</v>
      </c>
      <c r="DE1527">
        <v>0</v>
      </c>
      <c r="DF1527">
        <v>0</v>
      </c>
      <c r="DG1527">
        <v>52</v>
      </c>
      <c r="DH1527">
        <v>0</v>
      </c>
      <c r="DI1527">
        <v>0</v>
      </c>
    </row>
    <row r="1528" spans="1:113" ht="15" customHeight="1" x14ac:dyDescent="0.25">
      <c r="A1528" t="s">
        <v>6936</v>
      </c>
      <c r="B1528" t="s">
        <v>6937</v>
      </c>
      <c r="C1528" t="s">
        <v>581</v>
      </c>
      <c r="D1528" t="s">
        <v>10</v>
      </c>
      <c r="E1528" t="s">
        <v>10</v>
      </c>
      <c r="F1528" t="s">
        <v>6938</v>
      </c>
      <c r="G1528">
        <v>2025</v>
      </c>
      <c r="H1528" t="s">
        <v>1160</v>
      </c>
      <c r="I1528" t="s">
        <v>112</v>
      </c>
      <c r="J1528">
        <v>15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Y1528">
        <v>0</v>
      </c>
      <c r="AA1528">
        <v>4</v>
      </c>
      <c r="AB1528">
        <v>25</v>
      </c>
      <c r="AC1528">
        <v>0</v>
      </c>
      <c r="AD1528">
        <v>0</v>
      </c>
      <c r="AE1528">
        <v>0</v>
      </c>
      <c r="AF1528">
        <v>2</v>
      </c>
      <c r="AG1528">
        <v>0.472844568779692</v>
      </c>
      <c r="AH1528">
        <v>0</v>
      </c>
      <c r="AI1528">
        <v>40</v>
      </c>
      <c r="AJ1528">
        <v>56</v>
      </c>
      <c r="AK1528">
        <v>475</v>
      </c>
      <c r="AL1528">
        <v>4</v>
      </c>
      <c r="AM1528">
        <v>0</v>
      </c>
      <c r="AN1528">
        <v>0</v>
      </c>
      <c r="AO1528">
        <v>466</v>
      </c>
      <c r="AP1528">
        <v>204</v>
      </c>
      <c r="AQ1528">
        <v>29</v>
      </c>
      <c r="AR1528">
        <v>28.634833070375901</v>
      </c>
      <c r="AS1528">
        <v>0</v>
      </c>
      <c r="AT1528">
        <v>1.0193133047210301</v>
      </c>
      <c r="AU1528">
        <v>9.2257001647446504E-2</v>
      </c>
      <c r="AV1528">
        <v>9.1931347405800001E-2</v>
      </c>
      <c r="AW1528">
        <v>0.20273744565523</v>
      </c>
      <c r="AX1528">
        <v>0</v>
      </c>
      <c r="AY1528">
        <v>4</v>
      </c>
      <c r="AZ1528">
        <v>0</v>
      </c>
      <c r="BA1528">
        <v>2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2</v>
      </c>
      <c r="BU1528">
        <v>20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C1528">
        <v>0</v>
      </c>
      <c r="DD1528">
        <v>0</v>
      </c>
      <c r="DE1528">
        <v>0</v>
      </c>
      <c r="DF1528">
        <v>0</v>
      </c>
      <c r="DH1528">
        <v>74</v>
      </c>
      <c r="DI1528">
        <v>114</v>
      </c>
    </row>
    <row r="1529" spans="1:113" ht="15" customHeight="1" x14ac:dyDescent="0.25">
      <c r="A1529" t="s">
        <v>6939</v>
      </c>
      <c r="B1529" t="s">
        <v>6940</v>
      </c>
      <c r="C1529" t="s">
        <v>6941</v>
      </c>
      <c r="D1529" t="s">
        <v>1297</v>
      </c>
      <c r="E1529" t="s">
        <v>1220</v>
      </c>
      <c r="F1529" t="s">
        <v>6942</v>
      </c>
      <c r="G1529">
        <v>2025</v>
      </c>
      <c r="H1529" t="s">
        <v>1160</v>
      </c>
      <c r="I1529" t="s">
        <v>126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Y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S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2</v>
      </c>
      <c r="BU1529">
        <v>20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C1529">
        <v>0</v>
      </c>
      <c r="DD1529">
        <v>0</v>
      </c>
      <c r="DE1529">
        <v>0</v>
      </c>
      <c r="DF1529">
        <v>0</v>
      </c>
      <c r="DH1529">
        <v>0</v>
      </c>
      <c r="DI1529">
        <v>0</v>
      </c>
    </row>
    <row r="1530" spans="1:113" ht="15" customHeight="1" x14ac:dyDescent="0.25">
      <c r="A1530" t="s">
        <v>6943</v>
      </c>
      <c r="B1530" t="s">
        <v>6944</v>
      </c>
      <c r="C1530" t="s">
        <v>6945</v>
      </c>
      <c r="D1530" t="s">
        <v>1189</v>
      </c>
      <c r="E1530" t="s">
        <v>1190</v>
      </c>
      <c r="F1530" t="s">
        <v>6946</v>
      </c>
      <c r="G1530">
        <v>2025</v>
      </c>
      <c r="H1530" t="s">
        <v>1160</v>
      </c>
      <c r="I1530" t="s">
        <v>143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Y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S1530">
        <v>0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0</v>
      </c>
      <c r="BA1530">
        <v>4</v>
      </c>
      <c r="BB1530">
        <v>1</v>
      </c>
      <c r="BC1530">
        <v>1</v>
      </c>
      <c r="BD1530">
        <v>0</v>
      </c>
      <c r="BE1530">
        <v>1</v>
      </c>
      <c r="BF1530">
        <v>1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C1530">
        <v>0</v>
      </c>
      <c r="DD1530">
        <v>0</v>
      </c>
      <c r="DE1530">
        <v>0</v>
      </c>
      <c r="DF1530">
        <v>0</v>
      </c>
      <c r="DH1530">
        <v>0</v>
      </c>
      <c r="DI1530">
        <v>0</v>
      </c>
    </row>
    <row r="1531" spans="1:113" ht="15" customHeight="1" x14ac:dyDescent="0.25">
      <c r="A1531" t="s">
        <v>6947</v>
      </c>
      <c r="B1531" t="s">
        <v>6948</v>
      </c>
      <c r="C1531" t="s">
        <v>6949</v>
      </c>
      <c r="D1531" t="s">
        <v>1684</v>
      </c>
      <c r="E1531" t="s">
        <v>1307</v>
      </c>
      <c r="F1531" t="s">
        <v>6950</v>
      </c>
      <c r="G1531">
        <v>2025</v>
      </c>
      <c r="H1531" t="s">
        <v>1160</v>
      </c>
      <c r="I1531" t="s">
        <v>107</v>
      </c>
      <c r="J1531">
        <v>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Y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S1531">
        <v>0</v>
      </c>
      <c r="AU1531">
        <v>0</v>
      </c>
      <c r="AV1531">
        <v>0</v>
      </c>
      <c r="AW1531">
        <v>0</v>
      </c>
      <c r="AX1531">
        <v>0</v>
      </c>
      <c r="AY1531">
        <v>2</v>
      </c>
      <c r="AZ1531">
        <v>0</v>
      </c>
      <c r="BA1531">
        <v>2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</v>
      </c>
      <c r="BU1531">
        <v>10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C1531">
        <v>0</v>
      </c>
      <c r="DD1531">
        <v>0</v>
      </c>
      <c r="DE1531">
        <v>0</v>
      </c>
      <c r="DF1531">
        <v>0</v>
      </c>
      <c r="DH1531">
        <v>0</v>
      </c>
      <c r="DI1531">
        <v>0</v>
      </c>
    </row>
    <row r="1532" spans="1:113" ht="15" customHeight="1" x14ac:dyDescent="0.25">
      <c r="A1532" t="s">
        <v>6951</v>
      </c>
      <c r="B1532" t="s">
        <v>2574</v>
      </c>
      <c r="C1532" t="s">
        <v>6952</v>
      </c>
      <c r="D1532" t="s">
        <v>1307</v>
      </c>
      <c r="E1532" t="s">
        <v>1307</v>
      </c>
      <c r="F1532" t="s">
        <v>6953</v>
      </c>
      <c r="G1532">
        <v>2025</v>
      </c>
      <c r="H1532" t="s">
        <v>1160</v>
      </c>
      <c r="I1532" t="s">
        <v>90</v>
      </c>
      <c r="J1532">
        <v>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Y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S1532">
        <v>0</v>
      </c>
      <c r="AU1532">
        <v>0</v>
      </c>
      <c r="AV1532">
        <v>0</v>
      </c>
      <c r="AW1532">
        <v>0</v>
      </c>
      <c r="AX1532">
        <v>0</v>
      </c>
      <c r="AY1532">
        <v>2</v>
      </c>
      <c r="AZ1532">
        <v>0</v>
      </c>
      <c r="BA1532">
        <v>1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C1532">
        <v>0</v>
      </c>
      <c r="DD1532">
        <v>0</v>
      </c>
      <c r="DE1532">
        <v>0</v>
      </c>
      <c r="DF1532">
        <v>0</v>
      </c>
      <c r="DH1532">
        <v>0</v>
      </c>
      <c r="DI1532">
        <v>0</v>
      </c>
    </row>
    <row r="1533" spans="1:113" ht="15" customHeight="1" x14ac:dyDescent="0.25">
      <c r="A1533" t="s">
        <v>6954</v>
      </c>
      <c r="B1533" t="s">
        <v>6955</v>
      </c>
      <c r="C1533" t="s">
        <v>6956</v>
      </c>
      <c r="D1533" t="s">
        <v>1350</v>
      </c>
      <c r="E1533" t="s">
        <v>1307</v>
      </c>
      <c r="F1533" t="s">
        <v>6957</v>
      </c>
      <c r="G1533">
        <v>2025</v>
      </c>
      <c r="H1533" t="s">
        <v>1160</v>
      </c>
      <c r="I1533" t="s">
        <v>109</v>
      </c>
      <c r="J1533">
        <v>16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Y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S1533">
        <v>0</v>
      </c>
      <c r="AU1533">
        <v>0</v>
      </c>
      <c r="AV1533">
        <v>0</v>
      </c>
      <c r="AW1533">
        <v>0</v>
      </c>
      <c r="AX1533">
        <v>0</v>
      </c>
      <c r="AY1533">
        <v>25</v>
      </c>
      <c r="AZ1533">
        <v>3</v>
      </c>
      <c r="BA1533">
        <v>20</v>
      </c>
      <c r="BB1533">
        <v>2</v>
      </c>
      <c r="BC1533">
        <v>7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0</v>
      </c>
      <c r="BJ1533">
        <v>4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7</v>
      </c>
      <c r="BU1533">
        <v>64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C1533">
        <v>0</v>
      </c>
      <c r="DD1533">
        <v>0</v>
      </c>
      <c r="DE1533">
        <v>0</v>
      </c>
      <c r="DF1533">
        <v>0</v>
      </c>
      <c r="DH1533">
        <v>0</v>
      </c>
      <c r="DI1533">
        <v>0</v>
      </c>
    </row>
    <row r="1534" spans="1:113" ht="15" customHeight="1" x14ac:dyDescent="0.25">
      <c r="A1534" t="s">
        <v>6958</v>
      </c>
      <c r="B1534" t="s">
        <v>6959</v>
      </c>
      <c r="C1534" t="s">
        <v>6960</v>
      </c>
      <c r="D1534" t="s">
        <v>1297</v>
      </c>
      <c r="E1534" t="s">
        <v>1220</v>
      </c>
      <c r="F1534" t="s">
        <v>6961</v>
      </c>
      <c r="G1534">
        <v>2025</v>
      </c>
      <c r="H1534" t="s">
        <v>1160</v>
      </c>
      <c r="I1534" t="s">
        <v>137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Y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S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2</v>
      </c>
      <c r="BU1534">
        <v>15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C1534">
        <v>0</v>
      </c>
      <c r="DD1534">
        <v>0</v>
      </c>
      <c r="DE1534">
        <v>0</v>
      </c>
      <c r="DF1534">
        <v>0</v>
      </c>
      <c r="DH1534">
        <v>0</v>
      </c>
      <c r="DI1534">
        <v>0</v>
      </c>
    </row>
    <row r="1535" spans="1:113" ht="15" customHeight="1" x14ac:dyDescent="0.25">
      <c r="A1535" t="s">
        <v>6962</v>
      </c>
      <c r="B1535" t="s">
        <v>6963</v>
      </c>
      <c r="C1535" t="s">
        <v>6964</v>
      </c>
      <c r="D1535" t="s">
        <v>1190</v>
      </c>
      <c r="E1535" t="s">
        <v>1190</v>
      </c>
      <c r="F1535" t="s">
        <v>6965</v>
      </c>
      <c r="G1535">
        <v>2025</v>
      </c>
      <c r="H1535" t="s">
        <v>1160</v>
      </c>
      <c r="I1535" t="s">
        <v>137</v>
      </c>
      <c r="J1535">
        <v>15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Y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S1535">
        <v>0</v>
      </c>
      <c r="AU1535">
        <v>0</v>
      </c>
      <c r="AV1535">
        <v>0</v>
      </c>
      <c r="AW1535">
        <v>0</v>
      </c>
      <c r="AX1535">
        <v>0</v>
      </c>
      <c r="AY1535">
        <v>18</v>
      </c>
      <c r="AZ1535">
        <v>1</v>
      </c>
      <c r="BA1535">
        <v>24</v>
      </c>
      <c r="BB1535">
        <v>8</v>
      </c>
      <c r="BC1535">
        <v>23</v>
      </c>
      <c r="BD1535">
        <v>0</v>
      </c>
      <c r="BE1535">
        <v>2</v>
      </c>
      <c r="BF1535">
        <v>6</v>
      </c>
      <c r="BG1535">
        <v>5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2</v>
      </c>
      <c r="BU1535">
        <v>17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C1535">
        <v>0</v>
      </c>
      <c r="DD1535">
        <v>0</v>
      </c>
      <c r="DE1535">
        <v>0</v>
      </c>
      <c r="DF1535">
        <v>0</v>
      </c>
      <c r="DH1535">
        <v>0</v>
      </c>
      <c r="DI1535">
        <v>0</v>
      </c>
    </row>
    <row r="1536" spans="1:113" ht="15" customHeight="1" x14ac:dyDescent="0.25">
      <c r="A1536" t="s">
        <v>6966</v>
      </c>
      <c r="B1536" t="s">
        <v>6967</v>
      </c>
      <c r="C1536" t="s">
        <v>6968</v>
      </c>
      <c r="D1536" t="s">
        <v>1219</v>
      </c>
      <c r="E1536" t="s">
        <v>1220</v>
      </c>
      <c r="F1536" t="s">
        <v>6969</v>
      </c>
      <c r="G1536">
        <v>2025</v>
      </c>
      <c r="H1536" t="s">
        <v>1160</v>
      </c>
      <c r="I1536" t="s">
        <v>112</v>
      </c>
      <c r="J1536">
        <v>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Y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S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4</v>
      </c>
      <c r="BU1536">
        <v>35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C1536">
        <v>0</v>
      </c>
      <c r="DD1536">
        <v>0</v>
      </c>
      <c r="DE1536">
        <v>0</v>
      </c>
      <c r="DF1536">
        <v>0</v>
      </c>
      <c r="DH1536">
        <v>0</v>
      </c>
      <c r="DI1536">
        <v>0</v>
      </c>
    </row>
    <row r="1537" spans="1:113" ht="15" customHeight="1" x14ac:dyDescent="0.25">
      <c r="A1537" t="s">
        <v>6970</v>
      </c>
      <c r="B1537" t="s">
        <v>6971</v>
      </c>
      <c r="C1537" t="s">
        <v>6972</v>
      </c>
      <c r="D1537" t="s">
        <v>1243</v>
      </c>
      <c r="E1537" t="s">
        <v>1190</v>
      </c>
      <c r="F1537" t="s">
        <v>6973</v>
      </c>
      <c r="G1537">
        <v>2025</v>
      </c>
      <c r="H1537" t="s">
        <v>1160</v>
      </c>
      <c r="I1537" t="s">
        <v>89</v>
      </c>
      <c r="J1537">
        <v>17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Y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S1537">
        <v>0</v>
      </c>
      <c r="AU1537">
        <v>0</v>
      </c>
      <c r="AV1537">
        <v>0</v>
      </c>
      <c r="AW1537">
        <v>0</v>
      </c>
      <c r="AX1537">
        <v>0</v>
      </c>
      <c r="AY1537">
        <v>21</v>
      </c>
      <c r="AZ1537">
        <v>3</v>
      </c>
      <c r="BA1537">
        <v>27</v>
      </c>
      <c r="BB1537">
        <v>8</v>
      </c>
      <c r="BC1537">
        <v>27</v>
      </c>
      <c r="BD1537">
        <v>0</v>
      </c>
      <c r="BE1537">
        <v>4</v>
      </c>
      <c r="BF1537">
        <v>15</v>
      </c>
      <c r="BG1537">
        <v>7</v>
      </c>
      <c r="BH1537">
        <v>0</v>
      </c>
      <c r="BI1537">
        <v>0</v>
      </c>
      <c r="BJ1537">
        <v>5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1</v>
      </c>
      <c r="BU1537">
        <v>10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C1537">
        <v>0</v>
      </c>
      <c r="DD1537">
        <v>0</v>
      </c>
      <c r="DE1537">
        <v>0</v>
      </c>
      <c r="DF1537">
        <v>0</v>
      </c>
      <c r="DH1537">
        <v>0</v>
      </c>
      <c r="DI1537">
        <v>0</v>
      </c>
    </row>
    <row r="1538" spans="1:113" ht="15" customHeight="1" x14ac:dyDescent="0.25">
      <c r="A1538" t="s">
        <v>6974</v>
      </c>
      <c r="B1538" t="s">
        <v>6975</v>
      </c>
      <c r="C1538" t="s">
        <v>855</v>
      </c>
      <c r="D1538" t="s">
        <v>10</v>
      </c>
      <c r="E1538" t="s">
        <v>10</v>
      </c>
      <c r="F1538" t="s">
        <v>6976</v>
      </c>
      <c r="G1538">
        <v>2025</v>
      </c>
      <c r="H1538" t="s">
        <v>1160</v>
      </c>
      <c r="I1538" t="s">
        <v>138</v>
      </c>
      <c r="J1538">
        <v>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Y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H1538">
        <v>0</v>
      </c>
      <c r="AI1538">
        <v>25</v>
      </c>
      <c r="AJ1538">
        <v>39</v>
      </c>
      <c r="AK1538">
        <v>293</v>
      </c>
      <c r="AL1538">
        <v>2</v>
      </c>
      <c r="AM1538">
        <v>0</v>
      </c>
      <c r="AN1538">
        <v>0</v>
      </c>
      <c r="AO1538">
        <v>432</v>
      </c>
      <c r="AP1538">
        <v>34</v>
      </c>
      <c r="AQ1538">
        <v>19</v>
      </c>
      <c r="AR1538">
        <v>16.8115452223138</v>
      </c>
      <c r="AS1538">
        <v>0</v>
      </c>
      <c r="AT1538">
        <v>0.67824074074074103</v>
      </c>
      <c r="AU1538">
        <v>6.9026548672566398E-2</v>
      </c>
      <c r="AV1538">
        <v>9.0244411949028602E-2</v>
      </c>
      <c r="AW1538">
        <v>0.16671091137317001</v>
      </c>
      <c r="AX1538">
        <v>0</v>
      </c>
      <c r="AY1538">
        <v>1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2</v>
      </c>
      <c r="BU1538">
        <v>20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C1538">
        <v>0</v>
      </c>
      <c r="DD1538">
        <v>0</v>
      </c>
      <c r="DE1538">
        <v>0</v>
      </c>
      <c r="DF1538">
        <v>0</v>
      </c>
      <c r="DH1538">
        <v>41.3</v>
      </c>
      <c r="DI1538">
        <v>66.3</v>
      </c>
    </row>
    <row r="1539" spans="1:113" ht="15" customHeight="1" x14ac:dyDescent="0.25">
      <c r="A1539" t="s">
        <v>6977</v>
      </c>
      <c r="B1539" t="s">
        <v>3255</v>
      </c>
      <c r="C1539" t="s">
        <v>6978</v>
      </c>
      <c r="D1539" t="s">
        <v>1234</v>
      </c>
      <c r="E1539" t="s">
        <v>1234</v>
      </c>
      <c r="F1539" t="s">
        <v>6979</v>
      </c>
      <c r="G1539">
        <v>2025</v>
      </c>
      <c r="H1539" t="s">
        <v>1160</v>
      </c>
      <c r="I1539" t="s">
        <v>142</v>
      </c>
      <c r="J1539">
        <v>11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Y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S1539">
        <v>0</v>
      </c>
      <c r="AU1539">
        <v>0</v>
      </c>
      <c r="AV1539">
        <v>0</v>
      </c>
      <c r="AW1539">
        <v>0</v>
      </c>
      <c r="AX1539">
        <v>0</v>
      </c>
      <c r="AY1539">
        <v>21</v>
      </c>
      <c r="AZ1539">
        <v>1</v>
      </c>
      <c r="BA1539">
        <v>4</v>
      </c>
      <c r="BB1539">
        <v>3</v>
      </c>
      <c r="BC1539">
        <v>14</v>
      </c>
      <c r="BD1539">
        <v>0</v>
      </c>
      <c r="BE1539">
        <v>1</v>
      </c>
      <c r="BF1539">
        <v>11</v>
      </c>
      <c r="BG1539">
        <v>1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4</v>
      </c>
      <c r="BU1539">
        <v>34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C1539">
        <v>0</v>
      </c>
      <c r="DD1539">
        <v>0</v>
      </c>
      <c r="DE1539">
        <v>0</v>
      </c>
      <c r="DF1539">
        <v>0</v>
      </c>
      <c r="DH1539">
        <v>0</v>
      </c>
      <c r="DI1539">
        <v>0</v>
      </c>
    </row>
    <row r="1540" spans="1:113" ht="15" customHeight="1" x14ac:dyDescent="0.25">
      <c r="A1540" t="s">
        <v>6980</v>
      </c>
      <c r="B1540" t="s">
        <v>6981</v>
      </c>
      <c r="C1540" t="s">
        <v>6982</v>
      </c>
      <c r="D1540" t="s">
        <v>1189</v>
      </c>
      <c r="E1540" t="s">
        <v>1190</v>
      </c>
      <c r="F1540" t="s">
        <v>6983</v>
      </c>
      <c r="G1540">
        <v>2025</v>
      </c>
      <c r="H1540" t="s">
        <v>1160</v>
      </c>
      <c r="I1540" t="s">
        <v>101</v>
      </c>
      <c r="J1540">
        <v>14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Y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>
        <v>0</v>
      </c>
      <c r="AU1540">
        <v>0</v>
      </c>
      <c r="AV1540">
        <v>0</v>
      </c>
      <c r="AW1540">
        <v>0</v>
      </c>
      <c r="AX1540">
        <v>0</v>
      </c>
      <c r="AY1540">
        <v>18</v>
      </c>
      <c r="AZ1540">
        <v>1</v>
      </c>
      <c r="BA1540">
        <v>19</v>
      </c>
      <c r="BB1540">
        <v>8</v>
      </c>
      <c r="BC1540">
        <v>40</v>
      </c>
      <c r="BD1540">
        <v>1</v>
      </c>
      <c r="BE1540">
        <v>4</v>
      </c>
      <c r="BF1540">
        <v>31</v>
      </c>
      <c r="BG1540">
        <v>10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2</v>
      </c>
      <c r="BU1540">
        <v>10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C1540">
        <v>0</v>
      </c>
      <c r="DD1540">
        <v>0</v>
      </c>
      <c r="DE1540">
        <v>0</v>
      </c>
      <c r="DF1540">
        <v>0</v>
      </c>
      <c r="DH1540">
        <v>0</v>
      </c>
      <c r="DI1540">
        <v>0</v>
      </c>
    </row>
    <row r="1541" spans="1:113" ht="15" customHeight="1" x14ac:dyDescent="0.25">
      <c r="A1541" t="s">
        <v>6984</v>
      </c>
      <c r="B1541" t="s">
        <v>6985</v>
      </c>
      <c r="C1541" t="s">
        <v>6986</v>
      </c>
      <c r="D1541" t="s">
        <v>1234</v>
      </c>
      <c r="E1541" t="s">
        <v>1234</v>
      </c>
      <c r="F1541" t="s">
        <v>6987</v>
      </c>
      <c r="G1541">
        <v>2025</v>
      </c>
      <c r="H1541" t="s">
        <v>1160</v>
      </c>
      <c r="I1541" t="s">
        <v>141</v>
      </c>
      <c r="J1541">
        <v>12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Y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>
        <v>0</v>
      </c>
      <c r="AU1541">
        <v>0</v>
      </c>
      <c r="AV1541">
        <v>0</v>
      </c>
      <c r="AW1541">
        <v>0</v>
      </c>
      <c r="AX1541">
        <v>0</v>
      </c>
      <c r="AY1541">
        <v>37</v>
      </c>
      <c r="AZ1541">
        <v>2</v>
      </c>
      <c r="BA1541">
        <v>55</v>
      </c>
      <c r="BB1541">
        <v>4</v>
      </c>
      <c r="BC1541">
        <v>16</v>
      </c>
      <c r="BD1541">
        <v>0</v>
      </c>
      <c r="BE1541">
        <v>1</v>
      </c>
      <c r="BF1541">
        <v>11</v>
      </c>
      <c r="BG1541">
        <v>1</v>
      </c>
      <c r="BH1541">
        <v>0</v>
      </c>
      <c r="BI1541">
        <v>0</v>
      </c>
      <c r="BJ1541">
        <v>4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4</v>
      </c>
      <c r="BU1541">
        <v>50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C1541">
        <v>0</v>
      </c>
      <c r="DD1541">
        <v>0</v>
      </c>
      <c r="DE1541">
        <v>0</v>
      </c>
      <c r="DF1541">
        <v>0</v>
      </c>
      <c r="DH1541">
        <v>0</v>
      </c>
      <c r="DI1541">
        <v>0</v>
      </c>
    </row>
    <row r="1542" spans="1:113" ht="15" customHeight="1" x14ac:dyDescent="0.25">
      <c r="A1542" t="s">
        <v>6988</v>
      </c>
      <c r="B1542" t="s">
        <v>6989</v>
      </c>
      <c r="C1542" t="s">
        <v>6990</v>
      </c>
      <c r="D1542" t="s">
        <v>1234</v>
      </c>
      <c r="E1542" t="s">
        <v>1234</v>
      </c>
      <c r="F1542" t="s">
        <v>6991</v>
      </c>
      <c r="G1542">
        <v>2025</v>
      </c>
      <c r="H1542" t="s">
        <v>1160</v>
      </c>
      <c r="I1542" t="s">
        <v>142</v>
      </c>
      <c r="J1542">
        <v>15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Y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S1542">
        <v>0</v>
      </c>
      <c r="AU1542">
        <v>0</v>
      </c>
      <c r="AV1542">
        <v>0</v>
      </c>
      <c r="AW1542">
        <v>0</v>
      </c>
      <c r="AX1542">
        <v>0</v>
      </c>
      <c r="AY1542">
        <v>13</v>
      </c>
      <c r="AZ1542">
        <v>1</v>
      </c>
      <c r="BA1542">
        <v>11</v>
      </c>
      <c r="BB1542">
        <v>5</v>
      </c>
      <c r="BC1542">
        <v>26</v>
      </c>
      <c r="BD1542">
        <v>1</v>
      </c>
      <c r="BE1542">
        <v>4.5</v>
      </c>
      <c r="BF1542">
        <v>30</v>
      </c>
      <c r="BG1542">
        <v>8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2</v>
      </c>
      <c r="BU1542">
        <v>15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C1542">
        <v>0</v>
      </c>
      <c r="DD1542">
        <v>0</v>
      </c>
      <c r="DE1542">
        <v>0</v>
      </c>
      <c r="DF1542">
        <v>0</v>
      </c>
      <c r="DH1542">
        <v>0</v>
      </c>
      <c r="DI1542">
        <v>0</v>
      </c>
    </row>
    <row r="1543" spans="1:113" ht="15" customHeight="1" x14ac:dyDescent="0.25">
      <c r="A1543" t="s">
        <v>6992</v>
      </c>
      <c r="B1543" t="s">
        <v>6993</v>
      </c>
      <c r="C1543" t="s">
        <v>6994</v>
      </c>
      <c r="D1543" t="s">
        <v>1655</v>
      </c>
      <c r="E1543" t="s">
        <v>1220</v>
      </c>
      <c r="F1543" t="s">
        <v>6995</v>
      </c>
      <c r="G1543">
        <v>2025</v>
      </c>
      <c r="H1543" t="s">
        <v>1160</v>
      </c>
      <c r="I1543" t="s">
        <v>111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Y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S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2</v>
      </c>
      <c r="BU1543">
        <v>10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C1543">
        <v>0</v>
      </c>
      <c r="DD1543">
        <v>0</v>
      </c>
      <c r="DE1543">
        <v>0</v>
      </c>
      <c r="DF1543">
        <v>0</v>
      </c>
      <c r="DH1543">
        <v>0</v>
      </c>
      <c r="DI1543">
        <v>0</v>
      </c>
    </row>
    <row r="1544" spans="1:113" ht="15" customHeight="1" x14ac:dyDescent="0.25">
      <c r="A1544" t="s">
        <v>6996</v>
      </c>
      <c r="B1544" t="s">
        <v>6997</v>
      </c>
      <c r="C1544" t="s">
        <v>6998</v>
      </c>
      <c r="D1544" t="s">
        <v>1214</v>
      </c>
      <c r="E1544" t="s">
        <v>1169</v>
      </c>
      <c r="F1544" t="s">
        <v>6999</v>
      </c>
      <c r="G1544">
        <v>2025</v>
      </c>
      <c r="H1544" t="s">
        <v>1160</v>
      </c>
      <c r="I1544" t="s">
        <v>111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Y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S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2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C1544">
        <v>0</v>
      </c>
      <c r="DD1544">
        <v>0</v>
      </c>
      <c r="DE1544">
        <v>0</v>
      </c>
      <c r="DF1544">
        <v>0</v>
      </c>
      <c r="DH1544">
        <v>0</v>
      </c>
      <c r="DI1544">
        <v>0</v>
      </c>
    </row>
    <row r="1545" spans="1:113" ht="15" customHeight="1" x14ac:dyDescent="0.25">
      <c r="A1545" t="s">
        <v>7000</v>
      </c>
      <c r="B1545" t="s">
        <v>7001</v>
      </c>
      <c r="C1545" t="s">
        <v>7002</v>
      </c>
      <c r="D1545" t="s">
        <v>1684</v>
      </c>
      <c r="E1545" t="s">
        <v>1307</v>
      </c>
      <c r="F1545" t="s">
        <v>7003</v>
      </c>
      <c r="G1545">
        <v>2025</v>
      </c>
      <c r="H1545" t="s">
        <v>1160</v>
      </c>
      <c r="I1545" t="s">
        <v>111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Y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S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1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C1545">
        <v>0</v>
      </c>
      <c r="DD1545">
        <v>0</v>
      </c>
      <c r="DE1545">
        <v>0</v>
      </c>
      <c r="DF1545">
        <v>0</v>
      </c>
      <c r="DH1545">
        <v>0</v>
      </c>
      <c r="DI1545">
        <v>0</v>
      </c>
    </row>
    <row r="1546" spans="1:113" ht="15" customHeight="1" x14ac:dyDescent="0.25">
      <c r="A1546" t="s">
        <v>7004</v>
      </c>
      <c r="B1546" t="s">
        <v>7005</v>
      </c>
      <c r="C1546" t="s">
        <v>896</v>
      </c>
      <c r="D1546" t="s">
        <v>10</v>
      </c>
      <c r="E1546" t="s">
        <v>10</v>
      </c>
      <c r="F1546" t="s">
        <v>7006</v>
      </c>
      <c r="G1546">
        <v>2025</v>
      </c>
      <c r="H1546" t="s">
        <v>1160</v>
      </c>
      <c r="I1546" t="s">
        <v>101</v>
      </c>
      <c r="J1546">
        <v>15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6</v>
      </c>
      <c r="U1546">
        <v>0</v>
      </c>
      <c r="V1546">
        <v>0</v>
      </c>
      <c r="W1546">
        <v>-0.81877134303795196</v>
      </c>
      <c r="X1546">
        <v>-61.947101354598999</v>
      </c>
      <c r="Y1546">
        <v>0</v>
      </c>
      <c r="Z1546">
        <v>0</v>
      </c>
      <c r="AA1546">
        <v>3</v>
      </c>
      <c r="AB1546">
        <v>34</v>
      </c>
      <c r="AC1546">
        <v>0</v>
      </c>
      <c r="AD1546">
        <v>0</v>
      </c>
      <c r="AE1546">
        <v>0</v>
      </c>
      <c r="AF1546">
        <v>1</v>
      </c>
      <c r="AG1546">
        <v>1.58422795531806</v>
      </c>
      <c r="AH1546">
        <v>0</v>
      </c>
      <c r="AI1546">
        <v>26</v>
      </c>
      <c r="AJ1546">
        <v>36</v>
      </c>
      <c r="AK1546">
        <v>193</v>
      </c>
      <c r="AL1546">
        <v>0</v>
      </c>
      <c r="AM1546">
        <v>0</v>
      </c>
      <c r="AN1546">
        <v>0</v>
      </c>
      <c r="AO1546">
        <v>122</v>
      </c>
      <c r="AP1546">
        <v>119</v>
      </c>
      <c r="AQ1546">
        <v>10</v>
      </c>
      <c r="AR1546">
        <v>1.18127434640055</v>
      </c>
      <c r="AS1546">
        <v>0</v>
      </c>
      <c r="AT1546">
        <v>1.58196721311475</v>
      </c>
      <c r="AU1546">
        <v>7.6271186440677999E-2</v>
      </c>
      <c r="AV1546">
        <v>3.5840188014101097E-2</v>
      </c>
      <c r="AW1546">
        <v>0.13949491127088801</v>
      </c>
      <c r="AX1546">
        <v>2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</v>
      </c>
      <c r="BU1546">
        <v>5</v>
      </c>
      <c r="BV1546">
        <v>28</v>
      </c>
      <c r="BW1546">
        <v>396</v>
      </c>
      <c r="BX1546">
        <v>28</v>
      </c>
      <c r="BY1546">
        <v>837</v>
      </c>
      <c r="BZ1546">
        <v>0</v>
      </c>
      <c r="CA1546">
        <v>0</v>
      </c>
      <c r="CB1546">
        <v>0</v>
      </c>
      <c r="CC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C1546">
        <v>0</v>
      </c>
      <c r="DD1546">
        <v>0</v>
      </c>
      <c r="DE1546">
        <v>0</v>
      </c>
      <c r="DF1546">
        <v>0</v>
      </c>
      <c r="DH1546">
        <v>34.700000000000003</v>
      </c>
      <c r="DI1546">
        <v>60.7</v>
      </c>
    </row>
    <row r="1547" spans="1:113" ht="15" customHeight="1" x14ac:dyDescent="0.25">
      <c r="A1547" t="s">
        <v>7007</v>
      </c>
      <c r="B1547" t="s">
        <v>7008</v>
      </c>
      <c r="C1547" t="s">
        <v>556</v>
      </c>
      <c r="D1547" t="s">
        <v>439</v>
      </c>
      <c r="E1547" t="s">
        <v>439</v>
      </c>
      <c r="F1547" t="s">
        <v>7009</v>
      </c>
      <c r="G1547">
        <v>2025</v>
      </c>
      <c r="H1547" t="s">
        <v>1160</v>
      </c>
      <c r="I1547" t="s">
        <v>109</v>
      </c>
      <c r="J1547">
        <v>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Y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H1547">
        <v>0</v>
      </c>
      <c r="AI1547">
        <v>4</v>
      </c>
      <c r="AJ1547">
        <v>5</v>
      </c>
      <c r="AK1547">
        <v>48</v>
      </c>
      <c r="AL1547">
        <v>0</v>
      </c>
      <c r="AM1547">
        <v>0</v>
      </c>
      <c r="AN1547">
        <v>0</v>
      </c>
      <c r="AO1547">
        <v>39</v>
      </c>
      <c r="AP1547">
        <v>10</v>
      </c>
      <c r="AQ1547">
        <v>3</v>
      </c>
      <c r="AR1547">
        <v>3.05230409273645</v>
      </c>
      <c r="AS1547">
        <v>0</v>
      </c>
      <c r="AT1547">
        <v>1.2307692307692299</v>
      </c>
      <c r="AU1547">
        <v>9.0415913200723296E-3</v>
      </c>
      <c r="AV1547">
        <v>8.1846799580272793E-3</v>
      </c>
      <c r="AW1547">
        <v>1.9291662950727598E-2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C1547">
        <v>0</v>
      </c>
      <c r="DD1547">
        <v>0</v>
      </c>
      <c r="DE1547">
        <v>0</v>
      </c>
      <c r="DF1547">
        <v>0</v>
      </c>
      <c r="DH1547">
        <v>4.8</v>
      </c>
      <c r="DI1547">
        <v>8.8000000000000007</v>
      </c>
    </row>
    <row r="1548" spans="1:113" ht="15" customHeight="1" x14ac:dyDescent="0.25">
      <c r="A1548" t="s">
        <v>7010</v>
      </c>
      <c r="B1548" t="s">
        <v>7011</v>
      </c>
      <c r="C1548" t="s">
        <v>7012</v>
      </c>
      <c r="D1548" t="s">
        <v>1219</v>
      </c>
      <c r="E1548" t="s">
        <v>1220</v>
      </c>
      <c r="F1548" t="s">
        <v>7013</v>
      </c>
      <c r="G1548">
        <v>2025</v>
      </c>
      <c r="H1548" t="s">
        <v>1160</v>
      </c>
      <c r="I1548" t="s">
        <v>104</v>
      </c>
      <c r="J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Y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S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7</v>
      </c>
      <c r="BU1548">
        <v>37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C1548">
        <v>0</v>
      </c>
      <c r="DD1548">
        <v>0</v>
      </c>
      <c r="DE1548">
        <v>0</v>
      </c>
      <c r="DF1548">
        <v>0</v>
      </c>
      <c r="DH1548">
        <v>0</v>
      </c>
      <c r="DI1548">
        <v>0</v>
      </c>
    </row>
    <row r="1549" spans="1:113" ht="15" customHeight="1" x14ac:dyDescent="0.25">
      <c r="A1549" t="s">
        <v>7014</v>
      </c>
      <c r="B1549" t="s">
        <v>1755</v>
      </c>
      <c r="C1549" t="s">
        <v>7015</v>
      </c>
      <c r="D1549" t="s">
        <v>1234</v>
      </c>
      <c r="E1549" t="s">
        <v>1234</v>
      </c>
      <c r="F1549" t="s">
        <v>7016</v>
      </c>
      <c r="G1549">
        <v>2025</v>
      </c>
      <c r="H1549" t="s">
        <v>1160</v>
      </c>
      <c r="I1549" t="s">
        <v>97</v>
      </c>
      <c r="J1549">
        <v>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Y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S1549">
        <v>0</v>
      </c>
      <c r="AU1549">
        <v>0</v>
      </c>
      <c r="AV1549">
        <v>0</v>
      </c>
      <c r="AW1549">
        <v>0</v>
      </c>
      <c r="AX1549">
        <v>0</v>
      </c>
      <c r="AY1549">
        <v>3</v>
      </c>
      <c r="AZ1549">
        <v>0</v>
      </c>
      <c r="BA1549">
        <v>9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3</v>
      </c>
      <c r="BU1549">
        <v>25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C1549">
        <v>0</v>
      </c>
      <c r="DD1549">
        <v>0</v>
      </c>
      <c r="DE1549">
        <v>0</v>
      </c>
      <c r="DF1549">
        <v>0</v>
      </c>
      <c r="DH1549">
        <v>0</v>
      </c>
      <c r="DI1549">
        <v>0</v>
      </c>
    </row>
    <row r="1550" spans="1:113" ht="15" customHeight="1" x14ac:dyDescent="0.25">
      <c r="A1550" t="s">
        <v>7017</v>
      </c>
      <c r="B1550" t="s">
        <v>7018</v>
      </c>
      <c r="C1550" t="s">
        <v>7019</v>
      </c>
      <c r="D1550" t="s">
        <v>1307</v>
      </c>
      <c r="E1550" t="s">
        <v>1307</v>
      </c>
      <c r="F1550" t="s">
        <v>7020</v>
      </c>
      <c r="G1550">
        <v>2025</v>
      </c>
      <c r="H1550" t="s">
        <v>1160</v>
      </c>
      <c r="I1550" t="s">
        <v>112</v>
      </c>
      <c r="J1550">
        <v>16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Y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S1550">
        <v>0</v>
      </c>
      <c r="AU1550">
        <v>0</v>
      </c>
      <c r="AV1550">
        <v>0</v>
      </c>
      <c r="AW1550">
        <v>0</v>
      </c>
      <c r="AX1550">
        <v>0</v>
      </c>
      <c r="AY1550">
        <v>39</v>
      </c>
      <c r="AZ1550">
        <v>1</v>
      </c>
      <c r="BA1550">
        <v>23</v>
      </c>
      <c r="BB1550">
        <v>5</v>
      </c>
      <c r="BC1550">
        <v>19</v>
      </c>
      <c r="BD1550">
        <v>1</v>
      </c>
      <c r="BE1550">
        <v>1.5</v>
      </c>
      <c r="BF1550">
        <v>7</v>
      </c>
      <c r="BG1550">
        <v>2</v>
      </c>
      <c r="BH1550">
        <v>0</v>
      </c>
      <c r="BI1550">
        <v>0</v>
      </c>
      <c r="BJ1550">
        <v>3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4</v>
      </c>
      <c r="BU1550">
        <v>29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C1550">
        <v>0</v>
      </c>
      <c r="DD1550">
        <v>0</v>
      </c>
      <c r="DE1550">
        <v>0</v>
      </c>
      <c r="DF1550">
        <v>0</v>
      </c>
      <c r="DH1550">
        <v>0</v>
      </c>
      <c r="DI1550">
        <v>0</v>
      </c>
    </row>
    <row r="1551" spans="1:113" ht="15" customHeight="1" x14ac:dyDescent="0.25">
      <c r="A1551" t="s">
        <v>7021</v>
      </c>
      <c r="B1551" t="s">
        <v>7022</v>
      </c>
      <c r="C1551" t="s">
        <v>7023</v>
      </c>
      <c r="D1551" t="s">
        <v>1684</v>
      </c>
      <c r="E1551" t="s">
        <v>1307</v>
      </c>
      <c r="F1551" t="s">
        <v>7024</v>
      </c>
      <c r="G1551">
        <v>2025</v>
      </c>
      <c r="H1551" t="s">
        <v>1160</v>
      </c>
      <c r="I1551" t="s">
        <v>133</v>
      </c>
      <c r="J1551">
        <v>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Y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S1551">
        <v>0</v>
      </c>
      <c r="AU1551">
        <v>0</v>
      </c>
      <c r="AV1551">
        <v>0</v>
      </c>
      <c r="AW1551">
        <v>0</v>
      </c>
      <c r="AX1551">
        <v>0</v>
      </c>
      <c r="AY1551">
        <v>4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C1551">
        <v>0</v>
      </c>
      <c r="DD1551">
        <v>0</v>
      </c>
      <c r="DE1551">
        <v>0</v>
      </c>
      <c r="DF1551">
        <v>0</v>
      </c>
      <c r="DH1551">
        <v>0</v>
      </c>
      <c r="DI1551">
        <v>0</v>
      </c>
    </row>
    <row r="1552" spans="1:113" ht="15" customHeight="1" x14ac:dyDescent="0.25">
      <c r="A1552" t="s">
        <v>7025</v>
      </c>
      <c r="B1552" t="s">
        <v>7026</v>
      </c>
      <c r="C1552" t="s">
        <v>7027</v>
      </c>
      <c r="D1552" t="s">
        <v>1350</v>
      </c>
      <c r="E1552" t="s">
        <v>1307</v>
      </c>
      <c r="F1552" t="s">
        <v>7028</v>
      </c>
      <c r="G1552">
        <v>2025</v>
      </c>
      <c r="H1552" t="s">
        <v>1160</v>
      </c>
      <c r="I1552" t="s">
        <v>133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Y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S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C1552">
        <v>0</v>
      </c>
      <c r="DD1552">
        <v>0</v>
      </c>
      <c r="DE1552">
        <v>0</v>
      </c>
      <c r="DF1552">
        <v>0</v>
      </c>
      <c r="DH1552">
        <v>0</v>
      </c>
      <c r="DI1552">
        <v>0</v>
      </c>
    </row>
    <row r="1553" spans="1:113" ht="15" customHeight="1" x14ac:dyDescent="0.25">
      <c r="A1553" t="s">
        <v>7029</v>
      </c>
      <c r="B1553" t="s">
        <v>7030</v>
      </c>
      <c r="C1553" t="s">
        <v>7031</v>
      </c>
      <c r="D1553" t="s">
        <v>1350</v>
      </c>
      <c r="E1553" t="s">
        <v>1307</v>
      </c>
      <c r="F1553" t="s">
        <v>7032</v>
      </c>
      <c r="G1553">
        <v>2025</v>
      </c>
      <c r="H1553" t="s">
        <v>1160</v>
      </c>
      <c r="I1553" t="s">
        <v>133</v>
      </c>
      <c r="J1553">
        <v>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Y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S1553">
        <v>0</v>
      </c>
      <c r="AU1553">
        <v>0</v>
      </c>
      <c r="AV1553">
        <v>0</v>
      </c>
      <c r="AW1553">
        <v>0</v>
      </c>
      <c r="AX1553">
        <v>0</v>
      </c>
      <c r="AY1553">
        <v>3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C1553">
        <v>0</v>
      </c>
      <c r="DD1553">
        <v>0</v>
      </c>
      <c r="DE1553">
        <v>0</v>
      </c>
      <c r="DF1553">
        <v>0</v>
      </c>
      <c r="DH1553">
        <v>0</v>
      </c>
      <c r="DI1553">
        <v>0</v>
      </c>
    </row>
    <row r="1554" spans="1:113" ht="15" customHeight="1" x14ac:dyDescent="0.25">
      <c r="A1554" t="s">
        <v>7033</v>
      </c>
      <c r="B1554" t="s">
        <v>7034</v>
      </c>
      <c r="C1554" t="s">
        <v>7035</v>
      </c>
      <c r="D1554" t="s">
        <v>1655</v>
      </c>
      <c r="E1554" t="s">
        <v>1220</v>
      </c>
      <c r="F1554" t="s">
        <v>7036</v>
      </c>
      <c r="G1554">
        <v>2025</v>
      </c>
      <c r="H1554" t="s">
        <v>1160</v>
      </c>
      <c r="I1554" t="s">
        <v>133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Y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S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</v>
      </c>
      <c r="BU1554">
        <v>10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C1554">
        <v>0</v>
      </c>
      <c r="DD1554">
        <v>0</v>
      </c>
      <c r="DE1554">
        <v>0</v>
      </c>
      <c r="DF1554">
        <v>0</v>
      </c>
      <c r="DH1554">
        <v>0</v>
      </c>
      <c r="DI1554">
        <v>0</v>
      </c>
    </row>
    <row r="1555" spans="1:113" ht="15" customHeight="1" x14ac:dyDescent="0.25">
      <c r="A1555" t="s">
        <v>7037</v>
      </c>
      <c r="B1555" t="s">
        <v>7038</v>
      </c>
      <c r="C1555" t="s">
        <v>973</v>
      </c>
      <c r="D1555" t="s">
        <v>439</v>
      </c>
      <c r="E1555" t="s">
        <v>439</v>
      </c>
      <c r="F1555" t="s">
        <v>7039</v>
      </c>
      <c r="G1555">
        <v>2025</v>
      </c>
      <c r="H1555" t="s">
        <v>1160</v>
      </c>
      <c r="I1555" t="s">
        <v>133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Y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S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1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C1555">
        <v>0</v>
      </c>
      <c r="DD1555">
        <v>0</v>
      </c>
      <c r="DE1555">
        <v>0</v>
      </c>
      <c r="DF1555">
        <v>0</v>
      </c>
      <c r="DH1555">
        <v>0</v>
      </c>
      <c r="DI1555">
        <v>0</v>
      </c>
    </row>
    <row r="1556" spans="1:113" ht="15" customHeight="1" x14ac:dyDescent="0.25">
      <c r="A1556" t="s">
        <v>7040</v>
      </c>
      <c r="B1556" t="s">
        <v>7041</v>
      </c>
      <c r="C1556" t="s">
        <v>500</v>
      </c>
      <c r="D1556" t="s">
        <v>10</v>
      </c>
      <c r="E1556" t="s">
        <v>10</v>
      </c>
      <c r="F1556" t="s">
        <v>7042</v>
      </c>
      <c r="G1556">
        <v>2025</v>
      </c>
      <c r="H1556" t="s">
        <v>1160</v>
      </c>
      <c r="I1556" t="s">
        <v>96</v>
      </c>
      <c r="J1556">
        <v>11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Y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H1556">
        <v>0</v>
      </c>
      <c r="AI1556">
        <v>33</v>
      </c>
      <c r="AJ1556">
        <v>43</v>
      </c>
      <c r="AK1556">
        <v>394</v>
      </c>
      <c r="AL1556">
        <v>3</v>
      </c>
      <c r="AM1556">
        <v>1</v>
      </c>
      <c r="AN1556">
        <v>1</v>
      </c>
      <c r="AO1556">
        <v>435</v>
      </c>
      <c r="AP1556">
        <v>102</v>
      </c>
      <c r="AQ1556">
        <v>22</v>
      </c>
      <c r="AR1556">
        <v>21.855756275938099</v>
      </c>
      <c r="AS1556">
        <v>1</v>
      </c>
      <c r="AT1556">
        <v>0.90574712643678201</v>
      </c>
      <c r="AU1556">
        <v>8.9583333333333307E-2</v>
      </c>
      <c r="AV1556">
        <v>0.12608695652173901</v>
      </c>
      <c r="AW1556">
        <v>0.222635869565217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1</v>
      </c>
      <c r="BU1556">
        <v>10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C1556">
        <v>0</v>
      </c>
      <c r="DD1556">
        <v>0</v>
      </c>
      <c r="DE1556">
        <v>0</v>
      </c>
      <c r="DF1556">
        <v>0</v>
      </c>
      <c r="DH1556">
        <v>57.4</v>
      </c>
      <c r="DI1556">
        <v>90.4</v>
      </c>
    </row>
    <row r="1557" spans="1:113" ht="15" customHeight="1" x14ac:dyDescent="0.25">
      <c r="A1557" t="s">
        <v>7043</v>
      </c>
      <c r="B1557" t="s">
        <v>7044</v>
      </c>
      <c r="C1557" t="s">
        <v>7045</v>
      </c>
      <c r="D1557" t="s">
        <v>1168</v>
      </c>
      <c r="E1557" t="s">
        <v>1169</v>
      </c>
      <c r="F1557" t="s">
        <v>7046</v>
      </c>
      <c r="G1557">
        <v>2025</v>
      </c>
      <c r="H1557" t="s">
        <v>1160</v>
      </c>
      <c r="I1557" t="s">
        <v>1200</v>
      </c>
      <c r="J1557">
        <v>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Y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S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12</v>
      </c>
      <c r="CA1557">
        <v>13</v>
      </c>
      <c r="CB1557">
        <v>1</v>
      </c>
      <c r="CC1557">
        <v>0</v>
      </c>
      <c r="CD1557">
        <v>52</v>
      </c>
      <c r="CE1557">
        <v>0.92307692307692302</v>
      </c>
      <c r="CF1557">
        <v>0</v>
      </c>
      <c r="CG1557">
        <v>3</v>
      </c>
      <c r="CH1557">
        <v>3</v>
      </c>
      <c r="CI1557">
        <v>5</v>
      </c>
      <c r="CJ1557">
        <v>1</v>
      </c>
      <c r="CK1557">
        <v>0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 t="s">
        <v>7047</v>
      </c>
      <c r="CS1557">
        <v>48</v>
      </c>
      <c r="CU1557">
        <v>442</v>
      </c>
      <c r="CV1557">
        <v>48</v>
      </c>
      <c r="CW1557">
        <v>0</v>
      </c>
      <c r="CX1557">
        <v>39</v>
      </c>
      <c r="CY1557">
        <v>39</v>
      </c>
      <c r="CZ1557">
        <v>0</v>
      </c>
      <c r="DA1557">
        <v>0</v>
      </c>
      <c r="DB1557">
        <v>1</v>
      </c>
      <c r="DC1557">
        <v>0</v>
      </c>
      <c r="DD1557">
        <v>0</v>
      </c>
      <c r="DE1557">
        <v>0</v>
      </c>
      <c r="DF1557">
        <v>0</v>
      </c>
      <c r="DH1557">
        <v>0</v>
      </c>
      <c r="DI1557">
        <v>0</v>
      </c>
    </row>
    <row r="1558" spans="1:113" ht="15" customHeight="1" x14ac:dyDescent="0.25">
      <c r="A1558" t="s">
        <v>7048</v>
      </c>
      <c r="B1558" t="s">
        <v>2644</v>
      </c>
      <c r="C1558" t="s">
        <v>7049</v>
      </c>
      <c r="D1558" t="s">
        <v>1684</v>
      </c>
      <c r="E1558" t="s">
        <v>1307</v>
      </c>
      <c r="F1558" t="s">
        <v>7050</v>
      </c>
      <c r="G1558">
        <v>2025</v>
      </c>
      <c r="H1558" t="s">
        <v>1160</v>
      </c>
      <c r="I1558" t="s">
        <v>109</v>
      </c>
      <c r="J1558">
        <v>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Y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S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</v>
      </c>
      <c r="BA1558">
        <v>6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C1558">
        <v>0</v>
      </c>
      <c r="DD1558">
        <v>0</v>
      </c>
      <c r="DE1558">
        <v>0</v>
      </c>
      <c r="DF1558">
        <v>0</v>
      </c>
      <c r="DH1558">
        <v>0</v>
      </c>
      <c r="DI1558">
        <v>0</v>
      </c>
    </row>
    <row r="1559" spans="1:113" ht="15" customHeight="1" x14ac:dyDescent="0.25">
      <c r="A1559" t="s">
        <v>7051</v>
      </c>
      <c r="B1559" t="s">
        <v>7052</v>
      </c>
      <c r="C1559" t="s">
        <v>452</v>
      </c>
      <c r="D1559" t="s">
        <v>10</v>
      </c>
      <c r="E1559" t="s">
        <v>10</v>
      </c>
      <c r="F1559" t="s">
        <v>7053</v>
      </c>
      <c r="G1559">
        <v>2025</v>
      </c>
      <c r="H1559" t="s">
        <v>1160</v>
      </c>
      <c r="I1559" t="s">
        <v>90</v>
      </c>
      <c r="J1559">
        <v>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Y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H1559">
        <v>0</v>
      </c>
      <c r="AI1559">
        <v>7</v>
      </c>
      <c r="AJ1559">
        <v>13</v>
      </c>
      <c r="AK1559">
        <v>67</v>
      </c>
      <c r="AL1559">
        <v>0</v>
      </c>
      <c r="AM1559">
        <v>0</v>
      </c>
      <c r="AN1559">
        <v>0</v>
      </c>
      <c r="AO1559">
        <v>192</v>
      </c>
      <c r="AP1559">
        <v>20</v>
      </c>
      <c r="AQ1559">
        <v>2</v>
      </c>
      <c r="AR1559">
        <v>1.14794683235327</v>
      </c>
      <c r="AS1559">
        <v>0</v>
      </c>
      <c r="AT1559">
        <v>0.34895833333333298</v>
      </c>
      <c r="AU1559">
        <v>2.1069692058346801E-2</v>
      </c>
      <c r="AV1559">
        <v>4.1201716738197398E-2</v>
      </c>
      <c r="AW1559">
        <v>6.0445739804258498E-2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2</v>
      </c>
      <c r="BY1559">
        <v>51</v>
      </c>
      <c r="BZ1559">
        <v>0</v>
      </c>
      <c r="CA1559">
        <v>0</v>
      </c>
      <c r="CB1559">
        <v>0</v>
      </c>
      <c r="CC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C1559">
        <v>0</v>
      </c>
      <c r="DD1559">
        <v>0</v>
      </c>
      <c r="DE1559">
        <v>0</v>
      </c>
      <c r="DF1559">
        <v>0</v>
      </c>
      <c r="DH1559">
        <v>6.7</v>
      </c>
      <c r="DI1559">
        <v>13.7</v>
      </c>
    </row>
    <row r="1560" spans="1:113" ht="15" customHeight="1" x14ac:dyDescent="0.25">
      <c r="A1560" t="s">
        <v>7054</v>
      </c>
      <c r="B1560" t="s">
        <v>7055</v>
      </c>
      <c r="C1560" t="s">
        <v>589</v>
      </c>
      <c r="D1560" t="s">
        <v>439</v>
      </c>
      <c r="E1560" t="s">
        <v>439</v>
      </c>
      <c r="F1560" t="s">
        <v>7056</v>
      </c>
      <c r="G1560">
        <v>2025</v>
      </c>
      <c r="H1560" t="s">
        <v>1160</v>
      </c>
      <c r="I1560" t="s">
        <v>112</v>
      </c>
      <c r="J1560">
        <v>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Y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H1560">
        <v>0</v>
      </c>
      <c r="AI1560">
        <v>9</v>
      </c>
      <c r="AJ1560">
        <v>13</v>
      </c>
      <c r="AK1560">
        <v>90</v>
      </c>
      <c r="AL1560">
        <v>1</v>
      </c>
      <c r="AM1560">
        <v>0</v>
      </c>
      <c r="AN1560">
        <v>0</v>
      </c>
      <c r="AO1560">
        <v>107</v>
      </c>
      <c r="AP1560">
        <v>33</v>
      </c>
      <c r="AQ1560">
        <v>4</v>
      </c>
      <c r="AR1560">
        <v>-0.64272227382753</v>
      </c>
      <c r="AS1560">
        <v>0</v>
      </c>
      <c r="AT1560">
        <v>0.84112149532710301</v>
      </c>
      <c r="AU1560">
        <v>2.1416803953871501E-2</v>
      </c>
      <c r="AV1560">
        <v>2.11086999408167E-2</v>
      </c>
      <c r="AW1560">
        <v>4.6901295889378997E-2</v>
      </c>
      <c r="AX1560">
        <v>0</v>
      </c>
      <c r="AY1560">
        <v>9</v>
      </c>
      <c r="AZ1560">
        <v>0</v>
      </c>
      <c r="BA1560">
        <v>11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C1560">
        <v>0</v>
      </c>
      <c r="DD1560">
        <v>0</v>
      </c>
      <c r="DE1560">
        <v>0</v>
      </c>
      <c r="DF1560">
        <v>0</v>
      </c>
      <c r="DH1560">
        <v>15</v>
      </c>
      <c r="DI1560">
        <v>24</v>
      </c>
    </row>
    <row r="1561" spans="1:113" ht="15" customHeight="1" x14ac:dyDescent="0.25">
      <c r="A1561" t="s">
        <v>7057</v>
      </c>
      <c r="B1561" t="s">
        <v>7058</v>
      </c>
      <c r="C1561" t="s">
        <v>7059</v>
      </c>
      <c r="D1561" t="s">
        <v>1655</v>
      </c>
      <c r="E1561" t="s">
        <v>1220</v>
      </c>
      <c r="F1561" t="s">
        <v>7060</v>
      </c>
      <c r="G1561">
        <v>2025</v>
      </c>
      <c r="H1561" t="s">
        <v>1160</v>
      </c>
      <c r="I1561" t="s">
        <v>89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Y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S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1</v>
      </c>
      <c r="BU1561">
        <v>10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C1561">
        <v>0</v>
      </c>
      <c r="DD1561">
        <v>0</v>
      </c>
      <c r="DE1561">
        <v>0</v>
      </c>
      <c r="DF1561">
        <v>0</v>
      </c>
      <c r="DH1561">
        <v>0</v>
      </c>
      <c r="DI1561">
        <v>0</v>
      </c>
    </row>
    <row r="1562" spans="1:113" ht="15" customHeight="1" x14ac:dyDescent="0.25">
      <c r="A1562" t="s">
        <v>7061</v>
      </c>
      <c r="B1562" t="s">
        <v>7062</v>
      </c>
      <c r="C1562" t="s">
        <v>7063</v>
      </c>
      <c r="D1562" t="s">
        <v>1219</v>
      </c>
      <c r="E1562" t="s">
        <v>1220</v>
      </c>
      <c r="F1562" t="s">
        <v>7064</v>
      </c>
      <c r="G1562">
        <v>2025</v>
      </c>
      <c r="H1562" t="s">
        <v>1160</v>
      </c>
      <c r="I1562" t="s">
        <v>115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Y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S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C1562">
        <v>0</v>
      </c>
      <c r="DD1562">
        <v>0</v>
      </c>
      <c r="DE1562">
        <v>0</v>
      </c>
      <c r="DF1562">
        <v>0</v>
      </c>
      <c r="DH1562">
        <v>0</v>
      </c>
      <c r="DI1562">
        <v>0</v>
      </c>
    </row>
    <row r="1563" spans="1:113" ht="15" customHeight="1" x14ac:dyDescent="0.25">
      <c r="A1563" t="s">
        <v>7065</v>
      </c>
      <c r="B1563" t="s">
        <v>7066</v>
      </c>
      <c r="C1563" t="s">
        <v>7067</v>
      </c>
      <c r="D1563" t="s">
        <v>1168</v>
      </c>
      <c r="E1563" t="s">
        <v>1169</v>
      </c>
      <c r="F1563" t="s">
        <v>7068</v>
      </c>
      <c r="G1563">
        <v>2025</v>
      </c>
      <c r="H1563" t="s">
        <v>1160</v>
      </c>
      <c r="I1563" t="s">
        <v>124</v>
      </c>
      <c r="J1563">
        <v>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Y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S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13</v>
      </c>
      <c r="CA1563">
        <v>14</v>
      </c>
      <c r="CB1563">
        <v>1</v>
      </c>
      <c r="CC1563">
        <v>0</v>
      </c>
      <c r="CD1563">
        <v>52</v>
      </c>
      <c r="CE1563">
        <v>0.92857142857142905</v>
      </c>
      <c r="CF1563">
        <v>0</v>
      </c>
      <c r="CG1563">
        <v>5</v>
      </c>
      <c r="CH1563">
        <v>5</v>
      </c>
      <c r="CI1563">
        <v>2</v>
      </c>
      <c r="CJ1563">
        <v>1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1</v>
      </c>
      <c r="CQ1563">
        <v>0</v>
      </c>
      <c r="CR1563" t="s">
        <v>7069</v>
      </c>
      <c r="CS1563">
        <v>51</v>
      </c>
      <c r="CU1563">
        <v>456</v>
      </c>
      <c r="CV1563">
        <v>51</v>
      </c>
      <c r="CW1563">
        <v>0</v>
      </c>
      <c r="CX1563">
        <v>14</v>
      </c>
      <c r="CY1563">
        <v>14</v>
      </c>
      <c r="CZ1563">
        <v>0</v>
      </c>
      <c r="DA1563">
        <v>0</v>
      </c>
      <c r="DB1563">
        <v>1</v>
      </c>
      <c r="DC1563">
        <v>1</v>
      </c>
      <c r="DD1563">
        <v>1</v>
      </c>
      <c r="DE1563">
        <v>0</v>
      </c>
      <c r="DF1563">
        <v>0</v>
      </c>
      <c r="DG1563">
        <v>45</v>
      </c>
      <c r="DH1563">
        <v>0</v>
      </c>
      <c r="DI1563">
        <v>0</v>
      </c>
    </row>
    <row r="1564" spans="1:113" ht="15" customHeight="1" x14ac:dyDescent="0.25">
      <c r="A1564" t="s">
        <v>7070</v>
      </c>
      <c r="B1564" t="s">
        <v>7071</v>
      </c>
      <c r="C1564" t="s">
        <v>7072</v>
      </c>
      <c r="D1564" t="s">
        <v>1158</v>
      </c>
      <c r="E1564" t="s">
        <v>1158</v>
      </c>
      <c r="F1564" t="s">
        <v>7073</v>
      </c>
      <c r="G1564">
        <v>2025</v>
      </c>
      <c r="H1564" t="s">
        <v>1160</v>
      </c>
      <c r="I1564" t="s">
        <v>90</v>
      </c>
      <c r="J1564">
        <v>2</v>
      </c>
      <c r="K1564">
        <v>1</v>
      </c>
      <c r="L1564">
        <v>2</v>
      </c>
      <c r="M1564">
        <v>-2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3</v>
      </c>
      <c r="U1564">
        <v>0</v>
      </c>
      <c r="V1564">
        <v>0</v>
      </c>
      <c r="W1564">
        <v>-2.14663142594509</v>
      </c>
      <c r="X1564">
        <v>-31.8118125200272</v>
      </c>
      <c r="Y1564">
        <v>0</v>
      </c>
      <c r="Z1564">
        <v>-0.66666666666666696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S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C1564">
        <v>0</v>
      </c>
      <c r="DD1564">
        <v>0</v>
      </c>
      <c r="DE1564">
        <v>0</v>
      </c>
      <c r="DF1564">
        <v>0</v>
      </c>
      <c r="DH1564">
        <v>-0.08</v>
      </c>
      <c r="DI1564">
        <v>-0.08</v>
      </c>
    </row>
    <row r="1565" spans="1:113" ht="15" customHeight="1" x14ac:dyDescent="0.25">
      <c r="A1565" t="s">
        <v>7074</v>
      </c>
      <c r="B1565" t="s">
        <v>7075</v>
      </c>
      <c r="C1565" t="s">
        <v>7076</v>
      </c>
      <c r="D1565" t="s">
        <v>1297</v>
      </c>
      <c r="E1565" t="s">
        <v>1220</v>
      </c>
      <c r="F1565" t="s">
        <v>7077</v>
      </c>
      <c r="G1565">
        <v>2025</v>
      </c>
      <c r="H1565" t="s">
        <v>1160</v>
      </c>
      <c r="I1565" t="s">
        <v>124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Y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S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2</v>
      </c>
      <c r="BU1565">
        <v>20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C1565">
        <v>0</v>
      </c>
      <c r="DD1565">
        <v>0</v>
      </c>
      <c r="DE1565">
        <v>0</v>
      </c>
      <c r="DF1565">
        <v>0</v>
      </c>
      <c r="DH1565">
        <v>0</v>
      </c>
      <c r="DI1565">
        <v>0</v>
      </c>
    </row>
    <row r="1566" spans="1:113" ht="15" customHeight="1" x14ac:dyDescent="0.25">
      <c r="A1566" t="s">
        <v>7078</v>
      </c>
      <c r="B1566" t="s">
        <v>7079</v>
      </c>
      <c r="C1566" t="s">
        <v>988</v>
      </c>
      <c r="D1566" t="s">
        <v>10</v>
      </c>
      <c r="E1566" t="s">
        <v>10</v>
      </c>
      <c r="F1566" t="s">
        <v>7080</v>
      </c>
      <c r="G1566">
        <v>2025</v>
      </c>
      <c r="H1566" t="s">
        <v>1160</v>
      </c>
      <c r="I1566" t="s">
        <v>126</v>
      </c>
      <c r="J1566">
        <v>17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Y1566">
        <v>0</v>
      </c>
      <c r="AA1566">
        <v>2</v>
      </c>
      <c r="AB1566">
        <v>13</v>
      </c>
      <c r="AC1566">
        <v>0</v>
      </c>
      <c r="AD1566">
        <v>0</v>
      </c>
      <c r="AE1566">
        <v>0</v>
      </c>
      <c r="AF1566">
        <v>1</v>
      </c>
      <c r="AG1566">
        <v>6.0002280923072297E-2</v>
      </c>
      <c r="AH1566">
        <v>0</v>
      </c>
      <c r="AI1566">
        <v>4</v>
      </c>
      <c r="AJ1566">
        <v>7</v>
      </c>
      <c r="AK1566">
        <v>64</v>
      </c>
      <c r="AL1566">
        <v>1</v>
      </c>
      <c r="AM1566">
        <v>0</v>
      </c>
      <c r="AN1566">
        <v>0</v>
      </c>
      <c r="AO1566">
        <v>88</v>
      </c>
      <c r="AP1566">
        <v>20</v>
      </c>
      <c r="AQ1566">
        <v>3</v>
      </c>
      <c r="AR1566">
        <v>0.52181870128846497</v>
      </c>
      <c r="AS1566">
        <v>0</v>
      </c>
      <c r="AT1566">
        <v>0.72727272727272696</v>
      </c>
      <c r="AU1566">
        <v>1.29390018484288E-2</v>
      </c>
      <c r="AV1566">
        <v>1.9538188277087001E-2</v>
      </c>
      <c r="AW1566">
        <v>3.3085234566604199E-2</v>
      </c>
      <c r="AX1566">
        <v>0</v>
      </c>
      <c r="AY1566">
        <v>3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2</v>
      </c>
      <c r="BM1566">
        <v>0</v>
      </c>
      <c r="BN1566">
        <v>0</v>
      </c>
      <c r="BO1566">
        <v>2</v>
      </c>
      <c r="BP1566">
        <v>2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26</v>
      </c>
      <c r="BW1566">
        <v>291</v>
      </c>
      <c r="BX1566">
        <v>27</v>
      </c>
      <c r="BY1566">
        <v>685</v>
      </c>
      <c r="BZ1566">
        <v>0</v>
      </c>
      <c r="CA1566">
        <v>0</v>
      </c>
      <c r="CB1566">
        <v>0</v>
      </c>
      <c r="CC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C1566">
        <v>0</v>
      </c>
      <c r="DD1566">
        <v>0</v>
      </c>
      <c r="DE1566">
        <v>0</v>
      </c>
      <c r="DF1566">
        <v>0</v>
      </c>
      <c r="DH1566">
        <v>13.7</v>
      </c>
      <c r="DI1566">
        <v>17.7</v>
      </c>
    </row>
    <row r="1567" spans="1:113" ht="15" customHeight="1" x14ac:dyDescent="0.25">
      <c r="A1567" t="s">
        <v>7081</v>
      </c>
      <c r="B1567" t="s">
        <v>7082</v>
      </c>
      <c r="C1567" t="s">
        <v>7083</v>
      </c>
      <c r="D1567" t="s">
        <v>1684</v>
      </c>
      <c r="E1567" t="s">
        <v>1307</v>
      </c>
      <c r="F1567" t="s">
        <v>7084</v>
      </c>
      <c r="G1567">
        <v>2025</v>
      </c>
      <c r="H1567" t="s">
        <v>1160</v>
      </c>
      <c r="I1567" t="s">
        <v>126</v>
      </c>
      <c r="J1567">
        <v>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Y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S1567">
        <v>0</v>
      </c>
      <c r="AU1567">
        <v>0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2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1</v>
      </c>
      <c r="BP1567">
        <v>1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C1567">
        <v>0</v>
      </c>
      <c r="DD1567">
        <v>0</v>
      </c>
      <c r="DE1567">
        <v>0</v>
      </c>
      <c r="DF1567">
        <v>0</v>
      </c>
      <c r="DH1567">
        <v>0</v>
      </c>
      <c r="DI1567">
        <v>0</v>
      </c>
    </row>
    <row r="1568" spans="1:113" ht="15" customHeight="1" x14ac:dyDescent="0.25">
      <c r="A1568" t="s">
        <v>7085</v>
      </c>
      <c r="B1568" t="s">
        <v>6795</v>
      </c>
      <c r="C1568" t="s">
        <v>7086</v>
      </c>
      <c r="D1568" t="s">
        <v>1684</v>
      </c>
      <c r="E1568" t="s">
        <v>1307</v>
      </c>
      <c r="F1568" t="s">
        <v>7087</v>
      </c>
      <c r="G1568">
        <v>2025</v>
      </c>
      <c r="H1568" t="s">
        <v>1160</v>
      </c>
      <c r="I1568" t="s">
        <v>96</v>
      </c>
      <c r="J1568">
        <v>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Y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S1568">
        <v>0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</v>
      </c>
      <c r="BA1568">
        <v>4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1</v>
      </c>
      <c r="BR1568">
        <v>1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C1568">
        <v>0</v>
      </c>
      <c r="DD1568">
        <v>0</v>
      </c>
      <c r="DE1568">
        <v>0</v>
      </c>
      <c r="DF1568">
        <v>0</v>
      </c>
      <c r="DH1568">
        <v>0</v>
      </c>
      <c r="DI1568">
        <v>0</v>
      </c>
    </row>
    <row r="1569" spans="1:113" ht="15" customHeight="1" x14ac:dyDescent="0.25">
      <c r="A1569" t="s">
        <v>7088</v>
      </c>
      <c r="B1569" t="s">
        <v>7089</v>
      </c>
      <c r="C1569" t="s">
        <v>650</v>
      </c>
      <c r="D1569" t="s">
        <v>431</v>
      </c>
      <c r="E1569" t="s">
        <v>431</v>
      </c>
      <c r="F1569" t="s">
        <v>7090</v>
      </c>
      <c r="G1569">
        <v>2025</v>
      </c>
      <c r="H1569" t="s">
        <v>1160</v>
      </c>
      <c r="I1569" t="s">
        <v>121</v>
      </c>
      <c r="J1569">
        <v>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Y1569">
        <v>0</v>
      </c>
      <c r="AA1569">
        <v>17</v>
      </c>
      <c r="AB1569">
        <v>78</v>
      </c>
      <c r="AC1569">
        <v>0</v>
      </c>
      <c r="AD1569">
        <v>0</v>
      </c>
      <c r="AE1569">
        <v>0</v>
      </c>
      <c r="AF1569">
        <v>5</v>
      </c>
      <c r="AG1569">
        <v>2.1713104594805199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S1569">
        <v>0</v>
      </c>
      <c r="AU1569">
        <v>0</v>
      </c>
      <c r="AV1569">
        <v>0</v>
      </c>
      <c r="AW1569">
        <v>0</v>
      </c>
      <c r="AX1569">
        <v>0</v>
      </c>
      <c r="AY1569">
        <v>6</v>
      </c>
      <c r="AZ1569">
        <v>0</v>
      </c>
      <c r="BA1569">
        <v>4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1</v>
      </c>
      <c r="BU1569">
        <v>10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C1569">
        <v>0</v>
      </c>
      <c r="DD1569">
        <v>0</v>
      </c>
      <c r="DE1569">
        <v>0</v>
      </c>
      <c r="DF1569">
        <v>0</v>
      </c>
      <c r="DH1569">
        <v>7.8</v>
      </c>
      <c r="DI1569">
        <v>7.8</v>
      </c>
    </row>
    <row r="1570" spans="1:113" ht="15" customHeight="1" x14ac:dyDescent="0.25">
      <c r="A1570" t="s">
        <v>7091</v>
      </c>
      <c r="B1570" t="s">
        <v>7092</v>
      </c>
      <c r="C1570" t="s">
        <v>7093</v>
      </c>
      <c r="D1570" t="s">
        <v>1350</v>
      </c>
      <c r="E1570" t="s">
        <v>1307</v>
      </c>
      <c r="F1570" t="s">
        <v>7094</v>
      </c>
      <c r="G1570">
        <v>2025</v>
      </c>
      <c r="H1570" t="s">
        <v>1160</v>
      </c>
      <c r="I1570" t="s">
        <v>139</v>
      </c>
      <c r="J1570">
        <v>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Y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S1570">
        <v>0</v>
      </c>
      <c r="AU1570">
        <v>0</v>
      </c>
      <c r="AV1570">
        <v>0</v>
      </c>
      <c r="AW1570">
        <v>0</v>
      </c>
      <c r="AX1570">
        <v>0</v>
      </c>
      <c r="AY1570">
        <v>5</v>
      </c>
      <c r="AZ1570">
        <v>0</v>
      </c>
      <c r="BA1570">
        <v>7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2</v>
      </c>
      <c r="BU1570">
        <v>28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C1570">
        <v>0</v>
      </c>
      <c r="DD1570">
        <v>0</v>
      </c>
      <c r="DE1570">
        <v>0</v>
      </c>
      <c r="DF1570">
        <v>0</v>
      </c>
      <c r="DH1570">
        <v>0</v>
      </c>
      <c r="DI1570">
        <v>0</v>
      </c>
    </row>
    <row r="1571" spans="1:113" ht="15" customHeight="1" x14ac:dyDescent="0.25">
      <c r="A1571" t="s">
        <v>7095</v>
      </c>
      <c r="B1571" t="s">
        <v>7096</v>
      </c>
      <c r="C1571" t="s">
        <v>7097</v>
      </c>
      <c r="D1571" t="s">
        <v>1234</v>
      </c>
      <c r="E1571" t="s">
        <v>1234</v>
      </c>
      <c r="F1571" t="s">
        <v>7098</v>
      </c>
      <c r="G1571">
        <v>2025</v>
      </c>
      <c r="H1571" t="s">
        <v>1160</v>
      </c>
      <c r="I1571" t="s">
        <v>138</v>
      </c>
      <c r="J1571">
        <v>11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Y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S1571">
        <v>0</v>
      </c>
      <c r="AU1571">
        <v>0</v>
      </c>
      <c r="AV1571">
        <v>0</v>
      </c>
      <c r="AW1571">
        <v>0</v>
      </c>
      <c r="AX1571">
        <v>0</v>
      </c>
      <c r="AY1571">
        <v>12</v>
      </c>
      <c r="AZ1571">
        <v>0</v>
      </c>
      <c r="BA1571">
        <v>13</v>
      </c>
      <c r="BB1571">
        <v>2</v>
      </c>
      <c r="BC1571">
        <v>15</v>
      </c>
      <c r="BD1571">
        <v>0</v>
      </c>
      <c r="BE1571">
        <v>2</v>
      </c>
      <c r="BF1571">
        <v>15</v>
      </c>
      <c r="BG1571">
        <v>3</v>
      </c>
      <c r="BH1571">
        <v>0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C1571">
        <v>0</v>
      </c>
      <c r="DD1571">
        <v>0</v>
      </c>
      <c r="DE1571">
        <v>0</v>
      </c>
      <c r="DF1571">
        <v>0</v>
      </c>
      <c r="DH1571">
        <v>0</v>
      </c>
      <c r="DI1571">
        <v>0</v>
      </c>
    </row>
    <row r="1572" spans="1:113" ht="15" customHeight="1" x14ac:dyDescent="0.25">
      <c r="A1572" t="s">
        <v>7099</v>
      </c>
      <c r="B1572" t="s">
        <v>7100</v>
      </c>
      <c r="C1572" t="s">
        <v>853</v>
      </c>
      <c r="D1572" t="s">
        <v>10</v>
      </c>
      <c r="E1572" t="s">
        <v>10</v>
      </c>
      <c r="F1572" t="s">
        <v>7101</v>
      </c>
      <c r="G1572">
        <v>2025</v>
      </c>
      <c r="H1572" t="s">
        <v>1160</v>
      </c>
      <c r="I1572" t="s">
        <v>138</v>
      </c>
      <c r="J1572">
        <v>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Y1572">
        <v>0</v>
      </c>
      <c r="AA1572">
        <v>4</v>
      </c>
      <c r="AB1572">
        <v>18</v>
      </c>
      <c r="AC1572">
        <v>0</v>
      </c>
      <c r="AD1572">
        <v>1</v>
      </c>
      <c r="AE1572">
        <v>0</v>
      </c>
      <c r="AF1572">
        <v>2</v>
      </c>
      <c r="AG1572">
        <v>-1.3791871984722099</v>
      </c>
      <c r="AH1572">
        <v>0</v>
      </c>
      <c r="AI1572">
        <v>11</v>
      </c>
      <c r="AJ1572">
        <v>17</v>
      </c>
      <c r="AK1572">
        <v>76</v>
      </c>
      <c r="AL1572">
        <v>0</v>
      </c>
      <c r="AM1572">
        <v>0</v>
      </c>
      <c r="AN1572">
        <v>0</v>
      </c>
      <c r="AO1572">
        <v>149</v>
      </c>
      <c r="AP1572">
        <v>37</v>
      </c>
      <c r="AQ1572">
        <v>4</v>
      </c>
      <c r="AR1572">
        <v>-7.4607468317608001</v>
      </c>
      <c r="AS1572">
        <v>0</v>
      </c>
      <c r="AT1572">
        <v>0.51006711409395999</v>
      </c>
      <c r="AU1572">
        <v>3.00884955752212E-2</v>
      </c>
      <c r="AV1572">
        <v>3.1125966158345501E-2</v>
      </c>
      <c r="AW1572">
        <v>6.6920919673673696E-2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12</v>
      </c>
      <c r="BY1572">
        <v>378</v>
      </c>
      <c r="BZ1572">
        <v>0</v>
      </c>
      <c r="CA1572">
        <v>0</v>
      </c>
      <c r="CB1572">
        <v>0</v>
      </c>
      <c r="CC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C1572">
        <v>0</v>
      </c>
      <c r="DD1572">
        <v>0</v>
      </c>
      <c r="DE1572">
        <v>0</v>
      </c>
      <c r="DF1572">
        <v>0</v>
      </c>
      <c r="DH1572">
        <v>9.4</v>
      </c>
      <c r="DI1572">
        <v>20.399999999999999</v>
      </c>
    </row>
    <row r="1573" spans="1:113" ht="15" customHeight="1" x14ac:dyDescent="0.25">
      <c r="A1573" t="s">
        <v>7102</v>
      </c>
      <c r="B1573" t="s">
        <v>7103</v>
      </c>
      <c r="C1573" t="s">
        <v>542</v>
      </c>
      <c r="D1573" t="s">
        <v>439</v>
      </c>
      <c r="E1573" t="s">
        <v>439</v>
      </c>
      <c r="F1573" t="s">
        <v>7104</v>
      </c>
      <c r="G1573">
        <v>2025</v>
      </c>
      <c r="H1573" t="s">
        <v>1160</v>
      </c>
      <c r="I1573" t="s">
        <v>107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Y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H1573">
        <v>0</v>
      </c>
      <c r="AI1573">
        <v>2</v>
      </c>
      <c r="AJ1573">
        <v>2</v>
      </c>
      <c r="AK1573">
        <v>7</v>
      </c>
      <c r="AL1573">
        <v>0</v>
      </c>
      <c r="AM1573">
        <v>1</v>
      </c>
      <c r="AN1573">
        <v>0</v>
      </c>
      <c r="AO1573">
        <v>-6</v>
      </c>
      <c r="AP1573">
        <v>13</v>
      </c>
      <c r="AQ1573">
        <v>0</v>
      </c>
      <c r="AR1573">
        <v>-0.351621002424508</v>
      </c>
      <c r="AS1573">
        <v>0</v>
      </c>
      <c r="AT1573">
        <v>0</v>
      </c>
      <c r="AU1573">
        <v>3.28947368421053E-3</v>
      </c>
      <c r="AV1573">
        <v>-1.2746972594008901E-3</v>
      </c>
      <c r="AW1573">
        <v>4.04192244473516E-3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C1573">
        <v>0</v>
      </c>
      <c r="DD1573">
        <v>0</v>
      </c>
      <c r="DE1573">
        <v>0</v>
      </c>
      <c r="DF1573">
        <v>0</v>
      </c>
      <c r="DH1573">
        <v>0.7</v>
      </c>
      <c r="DI1573">
        <v>2.7</v>
      </c>
    </row>
    <row r="1574" spans="1:113" ht="15" customHeight="1" x14ac:dyDescent="0.25">
      <c r="A1574" t="s">
        <v>7105</v>
      </c>
      <c r="B1574" t="s">
        <v>7106</v>
      </c>
      <c r="C1574" t="s">
        <v>7107</v>
      </c>
      <c r="D1574" t="s">
        <v>1684</v>
      </c>
      <c r="E1574" t="s">
        <v>1307</v>
      </c>
      <c r="F1574" t="s">
        <v>7108</v>
      </c>
      <c r="G1574">
        <v>2025</v>
      </c>
      <c r="H1574" t="s">
        <v>1160</v>
      </c>
      <c r="I1574" t="s">
        <v>107</v>
      </c>
      <c r="J1574">
        <v>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Y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S1574">
        <v>0</v>
      </c>
      <c r="AU1574">
        <v>0</v>
      </c>
      <c r="AV1574">
        <v>0</v>
      </c>
      <c r="AW1574">
        <v>0</v>
      </c>
      <c r="AX1574">
        <v>0</v>
      </c>
      <c r="AY1574">
        <v>9</v>
      </c>
      <c r="AZ1574">
        <v>1</v>
      </c>
      <c r="BA1574">
        <v>8</v>
      </c>
      <c r="BB1574">
        <v>1</v>
      </c>
      <c r="BC1574">
        <v>1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3</v>
      </c>
      <c r="BU1574">
        <v>30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C1574">
        <v>0</v>
      </c>
      <c r="DD1574">
        <v>0</v>
      </c>
      <c r="DE1574">
        <v>0</v>
      </c>
      <c r="DF1574">
        <v>0</v>
      </c>
      <c r="DH1574">
        <v>0</v>
      </c>
      <c r="DI1574">
        <v>0</v>
      </c>
    </row>
    <row r="1575" spans="1:113" ht="15" customHeight="1" x14ac:dyDescent="0.25">
      <c r="A1575" t="s">
        <v>7109</v>
      </c>
      <c r="B1575" t="s">
        <v>7110</v>
      </c>
      <c r="C1575" t="s">
        <v>7111</v>
      </c>
      <c r="D1575" t="s">
        <v>1209</v>
      </c>
      <c r="E1575" t="s">
        <v>1169</v>
      </c>
      <c r="F1575" t="s">
        <v>7112</v>
      </c>
      <c r="G1575">
        <v>2025</v>
      </c>
      <c r="H1575" t="s">
        <v>1160</v>
      </c>
      <c r="I1575" t="s">
        <v>101</v>
      </c>
      <c r="J1575">
        <v>17</v>
      </c>
      <c r="K1575">
        <v>1</v>
      </c>
      <c r="L1575">
        <v>1</v>
      </c>
      <c r="M1575">
        <v>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</v>
      </c>
      <c r="U1575">
        <v>0</v>
      </c>
      <c r="V1575">
        <v>1</v>
      </c>
      <c r="W1575">
        <v>2.8565037888474798</v>
      </c>
      <c r="X1575">
        <v>25.870478153228799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S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2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C1575">
        <v>0</v>
      </c>
      <c r="DD1575">
        <v>0</v>
      </c>
      <c r="DE1575">
        <v>0</v>
      </c>
      <c r="DF1575">
        <v>0</v>
      </c>
      <c r="DH1575">
        <v>0.12</v>
      </c>
      <c r="DI1575">
        <v>0.12</v>
      </c>
    </row>
    <row r="1576" spans="1:113" ht="15" customHeight="1" x14ac:dyDescent="0.25">
      <c r="A1576" t="s">
        <v>7113</v>
      </c>
      <c r="B1576" t="s">
        <v>7114</v>
      </c>
      <c r="C1576" t="s">
        <v>7115</v>
      </c>
      <c r="D1576" t="s">
        <v>1234</v>
      </c>
      <c r="E1576" t="s">
        <v>1234</v>
      </c>
      <c r="F1576" t="s">
        <v>7116</v>
      </c>
      <c r="G1576">
        <v>2025</v>
      </c>
      <c r="H1576" t="s">
        <v>1160</v>
      </c>
      <c r="I1576" t="s">
        <v>96</v>
      </c>
      <c r="J1576">
        <v>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Y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S1576">
        <v>0</v>
      </c>
      <c r="AU1576">
        <v>0</v>
      </c>
      <c r="AV1576">
        <v>0</v>
      </c>
      <c r="AW1576">
        <v>0</v>
      </c>
      <c r="AX1576">
        <v>0</v>
      </c>
      <c r="AY1576">
        <v>4</v>
      </c>
      <c r="AZ1576">
        <v>0</v>
      </c>
      <c r="BA1576">
        <v>6</v>
      </c>
      <c r="BB1576">
        <v>0</v>
      </c>
      <c r="BC1576">
        <v>0</v>
      </c>
      <c r="BD1576">
        <v>1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</v>
      </c>
      <c r="BU1576">
        <v>5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C1576">
        <v>0</v>
      </c>
      <c r="DD1576">
        <v>0</v>
      </c>
      <c r="DE1576">
        <v>0</v>
      </c>
      <c r="DF1576">
        <v>0</v>
      </c>
      <c r="DH1576">
        <v>0</v>
      </c>
      <c r="DI1576">
        <v>0</v>
      </c>
    </row>
    <row r="1577" spans="1:113" ht="15" customHeight="1" x14ac:dyDescent="0.25">
      <c r="A1577" t="s">
        <v>7117</v>
      </c>
      <c r="B1577" t="s">
        <v>7118</v>
      </c>
      <c r="C1577" t="s">
        <v>1006</v>
      </c>
      <c r="D1577" t="s">
        <v>439</v>
      </c>
      <c r="E1577" t="s">
        <v>439</v>
      </c>
      <c r="F1577" t="s">
        <v>7119</v>
      </c>
      <c r="G1577">
        <v>2025</v>
      </c>
      <c r="H1577" t="s">
        <v>1160</v>
      </c>
      <c r="I1577" t="s">
        <v>142</v>
      </c>
      <c r="J1577">
        <v>11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Y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H1577">
        <v>0</v>
      </c>
      <c r="AI1577">
        <v>4</v>
      </c>
      <c r="AJ1577">
        <v>6</v>
      </c>
      <c r="AK1577">
        <v>30</v>
      </c>
      <c r="AL1577">
        <v>1</v>
      </c>
      <c r="AM1577">
        <v>0</v>
      </c>
      <c r="AN1577">
        <v>0</v>
      </c>
      <c r="AO1577">
        <v>23</v>
      </c>
      <c r="AP1577">
        <v>16</v>
      </c>
      <c r="AQ1577">
        <v>3</v>
      </c>
      <c r="AR1577">
        <v>-0.97690712602343399</v>
      </c>
      <c r="AS1577">
        <v>0</v>
      </c>
      <c r="AT1577">
        <v>1.3043478260869601</v>
      </c>
      <c r="AU1577">
        <v>1.13207547169811E-2</v>
      </c>
      <c r="AV1577">
        <v>5.7299451918286001E-3</v>
      </c>
      <c r="AW1577">
        <v>2.0992093709751702E-2</v>
      </c>
      <c r="AX1577">
        <v>0</v>
      </c>
      <c r="AY1577">
        <v>5</v>
      </c>
      <c r="AZ1577">
        <v>0</v>
      </c>
      <c r="BA1577">
        <v>5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2</v>
      </c>
      <c r="BU1577">
        <v>15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C1577">
        <v>0</v>
      </c>
      <c r="DD1577">
        <v>0</v>
      </c>
      <c r="DE1577">
        <v>0</v>
      </c>
      <c r="DF1577">
        <v>0</v>
      </c>
      <c r="DH1577">
        <v>9</v>
      </c>
      <c r="DI1577">
        <v>13</v>
      </c>
    </row>
    <row r="1578" spans="1:113" ht="15" customHeight="1" x14ac:dyDescent="0.25">
      <c r="A1578" t="s">
        <v>7120</v>
      </c>
      <c r="B1578" t="s">
        <v>7121</v>
      </c>
      <c r="C1578" t="s">
        <v>1008</v>
      </c>
      <c r="D1578" t="s">
        <v>10</v>
      </c>
      <c r="E1578" t="s">
        <v>10</v>
      </c>
      <c r="F1578" t="s">
        <v>7122</v>
      </c>
      <c r="G1578">
        <v>2025</v>
      </c>
      <c r="H1578" t="s">
        <v>1160</v>
      </c>
      <c r="I1578" t="s">
        <v>142</v>
      </c>
      <c r="J1578">
        <v>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Y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H1578">
        <v>0</v>
      </c>
      <c r="AI1578">
        <v>1</v>
      </c>
      <c r="AJ1578">
        <v>1</v>
      </c>
      <c r="AK1578">
        <v>8</v>
      </c>
      <c r="AL1578">
        <v>0</v>
      </c>
      <c r="AM1578">
        <v>0</v>
      </c>
      <c r="AN1578">
        <v>0</v>
      </c>
      <c r="AO1578">
        <v>6</v>
      </c>
      <c r="AP1578">
        <v>2</v>
      </c>
      <c r="AQ1578">
        <v>0</v>
      </c>
      <c r="AR1578">
        <v>0.51788007491268195</v>
      </c>
      <c r="AS1578">
        <v>0</v>
      </c>
      <c r="AT1578">
        <v>1.3333333333333299</v>
      </c>
      <c r="AU1578">
        <v>1.88679245283019E-3</v>
      </c>
      <c r="AV1578">
        <v>1.49476831091181E-3</v>
      </c>
      <c r="AW1578">
        <v>3.8765264968835499E-3</v>
      </c>
      <c r="AX1578">
        <v>0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C1578">
        <v>0</v>
      </c>
      <c r="DD1578">
        <v>0</v>
      </c>
      <c r="DE1578">
        <v>0</v>
      </c>
      <c r="DF1578">
        <v>0</v>
      </c>
      <c r="DH1578">
        <v>0.8</v>
      </c>
      <c r="DI1578">
        <v>1.8</v>
      </c>
    </row>
    <row r="1579" spans="1:113" ht="15" customHeight="1" x14ac:dyDescent="0.25">
      <c r="A1579" t="s">
        <v>7123</v>
      </c>
      <c r="B1579" t="s">
        <v>7124</v>
      </c>
      <c r="C1579" t="s">
        <v>7125</v>
      </c>
      <c r="D1579" t="s">
        <v>1684</v>
      </c>
      <c r="E1579" t="s">
        <v>1307</v>
      </c>
      <c r="F1579" t="s">
        <v>7126</v>
      </c>
      <c r="G1579">
        <v>2025</v>
      </c>
      <c r="H1579" t="s">
        <v>1160</v>
      </c>
      <c r="I1579" t="s">
        <v>111</v>
      </c>
      <c r="J1579">
        <v>10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Y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S1579">
        <v>0</v>
      </c>
      <c r="AU1579">
        <v>0</v>
      </c>
      <c r="AV1579">
        <v>0</v>
      </c>
      <c r="AW1579">
        <v>0</v>
      </c>
      <c r="AX1579">
        <v>0</v>
      </c>
      <c r="AY1579">
        <v>26</v>
      </c>
      <c r="AZ1579">
        <v>0</v>
      </c>
      <c r="BA1579">
        <v>11</v>
      </c>
      <c r="BB1579">
        <v>1</v>
      </c>
      <c r="BC1579">
        <v>2</v>
      </c>
      <c r="BD1579">
        <v>1</v>
      </c>
      <c r="BE1579">
        <v>0</v>
      </c>
      <c r="BF1579">
        <v>0</v>
      </c>
      <c r="BG1579">
        <v>0</v>
      </c>
      <c r="BH1579">
        <v>1</v>
      </c>
      <c r="BI1579">
        <v>0</v>
      </c>
      <c r="BJ1579">
        <v>5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C1579">
        <v>0</v>
      </c>
      <c r="DD1579">
        <v>0</v>
      </c>
      <c r="DE1579">
        <v>0</v>
      </c>
      <c r="DF1579">
        <v>0</v>
      </c>
      <c r="DH1579">
        <v>0</v>
      </c>
      <c r="DI1579">
        <v>0</v>
      </c>
    </row>
    <row r="1580" spans="1:113" ht="15" customHeight="1" x14ac:dyDescent="0.25">
      <c r="A1580" t="s">
        <v>7127</v>
      </c>
      <c r="B1580" t="s">
        <v>7128</v>
      </c>
      <c r="C1580" t="s">
        <v>7129</v>
      </c>
      <c r="D1580" t="s">
        <v>1307</v>
      </c>
      <c r="E1580" t="s">
        <v>1307</v>
      </c>
      <c r="F1580" t="s">
        <v>7130</v>
      </c>
      <c r="G1580">
        <v>2025</v>
      </c>
      <c r="H1580" t="s">
        <v>1160</v>
      </c>
      <c r="I1580" t="s">
        <v>89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Y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S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1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C1580">
        <v>0</v>
      </c>
      <c r="DD1580">
        <v>0</v>
      </c>
      <c r="DE1580">
        <v>0</v>
      </c>
      <c r="DF1580">
        <v>0</v>
      </c>
      <c r="DH1580">
        <v>0</v>
      </c>
      <c r="DI1580">
        <v>0</v>
      </c>
    </row>
    <row r="1581" spans="1:113" ht="15" customHeight="1" x14ac:dyDescent="0.25">
      <c r="A1581" t="s">
        <v>7131</v>
      </c>
      <c r="B1581" t="s">
        <v>7132</v>
      </c>
      <c r="C1581" t="s">
        <v>7133</v>
      </c>
      <c r="D1581" t="s">
        <v>1684</v>
      </c>
      <c r="E1581" t="s">
        <v>1307</v>
      </c>
      <c r="F1581" t="s">
        <v>7134</v>
      </c>
      <c r="G1581">
        <v>2025</v>
      </c>
      <c r="H1581" t="s">
        <v>1160</v>
      </c>
      <c r="I1581" t="s">
        <v>143</v>
      </c>
      <c r="J1581">
        <v>11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Y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S1581">
        <v>0</v>
      </c>
      <c r="AU1581">
        <v>0</v>
      </c>
      <c r="AV1581">
        <v>0</v>
      </c>
      <c r="AW1581">
        <v>0</v>
      </c>
      <c r="AX1581">
        <v>0</v>
      </c>
      <c r="AY1581">
        <v>9</v>
      </c>
      <c r="AZ1581">
        <v>0</v>
      </c>
      <c r="BA1581">
        <v>4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5</v>
      </c>
      <c r="BU1581">
        <v>39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C1581">
        <v>0</v>
      </c>
      <c r="DD1581">
        <v>0</v>
      </c>
      <c r="DE1581">
        <v>0</v>
      </c>
      <c r="DF1581">
        <v>0</v>
      </c>
      <c r="DH1581">
        <v>0</v>
      </c>
      <c r="DI1581">
        <v>0</v>
      </c>
    </row>
    <row r="1582" spans="1:113" ht="15" customHeight="1" x14ac:dyDescent="0.25">
      <c r="A1582" t="s">
        <v>7135</v>
      </c>
      <c r="B1582" t="s">
        <v>7136</v>
      </c>
      <c r="C1582" t="s">
        <v>1042</v>
      </c>
      <c r="D1582" t="s">
        <v>439</v>
      </c>
      <c r="E1582" t="s">
        <v>439</v>
      </c>
      <c r="F1582" t="s">
        <v>7137</v>
      </c>
      <c r="G1582">
        <v>2025</v>
      </c>
      <c r="H1582" t="s">
        <v>1160</v>
      </c>
      <c r="I1582" t="s">
        <v>143</v>
      </c>
      <c r="J1582">
        <v>10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Y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H1582">
        <v>0</v>
      </c>
      <c r="AI1582">
        <v>2</v>
      </c>
      <c r="AJ1582">
        <v>3</v>
      </c>
      <c r="AK1582">
        <v>18</v>
      </c>
      <c r="AL1582">
        <v>0</v>
      </c>
      <c r="AM1582">
        <v>0</v>
      </c>
      <c r="AN1582">
        <v>0</v>
      </c>
      <c r="AO1582">
        <v>18</v>
      </c>
      <c r="AP1582">
        <v>4</v>
      </c>
      <c r="AQ1582">
        <v>2</v>
      </c>
      <c r="AR1582">
        <v>2.8415702078491498</v>
      </c>
      <c r="AS1582">
        <v>0</v>
      </c>
      <c r="AT1582">
        <v>1</v>
      </c>
      <c r="AU1582">
        <v>6.9444444444444397E-3</v>
      </c>
      <c r="AV1582">
        <v>4.5022511255627803E-3</v>
      </c>
      <c r="AW1582">
        <v>1.35682424545606E-2</v>
      </c>
      <c r="AX1582">
        <v>0</v>
      </c>
      <c r="AY1582">
        <v>4</v>
      </c>
      <c r="AZ1582">
        <v>0</v>
      </c>
      <c r="BA1582">
        <v>6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2</v>
      </c>
      <c r="BU1582">
        <v>18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C1582">
        <v>0</v>
      </c>
      <c r="DD1582">
        <v>0</v>
      </c>
      <c r="DE1582">
        <v>0</v>
      </c>
      <c r="DF1582">
        <v>0</v>
      </c>
      <c r="DH1582">
        <v>1.8</v>
      </c>
      <c r="DI1582">
        <v>3.8</v>
      </c>
    </row>
    <row r="1583" spans="1:113" ht="15" customHeight="1" x14ac:dyDescent="0.25">
      <c r="A1583" t="s">
        <v>7138</v>
      </c>
      <c r="B1583" t="s">
        <v>7139</v>
      </c>
      <c r="C1583" t="s">
        <v>7140</v>
      </c>
      <c r="D1583" t="s">
        <v>1684</v>
      </c>
      <c r="E1583" t="s">
        <v>1307</v>
      </c>
      <c r="F1583" t="s">
        <v>7141</v>
      </c>
      <c r="G1583">
        <v>2025</v>
      </c>
      <c r="H1583" t="s">
        <v>1160</v>
      </c>
      <c r="I1583" t="s">
        <v>114</v>
      </c>
      <c r="J1583">
        <v>11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Y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S1583">
        <v>0</v>
      </c>
      <c r="AU1583">
        <v>0</v>
      </c>
      <c r="AV1583">
        <v>0</v>
      </c>
      <c r="AW1583">
        <v>0</v>
      </c>
      <c r="AX1583">
        <v>0</v>
      </c>
      <c r="AY1583">
        <v>11</v>
      </c>
      <c r="AZ1583">
        <v>0</v>
      </c>
      <c r="BA1583">
        <v>9</v>
      </c>
      <c r="BB1583">
        <v>1</v>
      </c>
      <c r="BC1583">
        <v>12</v>
      </c>
      <c r="BD1583">
        <v>1</v>
      </c>
      <c r="BE1583">
        <v>1</v>
      </c>
      <c r="BF1583">
        <v>12</v>
      </c>
      <c r="BG1583">
        <v>1</v>
      </c>
      <c r="BH1583">
        <v>0</v>
      </c>
      <c r="BI1583">
        <v>0</v>
      </c>
      <c r="BJ1583">
        <v>2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1</v>
      </c>
      <c r="BU1583">
        <v>10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C1583">
        <v>0</v>
      </c>
      <c r="DD1583">
        <v>0</v>
      </c>
      <c r="DE1583">
        <v>0</v>
      </c>
      <c r="DF1583">
        <v>0</v>
      </c>
      <c r="DH1583">
        <v>0</v>
      </c>
      <c r="DI1583">
        <v>0</v>
      </c>
    </row>
    <row r="1584" spans="1:113" ht="15" customHeight="1" x14ac:dyDescent="0.25">
      <c r="A1584" t="s">
        <v>7142</v>
      </c>
      <c r="B1584" t="s">
        <v>1725</v>
      </c>
      <c r="C1584" t="s">
        <v>804</v>
      </c>
      <c r="D1584" t="s">
        <v>10</v>
      </c>
      <c r="E1584" t="s">
        <v>10</v>
      </c>
      <c r="F1584" t="s">
        <v>7143</v>
      </c>
      <c r="G1584">
        <v>2025</v>
      </c>
      <c r="H1584" t="s">
        <v>1160</v>
      </c>
      <c r="I1584" t="s">
        <v>137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Y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S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2</v>
      </c>
      <c r="BW1584">
        <v>5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C1584">
        <v>0</v>
      </c>
      <c r="DD1584">
        <v>0</v>
      </c>
      <c r="DE1584">
        <v>0</v>
      </c>
      <c r="DF1584">
        <v>0</v>
      </c>
      <c r="DH1584">
        <v>0</v>
      </c>
      <c r="DI1584">
        <v>0</v>
      </c>
    </row>
    <row r="1585" spans="1:113" ht="15" customHeight="1" x14ac:dyDescent="0.25">
      <c r="A1585" t="s">
        <v>7144</v>
      </c>
      <c r="B1585" t="s">
        <v>7145</v>
      </c>
      <c r="C1585" t="s">
        <v>7146</v>
      </c>
      <c r="D1585" t="s">
        <v>1350</v>
      </c>
      <c r="E1585" t="s">
        <v>1307</v>
      </c>
      <c r="F1585" t="s">
        <v>7147</v>
      </c>
      <c r="G1585">
        <v>2025</v>
      </c>
      <c r="H1585" t="s">
        <v>1160</v>
      </c>
      <c r="I1585" t="s">
        <v>137</v>
      </c>
      <c r="J1585">
        <v>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Y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S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2</v>
      </c>
      <c r="BU1585">
        <v>21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C1585">
        <v>0</v>
      </c>
      <c r="DD1585">
        <v>0</v>
      </c>
      <c r="DE1585">
        <v>0</v>
      </c>
      <c r="DF1585">
        <v>0</v>
      </c>
      <c r="DH1585">
        <v>0</v>
      </c>
      <c r="DI1585">
        <v>0</v>
      </c>
    </row>
    <row r="1586" spans="1:113" ht="15" customHeight="1" x14ac:dyDescent="0.25">
      <c r="A1586" t="s">
        <v>7148</v>
      </c>
      <c r="B1586" t="s">
        <v>7149</v>
      </c>
      <c r="C1586" t="s">
        <v>7150</v>
      </c>
      <c r="D1586" t="s">
        <v>1234</v>
      </c>
      <c r="E1586" t="s">
        <v>1234</v>
      </c>
      <c r="F1586" t="s">
        <v>7151</v>
      </c>
      <c r="G1586">
        <v>2025</v>
      </c>
      <c r="H1586" t="s">
        <v>1160</v>
      </c>
      <c r="I1586" t="s">
        <v>137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Y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S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10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C1586">
        <v>0</v>
      </c>
      <c r="DD1586">
        <v>0</v>
      </c>
      <c r="DE1586">
        <v>0</v>
      </c>
      <c r="DF1586">
        <v>0</v>
      </c>
      <c r="DH1586">
        <v>0</v>
      </c>
      <c r="DI1586">
        <v>0</v>
      </c>
    </row>
    <row r="1587" spans="1:113" ht="15" customHeight="1" x14ac:dyDescent="0.25">
      <c r="A1587" t="s">
        <v>7152</v>
      </c>
      <c r="B1587" t="s">
        <v>7153</v>
      </c>
      <c r="C1587" t="s">
        <v>7154</v>
      </c>
      <c r="D1587" t="s">
        <v>1234</v>
      </c>
      <c r="E1587" t="s">
        <v>1234</v>
      </c>
      <c r="F1587" t="s">
        <v>7155</v>
      </c>
      <c r="G1587">
        <v>2025</v>
      </c>
      <c r="H1587" t="s">
        <v>1160</v>
      </c>
      <c r="I1587" t="s">
        <v>137</v>
      </c>
      <c r="J1587">
        <v>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Y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S1587">
        <v>0</v>
      </c>
      <c r="AU1587">
        <v>0</v>
      </c>
      <c r="AV1587">
        <v>0</v>
      </c>
      <c r="AW1587">
        <v>0</v>
      </c>
      <c r="AX1587">
        <v>0</v>
      </c>
      <c r="AY1587">
        <v>6</v>
      </c>
      <c r="AZ1587">
        <v>0</v>
      </c>
      <c r="BA1587">
        <v>5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</v>
      </c>
      <c r="BU1587">
        <v>10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C1587">
        <v>0</v>
      </c>
      <c r="DD1587">
        <v>0</v>
      </c>
      <c r="DE1587">
        <v>0</v>
      </c>
      <c r="DF1587">
        <v>0</v>
      </c>
      <c r="DH1587">
        <v>0</v>
      </c>
      <c r="DI1587">
        <v>0</v>
      </c>
    </row>
    <row r="1588" spans="1:113" ht="15" customHeight="1" x14ac:dyDescent="0.25">
      <c r="A1588" t="s">
        <v>7156</v>
      </c>
      <c r="B1588" t="s">
        <v>7157</v>
      </c>
      <c r="C1588" t="s">
        <v>7158</v>
      </c>
      <c r="D1588" t="s">
        <v>1243</v>
      </c>
      <c r="E1588" t="s">
        <v>1190</v>
      </c>
      <c r="F1588" t="s">
        <v>7159</v>
      </c>
      <c r="G1588">
        <v>2025</v>
      </c>
      <c r="H1588" t="s">
        <v>1160</v>
      </c>
      <c r="I1588" t="s">
        <v>137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Y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S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1</v>
      </c>
      <c r="BU1588">
        <v>5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C1588">
        <v>0</v>
      </c>
      <c r="DD1588">
        <v>0</v>
      </c>
      <c r="DE1588">
        <v>0</v>
      </c>
      <c r="DF1588">
        <v>0</v>
      </c>
      <c r="DH1588">
        <v>0</v>
      </c>
      <c r="DI1588">
        <v>0</v>
      </c>
    </row>
    <row r="1589" spans="1:113" ht="15" customHeight="1" x14ac:dyDescent="0.25">
      <c r="A1589" t="s">
        <v>7160</v>
      </c>
      <c r="B1589" t="s">
        <v>7161</v>
      </c>
      <c r="C1589" t="s">
        <v>7162</v>
      </c>
      <c r="D1589" t="s">
        <v>1219</v>
      </c>
      <c r="E1589" t="s">
        <v>1220</v>
      </c>
      <c r="F1589" t="s">
        <v>7163</v>
      </c>
      <c r="G1589">
        <v>2025</v>
      </c>
      <c r="H1589" t="s">
        <v>1160</v>
      </c>
      <c r="I1589" t="s">
        <v>142</v>
      </c>
      <c r="J1589">
        <v>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Y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S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13</v>
      </c>
      <c r="BU1589">
        <v>87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C1589">
        <v>0</v>
      </c>
      <c r="DD1589">
        <v>0</v>
      </c>
      <c r="DE1589">
        <v>0</v>
      </c>
      <c r="DF1589">
        <v>0</v>
      </c>
      <c r="DH1589">
        <v>0</v>
      </c>
      <c r="DI1589">
        <v>0</v>
      </c>
    </row>
    <row r="1590" spans="1:113" ht="15" customHeight="1" x14ac:dyDescent="0.25">
      <c r="A1590" t="s">
        <v>7164</v>
      </c>
      <c r="B1590" t="s">
        <v>7165</v>
      </c>
      <c r="C1590" t="s">
        <v>7166</v>
      </c>
      <c r="D1590" t="s">
        <v>1158</v>
      </c>
      <c r="E1590" t="s">
        <v>1158</v>
      </c>
      <c r="F1590" t="s">
        <v>7167</v>
      </c>
      <c r="G1590">
        <v>2025</v>
      </c>
      <c r="H1590" t="s">
        <v>1160</v>
      </c>
      <c r="I1590" t="s">
        <v>115</v>
      </c>
      <c r="J1590">
        <v>17</v>
      </c>
      <c r="K1590">
        <v>388</v>
      </c>
      <c r="L1590">
        <v>612</v>
      </c>
      <c r="M1590">
        <v>3931</v>
      </c>
      <c r="N1590">
        <v>25</v>
      </c>
      <c r="O1590">
        <v>11</v>
      </c>
      <c r="P1590">
        <v>22</v>
      </c>
      <c r="Q1590">
        <v>-119</v>
      </c>
      <c r="R1590">
        <v>2</v>
      </c>
      <c r="S1590">
        <v>1</v>
      </c>
      <c r="T1590">
        <v>4486</v>
      </c>
      <c r="U1590">
        <v>2093</v>
      </c>
      <c r="V1590">
        <v>196</v>
      </c>
      <c r="W1590">
        <v>63.322757606941302</v>
      </c>
      <c r="X1590">
        <v>-1.1956391265012001</v>
      </c>
      <c r="Y1590">
        <v>4</v>
      </c>
      <c r="Z1590">
        <v>0.87628176549264403</v>
      </c>
      <c r="AA1590">
        <v>83</v>
      </c>
      <c r="AB1590">
        <v>356</v>
      </c>
      <c r="AC1590">
        <v>5</v>
      </c>
      <c r="AD1590">
        <v>2</v>
      </c>
      <c r="AE1590">
        <v>1</v>
      </c>
      <c r="AF1590">
        <v>27</v>
      </c>
      <c r="AG1590">
        <v>8.4137443888154593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2</v>
      </c>
      <c r="AP1590">
        <v>0</v>
      </c>
      <c r="AQ1590">
        <v>0</v>
      </c>
      <c r="AR1590">
        <v>-0.45860766939586001</v>
      </c>
      <c r="AS1590">
        <v>0</v>
      </c>
      <c r="AT1590">
        <v>0</v>
      </c>
      <c r="AU1590">
        <v>1.71232876712329E-3</v>
      </c>
      <c r="AV1590">
        <v>4.4563279857397502E-4</v>
      </c>
      <c r="AW1590">
        <v>2.8804361096867099E-3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2</v>
      </c>
      <c r="BP1590">
        <v>2</v>
      </c>
      <c r="BQ1590">
        <v>0</v>
      </c>
      <c r="BR1590">
        <v>0</v>
      </c>
      <c r="BS1590">
        <v>0</v>
      </c>
      <c r="BT1590">
        <v>2</v>
      </c>
      <c r="BU1590">
        <v>23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C1590">
        <v>0</v>
      </c>
      <c r="DD1590">
        <v>0</v>
      </c>
      <c r="DE1590">
        <v>0</v>
      </c>
      <c r="DF1590">
        <v>0</v>
      </c>
      <c r="DH1590">
        <v>304.83999999999997</v>
      </c>
      <c r="DI1590">
        <v>304.83999999999997</v>
      </c>
    </row>
    <row r="1591" spans="1:113" ht="15" customHeight="1" x14ac:dyDescent="0.25">
      <c r="A1591" t="s">
        <v>7168</v>
      </c>
      <c r="B1591" t="s">
        <v>7169</v>
      </c>
      <c r="C1591" t="s">
        <v>7170</v>
      </c>
      <c r="D1591" t="s">
        <v>1243</v>
      </c>
      <c r="E1591" t="s">
        <v>1190</v>
      </c>
      <c r="F1591" t="s">
        <v>7171</v>
      </c>
      <c r="G1591">
        <v>2025</v>
      </c>
      <c r="H1591" t="s">
        <v>1160</v>
      </c>
      <c r="I1591" t="s">
        <v>93</v>
      </c>
      <c r="J1591">
        <v>16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Y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S1591">
        <v>0</v>
      </c>
      <c r="AU1591">
        <v>0</v>
      </c>
      <c r="AV1591">
        <v>0</v>
      </c>
      <c r="AW1591">
        <v>0</v>
      </c>
      <c r="AX1591">
        <v>0</v>
      </c>
      <c r="AY1591">
        <v>11</v>
      </c>
      <c r="AZ1591">
        <v>1</v>
      </c>
      <c r="BA1591">
        <v>13</v>
      </c>
      <c r="BB1591">
        <v>4</v>
      </c>
      <c r="BC1591">
        <v>19</v>
      </c>
      <c r="BD1591">
        <v>0</v>
      </c>
      <c r="BE1591">
        <v>3.5</v>
      </c>
      <c r="BF1591">
        <v>16.5</v>
      </c>
      <c r="BG1591">
        <v>6</v>
      </c>
      <c r="BH1591">
        <v>0</v>
      </c>
      <c r="BI1591">
        <v>0</v>
      </c>
      <c r="BJ1591">
        <v>1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2</v>
      </c>
      <c r="BU1591">
        <v>20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C1591">
        <v>0</v>
      </c>
      <c r="DD1591">
        <v>0</v>
      </c>
      <c r="DE1591">
        <v>0</v>
      </c>
      <c r="DF1591">
        <v>0</v>
      </c>
      <c r="DH1591">
        <v>0</v>
      </c>
      <c r="DI1591">
        <v>0</v>
      </c>
    </row>
    <row r="1592" spans="1:113" ht="15" customHeight="1" x14ac:dyDescent="0.25">
      <c r="A1592" t="s">
        <v>7172</v>
      </c>
      <c r="B1592" t="s">
        <v>7173</v>
      </c>
      <c r="C1592" t="s">
        <v>7174</v>
      </c>
      <c r="D1592" t="s">
        <v>1189</v>
      </c>
      <c r="E1592" t="s">
        <v>1190</v>
      </c>
      <c r="F1592" t="s">
        <v>7175</v>
      </c>
      <c r="G1592">
        <v>2025</v>
      </c>
      <c r="H1592" t="s">
        <v>1160</v>
      </c>
      <c r="I1592" t="s">
        <v>1200</v>
      </c>
      <c r="J1592">
        <v>15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Y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S1592">
        <v>0</v>
      </c>
      <c r="AU1592">
        <v>0</v>
      </c>
      <c r="AV1592">
        <v>0</v>
      </c>
      <c r="AW1592">
        <v>0</v>
      </c>
      <c r="AX1592">
        <v>0</v>
      </c>
      <c r="AY1592">
        <v>10</v>
      </c>
      <c r="AZ1592">
        <v>1</v>
      </c>
      <c r="BA1592">
        <v>19</v>
      </c>
      <c r="BB1592">
        <v>4</v>
      </c>
      <c r="BC1592">
        <v>17</v>
      </c>
      <c r="BD1592">
        <v>0</v>
      </c>
      <c r="BE1592">
        <v>3</v>
      </c>
      <c r="BF1592">
        <v>16</v>
      </c>
      <c r="BG1592">
        <v>10</v>
      </c>
      <c r="BH1592">
        <v>0</v>
      </c>
      <c r="BI1592">
        <v>0</v>
      </c>
      <c r="BJ1592">
        <v>1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1</v>
      </c>
      <c r="BR1592">
        <v>1</v>
      </c>
      <c r="BS1592">
        <v>0</v>
      </c>
      <c r="BT1592">
        <v>1</v>
      </c>
      <c r="BU1592">
        <v>5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C1592">
        <v>0</v>
      </c>
      <c r="DD1592">
        <v>0</v>
      </c>
      <c r="DE1592">
        <v>0</v>
      </c>
      <c r="DF1592">
        <v>0</v>
      </c>
      <c r="DH1592">
        <v>0</v>
      </c>
      <c r="DI1592">
        <v>0</v>
      </c>
    </row>
    <row r="1593" spans="1:113" ht="15" customHeight="1" x14ac:dyDescent="0.25">
      <c r="A1593" t="s">
        <v>7176</v>
      </c>
      <c r="B1593" t="s">
        <v>7177</v>
      </c>
      <c r="C1593" t="s">
        <v>7178</v>
      </c>
      <c r="D1593" t="s">
        <v>1297</v>
      </c>
      <c r="E1593" t="s">
        <v>1220</v>
      </c>
      <c r="F1593" t="s">
        <v>7179</v>
      </c>
      <c r="G1593">
        <v>2025</v>
      </c>
      <c r="H1593" t="s">
        <v>1160</v>
      </c>
      <c r="I1593" t="s">
        <v>89</v>
      </c>
      <c r="J1593">
        <v>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Y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S1593">
        <v>0</v>
      </c>
      <c r="AU1593">
        <v>0</v>
      </c>
      <c r="AV1593">
        <v>0</v>
      </c>
      <c r="AW1593">
        <v>0</v>
      </c>
      <c r="AX1593">
        <v>0</v>
      </c>
      <c r="AY1593">
        <v>2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2</v>
      </c>
      <c r="BU1593">
        <v>25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C1593">
        <v>0</v>
      </c>
      <c r="DD1593">
        <v>0</v>
      </c>
      <c r="DE1593">
        <v>0</v>
      </c>
      <c r="DF1593">
        <v>0</v>
      </c>
      <c r="DH1593">
        <v>0</v>
      </c>
      <c r="DI1593">
        <v>0</v>
      </c>
    </row>
    <row r="1594" spans="1:113" ht="15" customHeight="1" x14ac:dyDescent="0.25">
      <c r="A1594" t="s">
        <v>7180</v>
      </c>
      <c r="B1594" t="s">
        <v>7181</v>
      </c>
      <c r="C1594" t="s">
        <v>7182</v>
      </c>
      <c r="D1594" t="s">
        <v>1219</v>
      </c>
      <c r="E1594" t="s">
        <v>1220</v>
      </c>
      <c r="F1594" t="s">
        <v>7183</v>
      </c>
      <c r="G1594">
        <v>2025</v>
      </c>
      <c r="H1594" t="s">
        <v>1160</v>
      </c>
      <c r="I1594" t="s">
        <v>124</v>
      </c>
      <c r="J1594">
        <v>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Y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S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5</v>
      </c>
      <c r="BU1594">
        <v>34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C1594">
        <v>0</v>
      </c>
      <c r="DD1594">
        <v>0</v>
      </c>
      <c r="DE1594">
        <v>0</v>
      </c>
      <c r="DF1594">
        <v>0</v>
      </c>
      <c r="DH1594">
        <v>0</v>
      </c>
      <c r="DI1594">
        <v>0</v>
      </c>
    </row>
    <row r="1595" spans="1:113" ht="15" customHeight="1" x14ac:dyDescent="0.25">
      <c r="A1595" t="s">
        <v>7184</v>
      </c>
      <c r="B1595" t="s">
        <v>7185</v>
      </c>
      <c r="C1595" t="s">
        <v>449</v>
      </c>
      <c r="D1595" t="s">
        <v>439</v>
      </c>
      <c r="E1595" t="s">
        <v>439</v>
      </c>
      <c r="F1595" t="s">
        <v>7186</v>
      </c>
      <c r="G1595">
        <v>2025</v>
      </c>
      <c r="H1595" t="s">
        <v>1160</v>
      </c>
      <c r="I1595" t="s">
        <v>90</v>
      </c>
      <c r="J1595">
        <v>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Y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>
        <v>0</v>
      </c>
      <c r="AI1595">
        <v>3</v>
      </c>
      <c r="AJ1595">
        <v>5</v>
      </c>
      <c r="AK1595">
        <v>18</v>
      </c>
      <c r="AL1595">
        <v>0</v>
      </c>
      <c r="AM1595">
        <v>0</v>
      </c>
      <c r="AN1595">
        <v>0</v>
      </c>
      <c r="AO1595">
        <v>26</v>
      </c>
      <c r="AP1595">
        <v>7</v>
      </c>
      <c r="AQ1595">
        <v>1</v>
      </c>
      <c r="AR1595">
        <v>6.6766485688276598E-3</v>
      </c>
      <c r="AS1595">
        <v>0</v>
      </c>
      <c r="AT1595">
        <v>0.69230769230769196</v>
      </c>
      <c r="AU1595">
        <v>8.1037277147487808E-3</v>
      </c>
      <c r="AV1595">
        <v>5.5793991416309002E-3</v>
      </c>
      <c r="AW1595">
        <v>1.6061170971264801E-2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C1595">
        <v>0</v>
      </c>
      <c r="DD1595">
        <v>0</v>
      </c>
      <c r="DE1595">
        <v>0</v>
      </c>
      <c r="DF1595">
        <v>0</v>
      </c>
      <c r="DH1595">
        <v>1.8</v>
      </c>
      <c r="DI1595">
        <v>4.8</v>
      </c>
    </row>
    <row r="1596" spans="1:113" ht="15" customHeight="1" x14ac:dyDescent="0.25">
      <c r="A1596" t="s">
        <v>7187</v>
      </c>
      <c r="B1596" t="s">
        <v>7188</v>
      </c>
      <c r="C1596" t="s">
        <v>743</v>
      </c>
      <c r="D1596" t="s">
        <v>431</v>
      </c>
      <c r="E1596" t="s">
        <v>431</v>
      </c>
      <c r="F1596" t="s">
        <v>7189</v>
      </c>
      <c r="G1596">
        <v>2025</v>
      </c>
      <c r="H1596" t="s">
        <v>1160</v>
      </c>
      <c r="I1596" t="s">
        <v>1200</v>
      </c>
      <c r="J1596">
        <v>17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Y1596">
        <v>0</v>
      </c>
      <c r="AA1596">
        <v>145</v>
      </c>
      <c r="AB1596">
        <v>746</v>
      </c>
      <c r="AC1596">
        <v>6</v>
      </c>
      <c r="AD1596">
        <v>0</v>
      </c>
      <c r="AE1596">
        <v>0</v>
      </c>
      <c r="AF1596">
        <v>44</v>
      </c>
      <c r="AG1596">
        <v>15.9285332328</v>
      </c>
      <c r="AH1596">
        <v>0</v>
      </c>
      <c r="AI1596">
        <v>8</v>
      </c>
      <c r="AJ1596">
        <v>14</v>
      </c>
      <c r="AK1596">
        <v>36</v>
      </c>
      <c r="AL1596">
        <v>0</v>
      </c>
      <c r="AM1596">
        <v>0</v>
      </c>
      <c r="AN1596">
        <v>0</v>
      </c>
      <c r="AO1596">
        <v>25</v>
      </c>
      <c r="AP1596">
        <v>37</v>
      </c>
      <c r="AQ1596">
        <v>2</v>
      </c>
      <c r="AR1596">
        <v>-5.8681134330690803</v>
      </c>
      <c r="AS1596">
        <v>0</v>
      </c>
      <c r="AT1596">
        <v>1.44</v>
      </c>
      <c r="AU1596">
        <v>2.40963855421687E-2</v>
      </c>
      <c r="AV1596">
        <v>4.6057479734708901E-3</v>
      </c>
      <c r="AW1596">
        <v>3.9368601894682602E-2</v>
      </c>
      <c r="AX1596">
        <v>0</v>
      </c>
      <c r="AY1596">
        <v>2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13</v>
      </c>
      <c r="BY1596">
        <v>326</v>
      </c>
      <c r="BZ1596">
        <v>0</v>
      </c>
      <c r="CA1596">
        <v>0</v>
      </c>
      <c r="CB1596">
        <v>0</v>
      </c>
      <c r="CC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C1596">
        <v>0</v>
      </c>
      <c r="DD1596">
        <v>0</v>
      </c>
      <c r="DE1596">
        <v>0</v>
      </c>
      <c r="DF1596">
        <v>0</v>
      </c>
      <c r="DH1596">
        <v>114.2</v>
      </c>
      <c r="DI1596">
        <v>122.2</v>
      </c>
    </row>
    <row r="1597" spans="1:113" ht="15" customHeight="1" x14ac:dyDescent="0.25">
      <c r="A1597" t="s">
        <v>7190</v>
      </c>
      <c r="B1597" t="s">
        <v>1283</v>
      </c>
      <c r="C1597" t="s">
        <v>938</v>
      </c>
      <c r="D1597" t="s">
        <v>10</v>
      </c>
      <c r="E1597" t="s">
        <v>10</v>
      </c>
      <c r="F1597" t="s">
        <v>7191</v>
      </c>
      <c r="G1597">
        <v>2025</v>
      </c>
      <c r="H1597" t="s">
        <v>1160</v>
      </c>
      <c r="I1597" t="s">
        <v>103</v>
      </c>
      <c r="J1597">
        <v>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Y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H1597">
        <v>0</v>
      </c>
      <c r="AI1597">
        <v>12</v>
      </c>
      <c r="AJ1597">
        <v>21</v>
      </c>
      <c r="AK1597">
        <v>166</v>
      </c>
      <c r="AL1597">
        <v>2</v>
      </c>
      <c r="AM1597">
        <v>1</v>
      </c>
      <c r="AN1597">
        <v>1</v>
      </c>
      <c r="AO1597">
        <v>277</v>
      </c>
      <c r="AP1597">
        <v>66</v>
      </c>
      <c r="AQ1597">
        <v>7</v>
      </c>
      <c r="AR1597">
        <v>4.0691251546776002</v>
      </c>
      <c r="AS1597">
        <v>0</v>
      </c>
      <c r="AT1597">
        <v>0.59927797833935004</v>
      </c>
      <c r="AU1597">
        <v>4.0229885057471299E-2</v>
      </c>
      <c r="AV1597">
        <v>8.44512195121951E-2</v>
      </c>
      <c r="AW1597">
        <v>0.119460681244743</v>
      </c>
      <c r="AX1597">
        <v>0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C1597">
        <v>0</v>
      </c>
      <c r="DD1597">
        <v>0</v>
      </c>
      <c r="DE1597">
        <v>0</v>
      </c>
      <c r="DF1597">
        <v>0</v>
      </c>
      <c r="DH1597">
        <v>26.6</v>
      </c>
      <c r="DI1597">
        <v>38.6</v>
      </c>
    </row>
    <row r="1598" spans="1:113" ht="15" customHeight="1" x14ac:dyDescent="0.25">
      <c r="A1598" t="s">
        <v>7192</v>
      </c>
      <c r="B1598" t="s">
        <v>7193</v>
      </c>
      <c r="C1598" t="s">
        <v>7194</v>
      </c>
      <c r="D1598" t="s">
        <v>1234</v>
      </c>
      <c r="E1598" t="s">
        <v>1234</v>
      </c>
      <c r="F1598" t="s">
        <v>7195</v>
      </c>
      <c r="G1598">
        <v>2025</v>
      </c>
      <c r="H1598" t="s">
        <v>1160</v>
      </c>
      <c r="I1598" t="s">
        <v>120</v>
      </c>
      <c r="J1598">
        <v>17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Y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S1598">
        <v>0</v>
      </c>
      <c r="AU1598">
        <v>0</v>
      </c>
      <c r="AV1598">
        <v>0</v>
      </c>
      <c r="AW1598">
        <v>0</v>
      </c>
      <c r="AX1598">
        <v>0</v>
      </c>
      <c r="AY1598">
        <v>27</v>
      </c>
      <c r="AZ1598">
        <v>1</v>
      </c>
      <c r="BA1598">
        <v>24</v>
      </c>
      <c r="BB1598">
        <v>9</v>
      </c>
      <c r="BC1598">
        <v>53</v>
      </c>
      <c r="BD1598">
        <v>2</v>
      </c>
      <c r="BE1598">
        <v>6.5</v>
      </c>
      <c r="BF1598">
        <v>45</v>
      </c>
      <c r="BG1598">
        <v>24</v>
      </c>
      <c r="BH1598">
        <v>3</v>
      </c>
      <c r="BI1598">
        <v>53</v>
      </c>
      <c r="BJ1598">
        <v>3</v>
      </c>
      <c r="BK1598">
        <v>1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1</v>
      </c>
      <c r="BR1598">
        <v>1</v>
      </c>
      <c r="BS1598">
        <v>0</v>
      </c>
      <c r="BT1598">
        <v>2</v>
      </c>
      <c r="BU1598">
        <v>29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C1598">
        <v>0</v>
      </c>
      <c r="DD1598">
        <v>0</v>
      </c>
      <c r="DE1598">
        <v>0</v>
      </c>
      <c r="DF1598">
        <v>0</v>
      </c>
      <c r="DH1598">
        <v>0</v>
      </c>
      <c r="DI1598">
        <v>0</v>
      </c>
    </row>
    <row r="1599" spans="1:113" ht="15" customHeight="1" x14ac:dyDescent="0.25">
      <c r="A1599" t="s">
        <v>7196</v>
      </c>
      <c r="B1599" t="s">
        <v>7197</v>
      </c>
      <c r="C1599" t="s">
        <v>7198</v>
      </c>
      <c r="D1599" t="s">
        <v>1234</v>
      </c>
      <c r="E1599" t="s">
        <v>1234</v>
      </c>
      <c r="F1599" t="s">
        <v>7199</v>
      </c>
      <c r="G1599">
        <v>2025</v>
      </c>
      <c r="H1599" t="s">
        <v>1160</v>
      </c>
      <c r="I1599" t="s">
        <v>103</v>
      </c>
      <c r="J1599">
        <v>17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Y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S1599">
        <v>0</v>
      </c>
      <c r="AU1599">
        <v>0</v>
      </c>
      <c r="AV1599">
        <v>0</v>
      </c>
      <c r="AW1599">
        <v>0</v>
      </c>
      <c r="AX1599">
        <v>0</v>
      </c>
      <c r="AY1599">
        <v>74</v>
      </c>
      <c r="AZ1599">
        <v>1</v>
      </c>
      <c r="BA1599">
        <v>51</v>
      </c>
      <c r="BB1599">
        <v>6</v>
      </c>
      <c r="BC1599">
        <v>31</v>
      </c>
      <c r="BD1599">
        <v>0</v>
      </c>
      <c r="BE1599">
        <v>2</v>
      </c>
      <c r="BF1599">
        <v>19</v>
      </c>
      <c r="BG1599">
        <v>4</v>
      </c>
      <c r="BH1599">
        <v>1</v>
      </c>
      <c r="BI1599">
        <v>17</v>
      </c>
      <c r="BJ1599">
        <v>2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1</v>
      </c>
      <c r="BR1599">
        <v>1</v>
      </c>
      <c r="BS1599">
        <v>0</v>
      </c>
      <c r="BT1599">
        <v>3</v>
      </c>
      <c r="BU1599">
        <v>23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C1599">
        <v>0</v>
      </c>
      <c r="DD1599">
        <v>0</v>
      </c>
      <c r="DE1599">
        <v>0</v>
      </c>
      <c r="DF1599">
        <v>0</v>
      </c>
      <c r="DH1599">
        <v>0</v>
      </c>
      <c r="DI1599">
        <v>0</v>
      </c>
    </row>
    <row r="1600" spans="1:113" ht="15" customHeight="1" x14ac:dyDescent="0.25">
      <c r="A1600" t="s">
        <v>7200</v>
      </c>
      <c r="B1600" t="s">
        <v>3812</v>
      </c>
      <c r="C1600" t="s">
        <v>7201</v>
      </c>
      <c r="D1600" t="s">
        <v>1243</v>
      </c>
      <c r="E1600" t="s">
        <v>1190</v>
      </c>
      <c r="F1600" t="s">
        <v>7202</v>
      </c>
      <c r="G1600">
        <v>2025</v>
      </c>
      <c r="H1600" t="s">
        <v>1160</v>
      </c>
      <c r="I1600" t="s">
        <v>107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Y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S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1</v>
      </c>
      <c r="BU1600">
        <v>4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C1600">
        <v>0</v>
      </c>
      <c r="DD1600">
        <v>0</v>
      </c>
      <c r="DE1600">
        <v>0</v>
      </c>
      <c r="DF1600">
        <v>0</v>
      </c>
      <c r="DH1600">
        <v>0</v>
      </c>
      <c r="DI1600">
        <v>0</v>
      </c>
    </row>
    <row r="1601" spans="1:113" ht="15" customHeight="1" x14ac:dyDescent="0.25">
      <c r="A1601" t="s">
        <v>7203</v>
      </c>
      <c r="B1601" t="s">
        <v>7204</v>
      </c>
      <c r="C1601" t="s">
        <v>7205</v>
      </c>
      <c r="D1601" t="s">
        <v>1655</v>
      </c>
      <c r="E1601" t="s">
        <v>1220</v>
      </c>
      <c r="F1601" t="s">
        <v>7206</v>
      </c>
      <c r="G1601">
        <v>2025</v>
      </c>
      <c r="H1601" t="s">
        <v>1160</v>
      </c>
      <c r="I1601" t="s">
        <v>124</v>
      </c>
      <c r="J1601">
        <v>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Y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S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2</v>
      </c>
      <c r="BU1601">
        <v>15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C1601">
        <v>0</v>
      </c>
      <c r="DD1601">
        <v>0</v>
      </c>
      <c r="DE1601">
        <v>0</v>
      </c>
      <c r="DF1601">
        <v>0</v>
      </c>
      <c r="DH1601">
        <v>0</v>
      </c>
      <c r="DI1601">
        <v>0</v>
      </c>
    </row>
    <row r="1602" spans="1:113" ht="15" customHeight="1" x14ac:dyDescent="0.25">
      <c r="A1602" t="s">
        <v>7207</v>
      </c>
      <c r="B1602" t="s">
        <v>1250</v>
      </c>
      <c r="C1602" t="s">
        <v>7208</v>
      </c>
      <c r="D1602" t="s">
        <v>1209</v>
      </c>
      <c r="E1602" t="s">
        <v>1169</v>
      </c>
      <c r="F1602" t="s">
        <v>7209</v>
      </c>
      <c r="G1602">
        <v>2025</v>
      </c>
      <c r="H1602" t="s">
        <v>1160</v>
      </c>
      <c r="I1602" t="s">
        <v>104</v>
      </c>
      <c r="J1602">
        <v>17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Y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S1602">
        <v>0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C1602">
        <v>0</v>
      </c>
      <c r="DD1602">
        <v>0</v>
      </c>
      <c r="DE1602">
        <v>0</v>
      </c>
      <c r="DF1602">
        <v>0</v>
      </c>
      <c r="DH1602">
        <v>0</v>
      </c>
      <c r="DI1602">
        <v>0</v>
      </c>
    </row>
    <row r="1603" spans="1:113" ht="15" customHeight="1" x14ac:dyDescent="0.25">
      <c r="A1603" t="s">
        <v>7210</v>
      </c>
      <c r="B1603" t="s">
        <v>7211</v>
      </c>
      <c r="C1603" t="s">
        <v>913</v>
      </c>
      <c r="D1603" t="s">
        <v>431</v>
      </c>
      <c r="E1603" t="s">
        <v>431</v>
      </c>
      <c r="F1603" t="s">
        <v>7212</v>
      </c>
      <c r="G1603">
        <v>2025</v>
      </c>
      <c r="H1603" t="s">
        <v>1160</v>
      </c>
      <c r="I1603" t="s">
        <v>120</v>
      </c>
      <c r="J1603">
        <v>14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Y1603">
        <v>0</v>
      </c>
      <c r="AA1603">
        <v>14</v>
      </c>
      <c r="AB1603">
        <v>49</v>
      </c>
      <c r="AC1603">
        <v>0</v>
      </c>
      <c r="AD1603">
        <v>0</v>
      </c>
      <c r="AE1603">
        <v>0</v>
      </c>
      <c r="AF1603">
        <v>4</v>
      </c>
      <c r="AG1603">
        <v>-3.5994938371860599</v>
      </c>
      <c r="AH1603">
        <v>0</v>
      </c>
      <c r="AI1603">
        <v>9</v>
      </c>
      <c r="AJ1603">
        <v>12</v>
      </c>
      <c r="AK1603">
        <v>56</v>
      </c>
      <c r="AL1603">
        <v>0</v>
      </c>
      <c r="AM1603">
        <v>0</v>
      </c>
      <c r="AN1603">
        <v>0</v>
      </c>
      <c r="AO1603">
        <v>-10</v>
      </c>
      <c r="AP1603">
        <v>63</v>
      </c>
      <c r="AQ1603">
        <v>2</v>
      </c>
      <c r="AR1603">
        <v>-5.0871124865370803</v>
      </c>
      <c r="AS1603">
        <v>0</v>
      </c>
      <c r="AT1603">
        <v>-5.6</v>
      </c>
      <c r="AU1603">
        <v>2.5862068965517199E-2</v>
      </c>
      <c r="AV1603">
        <v>-2.2306491188936002E-3</v>
      </c>
      <c r="AW1603">
        <v>3.7231649065050297E-2</v>
      </c>
      <c r="AX1603">
        <v>0</v>
      </c>
      <c r="AY1603">
        <v>7</v>
      </c>
      <c r="AZ1603">
        <v>0</v>
      </c>
      <c r="BA1603">
        <v>2</v>
      </c>
      <c r="BB1603">
        <v>0</v>
      </c>
      <c r="BC1603">
        <v>0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29</v>
      </c>
      <c r="BY1603">
        <v>777</v>
      </c>
      <c r="BZ1603">
        <v>0</v>
      </c>
      <c r="CA1603">
        <v>0</v>
      </c>
      <c r="CB1603">
        <v>0</v>
      </c>
      <c r="CC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C1603">
        <v>0</v>
      </c>
      <c r="DD1603">
        <v>0</v>
      </c>
      <c r="DE1603">
        <v>0</v>
      </c>
      <c r="DF1603">
        <v>0</v>
      </c>
      <c r="DH1603">
        <v>10.5</v>
      </c>
      <c r="DI1603">
        <v>19.5</v>
      </c>
    </row>
    <row r="1604" spans="1:113" ht="15" customHeight="1" x14ac:dyDescent="0.25">
      <c r="A1604" t="s">
        <v>7213</v>
      </c>
      <c r="B1604" t="s">
        <v>7214</v>
      </c>
      <c r="C1604" t="s">
        <v>7215</v>
      </c>
      <c r="D1604" t="s">
        <v>1189</v>
      </c>
      <c r="E1604" t="s">
        <v>1190</v>
      </c>
      <c r="F1604" t="s">
        <v>7216</v>
      </c>
      <c r="G1604">
        <v>2025</v>
      </c>
      <c r="H1604" t="s">
        <v>1160</v>
      </c>
      <c r="I1604" t="s">
        <v>1200</v>
      </c>
      <c r="J1604">
        <v>16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Y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S1604">
        <v>0</v>
      </c>
      <c r="AU1604">
        <v>0</v>
      </c>
      <c r="AV1604">
        <v>0</v>
      </c>
      <c r="AW1604">
        <v>0</v>
      </c>
      <c r="AX1604">
        <v>0</v>
      </c>
      <c r="AY1604">
        <v>14</v>
      </c>
      <c r="AZ1604">
        <v>0</v>
      </c>
      <c r="BA1604">
        <v>29</v>
      </c>
      <c r="BB1604">
        <v>1</v>
      </c>
      <c r="BC1604">
        <v>12</v>
      </c>
      <c r="BD1604">
        <v>0</v>
      </c>
      <c r="BE1604">
        <v>1</v>
      </c>
      <c r="BF1604">
        <v>12</v>
      </c>
      <c r="BG1604">
        <v>2</v>
      </c>
      <c r="BH1604">
        <v>0</v>
      </c>
      <c r="BI1604">
        <v>0</v>
      </c>
      <c r="BJ1604">
        <v>2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1</v>
      </c>
      <c r="BR1604">
        <v>1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C1604">
        <v>0</v>
      </c>
      <c r="DD1604">
        <v>0</v>
      </c>
      <c r="DE1604">
        <v>0</v>
      </c>
      <c r="DF1604">
        <v>0</v>
      </c>
      <c r="DH1604">
        <v>0</v>
      </c>
      <c r="DI1604">
        <v>0</v>
      </c>
    </row>
    <row r="1605" spans="1:113" ht="15" customHeight="1" x14ac:dyDescent="0.25">
      <c r="A1605" t="s">
        <v>7217</v>
      </c>
      <c r="B1605" t="s">
        <v>7218</v>
      </c>
      <c r="C1605" t="s">
        <v>7219</v>
      </c>
      <c r="D1605" t="s">
        <v>1168</v>
      </c>
      <c r="E1605" t="s">
        <v>1169</v>
      </c>
      <c r="F1605" t="s">
        <v>7220</v>
      </c>
      <c r="G1605">
        <v>2025</v>
      </c>
      <c r="H1605" t="s">
        <v>1160</v>
      </c>
      <c r="I1605" t="s">
        <v>1200</v>
      </c>
      <c r="J1605">
        <v>8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Y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S1605">
        <v>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10</v>
      </c>
      <c r="CA1605">
        <v>15</v>
      </c>
      <c r="CB1605">
        <v>3</v>
      </c>
      <c r="CC1605">
        <v>2</v>
      </c>
      <c r="CD1605">
        <v>51</v>
      </c>
      <c r="CE1605">
        <v>0.66666666666666696</v>
      </c>
      <c r="CF1605">
        <v>0</v>
      </c>
      <c r="CG1605">
        <v>3</v>
      </c>
      <c r="CH1605">
        <v>3</v>
      </c>
      <c r="CI1605">
        <v>3</v>
      </c>
      <c r="CJ1605">
        <v>1</v>
      </c>
      <c r="CK1605">
        <v>0</v>
      </c>
      <c r="CL1605">
        <v>0</v>
      </c>
      <c r="CM1605">
        <v>1</v>
      </c>
      <c r="CN1605">
        <v>1</v>
      </c>
      <c r="CO1605">
        <v>0</v>
      </c>
      <c r="CP1605">
        <v>1</v>
      </c>
      <c r="CQ1605">
        <v>0</v>
      </c>
      <c r="CR1605" t="s">
        <v>7221</v>
      </c>
      <c r="CS1605" t="s">
        <v>7222</v>
      </c>
      <c r="CT1605" t="s">
        <v>7223</v>
      </c>
      <c r="CU1605">
        <v>363</v>
      </c>
      <c r="CV1605">
        <v>118</v>
      </c>
      <c r="CW1605">
        <v>80</v>
      </c>
      <c r="CX1605">
        <v>23</v>
      </c>
      <c r="CY1605">
        <v>26</v>
      </c>
      <c r="CZ1605">
        <v>1</v>
      </c>
      <c r="DA1605">
        <v>2</v>
      </c>
      <c r="DB1605">
        <v>0.88461538461538503</v>
      </c>
      <c r="DC1605">
        <v>0</v>
      </c>
      <c r="DD1605">
        <v>0</v>
      </c>
      <c r="DE1605">
        <v>0</v>
      </c>
      <c r="DF1605">
        <v>0</v>
      </c>
      <c r="DH1605">
        <v>0</v>
      </c>
      <c r="DI1605">
        <v>0</v>
      </c>
    </row>
    <row r="1606" spans="1:113" ht="15" customHeight="1" x14ac:dyDescent="0.25">
      <c r="A1606" t="s">
        <v>7224</v>
      </c>
      <c r="B1606" t="s">
        <v>7225</v>
      </c>
      <c r="C1606" t="s">
        <v>757</v>
      </c>
      <c r="D1606" t="s">
        <v>10</v>
      </c>
      <c r="E1606" t="s">
        <v>10</v>
      </c>
      <c r="F1606" t="s">
        <v>7226</v>
      </c>
      <c r="G1606">
        <v>2025</v>
      </c>
      <c r="H1606" t="s">
        <v>1160</v>
      </c>
      <c r="I1606" t="s">
        <v>1200</v>
      </c>
      <c r="J1606">
        <v>15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Y1606">
        <v>0</v>
      </c>
      <c r="AA1606">
        <v>3</v>
      </c>
      <c r="AB1606">
        <v>12</v>
      </c>
      <c r="AC1606">
        <v>0</v>
      </c>
      <c r="AD1606">
        <v>0</v>
      </c>
      <c r="AE1606">
        <v>0</v>
      </c>
      <c r="AF1606">
        <v>0</v>
      </c>
      <c r="AG1606">
        <v>0.23601340665482001</v>
      </c>
      <c r="AH1606">
        <v>0</v>
      </c>
      <c r="AI1606">
        <v>18</v>
      </c>
      <c r="AJ1606">
        <v>25</v>
      </c>
      <c r="AK1606">
        <v>171</v>
      </c>
      <c r="AL1606">
        <v>0</v>
      </c>
      <c r="AM1606">
        <v>0</v>
      </c>
      <c r="AN1606">
        <v>0</v>
      </c>
      <c r="AO1606">
        <v>171</v>
      </c>
      <c r="AP1606">
        <v>88</v>
      </c>
      <c r="AQ1606">
        <v>7</v>
      </c>
      <c r="AR1606">
        <v>2.5636294847566599</v>
      </c>
      <c r="AS1606">
        <v>0</v>
      </c>
      <c r="AT1606">
        <v>1</v>
      </c>
      <c r="AU1606">
        <v>4.3029259896729802E-2</v>
      </c>
      <c r="AV1606">
        <v>3.1503316138540897E-2</v>
      </c>
      <c r="AW1606">
        <v>8.6596211142073304E-2</v>
      </c>
      <c r="AX1606">
        <v>0</v>
      </c>
      <c r="AY1606">
        <v>2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1</v>
      </c>
      <c r="BU1606">
        <v>10</v>
      </c>
      <c r="BV1606">
        <v>0</v>
      </c>
      <c r="BW1606">
        <v>0</v>
      </c>
      <c r="BX1606">
        <v>17</v>
      </c>
      <c r="BY1606">
        <v>434</v>
      </c>
      <c r="BZ1606">
        <v>0</v>
      </c>
      <c r="CA1606">
        <v>0</v>
      </c>
      <c r="CB1606">
        <v>0</v>
      </c>
      <c r="CC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C1606">
        <v>0</v>
      </c>
      <c r="DD1606">
        <v>0</v>
      </c>
      <c r="DE1606">
        <v>0</v>
      </c>
      <c r="DF1606">
        <v>0</v>
      </c>
      <c r="DH1606">
        <v>18.3</v>
      </c>
      <c r="DI1606">
        <v>36.299999999999997</v>
      </c>
    </row>
    <row r="1607" spans="1:113" ht="15" customHeight="1" x14ac:dyDescent="0.25">
      <c r="A1607" t="s">
        <v>7227</v>
      </c>
      <c r="B1607" t="s">
        <v>4270</v>
      </c>
      <c r="C1607" t="s">
        <v>7228</v>
      </c>
      <c r="D1607" t="s">
        <v>1189</v>
      </c>
      <c r="E1607" t="s">
        <v>1190</v>
      </c>
      <c r="F1607" t="s">
        <v>7229</v>
      </c>
      <c r="G1607">
        <v>2025</v>
      </c>
      <c r="H1607" t="s">
        <v>1160</v>
      </c>
      <c r="I1607" t="s">
        <v>107</v>
      </c>
      <c r="J1607">
        <v>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Y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S1607">
        <v>0</v>
      </c>
      <c r="AU1607">
        <v>0</v>
      </c>
      <c r="AV1607">
        <v>0</v>
      </c>
      <c r="AW1607">
        <v>0</v>
      </c>
      <c r="AX1607">
        <v>0</v>
      </c>
      <c r="AY1607">
        <v>10</v>
      </c>
      <c r="AZ1607">
        <v>1</v>
      </c>
      <c r="BA1607">
        <v>9</v>
      </c>
      <c r="BB1607">
        <v>2</v>
      </c>
      <c r="BC1607">
        <v>12</v>
      </c>
      <c r="BD1607">
        <v>0</v>
      </c>
      <c r="BE1607">
        <v>2</v>
      </c>
      <c r="BF1607">
        <v>12</v>
      </c>
      <c r="BG1607">
        <v>5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2</v>
      </c>
      <c r="BR1607">
        <v>2</v>
      </c>
      <c r="BS1607">
        <v>0</v>
      </c>
      <c r="BT1607">
        <v>1</v>
      </c>
      <c r="BU1607">
        <v>15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C1607">
        <v>0</v>
      </c>
      <c r="DD1607">
        <v>0</v>
      </c>
      <c r="DE1607">
        <v>0</v>
      </c>
      <c r="DF1607">
        <v>0</v>
      </c>
      <c r="DH1607">
        <v>0</v>
      </c>
      <c r="DI1607">
        <v>0</v>
      </c>
    </row>
    <row r="1608" spans="1:113" ht="15" customHeight="1" x14ac:dyDescent="0.25">
      <c r="A1608" t="s">
        <v>7230</v>
      </c>
      <c r="B1608" t="s">
        <v>7231</v>
      </c>
      <c r="C1608" t="s">
        <v>7232</v>
      </c>
      <c r="D1608" t="s">
        <v>1297</v>
      </c>
      <c r="E1608" t="s">
        <v>1220</v>
      </c>
      <c r="F1608" t="s">
        <v>7233</v>
      </c>
      <c r="G1608">
        <v>2025</v>
      </c>
      <c r="H1608" t="s">
        <v>1160</v>
      </c>
      <c r="I1608" t="s">
        <v>1200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Y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S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5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C1608">
        <v>0</v>
      </c>
      <c r="DD1608">
        <v>0</v>
      </c>
      <c r="DE1608">
        <v>0</v>
      </c>
      <c r="DF1608">
        <v>0</v>
      </c>
      <c r="DH1608">
        <v>0</v>
      </c>
      <c r="DI1608">
        <v>0</v>
      </c>
    </row>
    <row r="1609" spans="1:113" ht="15" customHeight="1" x14ac:dyDescent="0.25">
      <c r="A1609" t="s">
        <v>7234</v>
      </c>
      <c r="B1609" t="s">
        <v>7235</v>
      </c>
      <c r="C1609" t="s">
        <v>980</v>
      </c>
      <c r="D1609" t="s">
        <v>439</v>
      </c>
      <c r="E1609" t="s">
        <v>439</v>
      </c>
      <c r="F1609" t="s">
        <v>7236</v>
      </c>
      <c r="G1609">
        <v>2025</v>
      </c>
      <c r="H1609" t="s">
        <v>1160</v>
      </c>
      <c r="I1609" t="s">
        <v>126</v>
      </c>
      <c r="J1609">
        <v>4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Y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H1609">
        <v>0</v>
      </c>
      <c r="AI1609">
        <v>1</v>
      </c>
      <c r="AJ1609">
        <v>1</v>
      </c>
      <c r="AK1609">
        <v>6</v>
      </c>
      <c r="AL1609">
        <v>1</v>
      </c>
      <c r="AM1609">
        <v>0</v>
      </c>
      <c r="AN1609">
        <v>0</v>
      </c>
      <c r="AO1609">
        <v>6</v>
      </c>
      <c r="AP1609">
        <v>0</v>
      </c>
      <c r="AQ1609">
        <v>1</v>
      </c>
      <c r="AR1609">
        <v>1.71396795928013</v>
      </c>
      <c r="AS1609">
        <v>0</v>
      </c>
      <c r="AT1609">
        <v>1</v>
      </c>
      <c r="AU1609">
        <v>1.8484288354898299E-3</v>
      </c>
      <c r="AV1609">
        <v>1.3321492007104801E-3</v>
      </c>
      <c r="AW1609">
        <v>3.7051476937320898E-3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2</v>
      </c>
      <c r="BU1609">
        <v>20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C1609">
        <v>0</v>
      </c>
      <c r="DD1609">
        <v>0</v>
      </c>
      <c r="DE1609">
        <v>0</v>
      </c>
      <c r="DF1609">
        <v>0</v>
      </c>
      <c r="DH1609">
        <v>6.6</v>
      </c>
      <c r="DI1609">
        <v>7.6</v>
      </c>
    </row>
    <row r="1610" spans="1:113" ht="15" customHeight="1" x14ac:dyDescent="0.25">
      <c r="A1610" t="s">
        <v>7237</v>
      </c>
      <c r="B1610" t="s">
        <v>7238</v>
      </c>
      <c r="C1610" t="s">
        <v>7239</v>
      </c>
      <c r="D1610" t="s">
        <v>1219</v>
      </c>
      <c r="E1610" t="s">
        <v>1220</v>
      </c>
      <c r="F1610" t="s">
        <v>7240</v>
      </c>
      <c r="G1610">
        <v>2025</v>
      </c>
      <c r="H1610" t="s">
        <v>1160</v>
      </c>
      <c r="I1610" t="s">
        <v>109</v>
      </c>
      <c r="J1610">
        <v>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Y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S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10</v>
      </c>
      <c r="BU1610">
        <v>76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C1610">
        <v>0</v>
      </c>
      <c r="DD1610">
        <v>0</v>
      </c>
      <c r="DE1610">
        <v>0</v>
      </c>
      <c r="DF1610">
        <v>0</v>
      </c>
      <c r="DH1610">
        <v>0</v>
      </c>
      <c r="DI1610">
        <v>0</v>
      </c>
    </row>
    <row r="1611" spans="1:113" ht="15" customHeight="1" x14ac:dyDescent="0.25">
      <c r="A1611" t="s">
        <v>7241</v>
      </c>
      <c r="B1611" t="s">
        <v>7242</v>
      </c>
      <c r="C1611" t="s">
        <v>822</v>
      </c>
      <c r="D1611" t="s">
        <v>431</v>
      </c>
      <c r="E1611" t="s">
        <v>431</v>
      </c>
      <c r="F1611" t="s">
        <v>7243</v>
      </c>
      <c r="G1611">
        <v>2025</v>
      </c>
      <c r="H1611" t="s">
        <v>1160</v>
      </c>
      <c r="I1611" t="s">
        <v>114</v>
      </c>
      <c r="J1611">
        <v>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Y1611">
        <v>0</v>
      </c>
      <c r="AA1611">
        <v>23</v>
      </c>
      <c r="AB1611">
        <v>73</v>
      </c>
      <c r="AC1611">
        <v>1</v>
      </c>
      <c r="AD1611">
        <v>0</v>
      </c>
      <c r="AE1611">
        <v>0</v>
      </c>
      <c r="AF1611">
        <v>8</v>
      </c>
      <c r="AG1611">
        <v>2.3920070420717798</v>
      </c>
      <c r="AH1611">
        <v>0</v>
      </c>
      <c r="AI1611">
        <v>1</v>
      </c>
      <c r="AJ1611">
        <v>1</v>
      </c>
      <c r="AK1611">
        <v>9</v>
      </c>
      <c r="AL1611">
        <v>0</v>
      </c>
      <c r="AM1611">
        <v>0</v>
      </c>
      <c r="AN1611">
        <v>0</v>
      </c>
      <c r="AO1611">
        <v>2</v>
      </c>
      <c r="AP1611">
        <v>7</v>
      </c>
      <c r="AQ1611">
        <v>0</v>
      </c>
      <c r="AR1611">
        <v>0.65629252651706305</v>
      </c>
      <c r="AS1611">
        <v>0</v>
      </c>
      <c r="AT1611">
        <v>4.5</v>
      </c>
      <c r="AU1611">
        <v>2.0746887966805001E-3</v>
      </c>
      <c r="AV1611">
        <v>4.33651344319167E-4</v>
      </c>
      <c r="AW1611">
        <v>3.41558913604416E-3</v>
      </c>
      <c r="AX1611">
        <v>0</v>
      </c>
      <c r="AY1611">
        <v>1</v>
      </c>
      <c r="AZ1611">
        <v>0</v>
      </c>
      <c r="BA1611">
        <v>2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2</v>
      </c>
      <c r="BY1611">
        <v>59</v>
      </c>
      <c r="BZ1611">
        <v>0</v>
      </c>
      <c r="CA1611">
        <v>0</v>
      </c>
      <c r="CB1611">
        <v>0</v>
      </c>
      <c r="CC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C1611">
        <v>0</v>
      </c>
      <c r="DD1611">
        <v>0</v>
      </c>
      <c r="DE1611">
        <v>0</v>
      </c>
      <c r="DF1611">
        <v>0</v>
      </c>
      <c r="DH1611">
        <v>14.2</v>
      </c>
      <c r="DI1611">
        <v>15.2</v>
      </c>
    </row>
    <row r="1612" spans="1:113" ht="15" customHeight="1" x14ac:dyDescent="0.25">
      <c r="A1612" t="s">
        <v>7244</v>
      </c>
      <c r="B1612" t="s">
        <v>7245</v>
      </c>
      <c r="C1612" t="s">
        <v>7246</v>
      </c>
      <c r="D1612" t="s">
        <v>1234</v>
      </c>
      <c r="E1612" t="s">
        <v>1234</v>
      </c>
      <c r="F1612" t="s">
        <v>7247</v>
      </c>
      <c r="G1612">
        <v>2025</v>
      </c>
      <c r="H1612" t="s">
        <v>1160</v>
      </c>
      <c r="I1612" t="s">
        <v>99</v>
      </c>
      <c r="J1612">
        <v>14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Y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S1612">
        <v>0</v>
      </c>
      <c r="AU1612">
        <v>0</v>
      </c>
      <c r="AV1612">
        <v>0</v>
      </c>
      <c r="AW1612">
        <v>0</v>
      </c>
      <c r="AX1612">
        <v>0</v>
      </c>
      <c r="AY1612">
        <v>12</v>
      </c>
      <c r="AZ1612">
        <v>2</v>
      </c>
      <c r="BA1612">
        <v>21</v>
      </c>
      <c r="BB1612">
        <v>2</v>
      </c>
      <c r="BC1612">
        <v>2</v>
      </c>
      <c r="BD1612">
        <v>0</v>
      </c>
      <c r="BE1612">
        <v>0</v>
      </c>
      <c r="BF1612">
        <v>0</v>
      </c>
      <c r="BG1612">
        <v>2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2</v>
      </c>
      <c r="BU1612">
        <v>20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C1612">
        <v>0</v>
      </c>
      <c r="DD1612">
        <v>0</v>
      </c>
      <c r="DE1612">
        <v>0</v>
      </c>
      <c r="DF1612">
        <v>0</v>
      </c>
      <c r="DH1612">
        <v>0</v>
      </c>
      <c r="DI1612">
        <v>0</v>
      </c>
    </row>
    <row r="1613" spans="1:113" ht="15" customHeight="1" x14ac:dyDescent="0.25">
      <c r="A1613" t="s">
        <v>7248</v>
      </c>
      <c r="B1613" t="s">
        <v>7249</v>
      </c>
      <c r="C1613" t="s">
        <v>7250</v>
      </c>
      <c r="D1613" t="s">
        <v>1243</v>
      </c>
      <c r="E1613" t="s">
        <v>1190</v>
      </c>
      <c r="F1613" t="s">
        <v>7251</v>
      </c>
      <c r="G1613">
        <v>2025</v>
      </c>
      <c r="H1613" t="s">
        <v>1160</v>
      </c>
      <c r="I1613" t="s">
        <v>139</v>
      </c>
      <c r="J1613">
        <v>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Y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S1613">
        <v>0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</v>
      </c>
      <c r="BA1613">
        <v>2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C1613">
        <v>0</v>
      </c>
      <c r="DD1613">
        <v>0</v>
      </c>
      <c r="DE1613">
        <v>0</v>
      </c>
      <c r="DF1613">
        <v>0</v>
      </c>
      <c r="DH1613">
        <v>0</v>
      </c>
      <c r="DI1613">
        <v>0</v>
      </c>
    </row>
    <row r="1614" spans="1:113" ht="15" customHeight="1" x14ac:dyDescent="0.25">
      <c r="A1614" t="s">
        <v>7252</v>
      </c>
      <c r="B1614" t="s">
        <v>7253</v>
      </c>
      <c r="C1614" t="s">
        <v>7254</v>
      </c>
      <c r="D1614" t="s">
        <v>1350</v>
      </c>
      <c r="E1614" t="s">
        <v>1307</v>
      </c>
      <c r="F1614" t="s">
        <v>7255</v>
      </c>
      <c r="G1614">
        <v>2025</v>
      </c>
      <c r="H1614" t="s">
        <v>1160</v>
      </c>
      <c r="I1614" t="s">
        <v>114</v>
      </c>
      <c r="J1614">
        <v>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Y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S1614">
        <v>0</v>
      </c>
      <c r="AU1614">
        <v>0</v>
      </c>
      <c r="AV1614">
        <v>0</v>
      </c>
      <c r="AW1614">
        <v>0</v>
      </c>
      <c r="AX1614">
        <v>0</v>
      </c>
      <c r="AY1614">
        <v>10</v>
      </c>
      <c r="AZ1614">
        <v>0</v>
      </c>
      <c r="BA1614">
        <v>2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</v>
      </c>
      <c r="BU1614">
        <v>7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C1614">
        <v>0</v>
      </c>
      <c r="DD1614">
        <v>0</v>
      </c>
      <c r="DE1614">
        <v>0</v>
      </c>
      <c r="DF1614">
        <v>0</v>
      </c>
      <c r="DH1614">
        <v>0</v>
      </c>
      <c r="DI1614">
        <v>0</v>
      </c>
    </row>
    <row r="1615" spans="1:113" ht="15" customHeight="1" x14ac:dyDescent="0.25">
      <c r="A1615" t="s">
        <v>7256</v>
      </c>
      <c r="B1615" t="s">
        <v>7257</v>
      </c>
      <c r="C1615" t="s">
        <v>7258</v>
      </c>
      <c r="D1615" t="s">
        <v>1350</v>
      </c>
      <c r="E1615" t="s">
        <v>1307</v>
      </c>
      <c r="F1615" t="s">
        <v>7259</v>
      </c>
      <c r="G1615">
        <v>2025</v>
      </c>
      <c r="H1615" t="s">
        <v>1160</v>
      </c>
      <c r="I1615" t="s">
        <v>1200</v>
      </c>
      <c r="J1615">
        <v>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Y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S1615">
        <v>0</v>
      </c>
      <c r="AU1615">
        <v>0</v>
      </c>
      <c r="AV1615">
        <v>0</v>
      </c>
      <c r="AW1615">
        <v>0</v>
      </c>
      <c r="AX1615">
        <v>0</v>
      </c>
      <c r="AY1615">
        <v>18</v>
      </c>
      <c r="AZ1615">
        <v>0</v>
      </c>
      <c r="BA1615">
        <v>2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56</v>
      </c>
      <c r="BJ1615">
        <v>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4</v>
      </c>
      <c r="BU1615">
        <v>25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C1615">
        <v>0</v>
      </c>
      <c r="DD1615">
        <v>0</v>
      </c>
      <c r="DE1615">
        <v>0</v>
      </c>
      <c r="DF1615">
        <v>0</v>
      </c>
      <c r="DH1615">
        <v>0</v>
      </c>
      <c r="DI1615">
        <v>0</v>
      </c>
    </row>
    <row r="1616" spans="1:113" ht="15" customHeight="1" x14ac:dyDescent="0.25">
      <c r="A1616" t="s">
        <v>7260</v>
      </c>
      <c r="B1616" t="s">
        <v>7261</v>
      </c>
      <c r="C1616" t="s">
        <v>7262</v>
      </c>
      <c r="D1616" t="s">
        <v>1234</v>
      </c>
      <c r="E1616" t="s">
        <v>1234</v>
      </c>
      <c r="F1616" t="s">
        <v>7263</v>
      </c>
      <c r="G1616">
        <v>2025</v>
      </c>
      <c r="H1616" t="s">
        <v>1160</v>
      </c>
      <c r="I1616" t="s">
        <v>1200</v>
      </c>
      <c r="J1616">
        <v>16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Y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S1616">
        <v>0</v>
      </c>
      <c r="AU1616">
        <v>0</v>
      </c>
      <c r="AV1616">
        <v>0</v>
      </c>
      <c r="AW1616">
        <v>0</v>
      </c>
      <c r="AX1616">
        <v>0</v>
      </c>
      <c r="AY1616">
        <v>43</v>
      </c>
      <c r="AZ1616">
        <v>2</v>
      </c>
      <c r="BA1616">
        <v>40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1</v>
      </c>
      <c r="BU1616">
        <v>15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C1616">
        <v>0</v>
      </c>
      <c r="DD1616">
        <v>0</v>
      </c>
      <c r="DE1616">
        <v>0</v>
      </c>
      <c r="DF1616">
        <v>0</v>
      </c>
      <c r="DH1616">
        <v>0</v>
      </c>
      <c r="DI1616">
        <v>0</v>
      </c>
    </row>
    <row r="1617" spans="1:113" ht="15" customHeight="1" x14ac:dyDescent="0.25">
      <c r="A1617" t="s">
        <v>7264</v>
      </c>
      <c r="B1617" t="s">
        <v>7265</v>
      </c>
      <c r="C1617" t="s">
        <v>7266</v>
      </c>
      <c r="D1617" t="s">
        <v>1684</v>
      </c>
      <c r="E1617" t="s">
        <v>1307</v>
      </c>
      <c r="F1617" t="s">
        <v>7267</v>
      </c>
      <c r="G1617">
        <v>2025</v>
      </c>
      <c r="H1617" t="s">
        <v>1160</v>
      </c>
      <c r="I1617" t="s">
        <v>1200</v>
      </c>
      <c r="J1617">
        <v>17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Y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S1617">
        <v>0</v>
      </c>
      <c r="AU1617">
        <v>0</v>
      </c>
      <c r="AV1617">
        <v>0</v>
      </c>
      <c r="AW1617">
        <v>0</v>
      </c>
      <c r="AX1617">
        <v>0</v>
      </c>
      <c r="AY1617">
        <v>35</v>
      </c>
      <c r="AZ1617">
        <v>1</v>
      </c>
      <c r="BA1617">
        <v>15</v>
      </c>
      <c r="BB1617">
        <v>2</v>
      </c>
      <c r="BC1617">
        <v>22</v>
      </c>
      <c r="BD1617">
        <v>0</v>
      </c>
      <c r="BE1617">
        <v>2</v>
      </c>
      <c r="BF1617">
        <v>22</v>
      </c>
      <c r="BG1617">
        <v>2</v>
      </c>
      <c r="BH1617">
        <v>0</v>
      </c>
      <c r="BI1617">
        <v>0</v>
      </c>
      <c r="BJ1617">
        <v>4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1</v>
      </c>
      <c r="BU1617">
        <v>10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C1617">
        <v>0</v>
      </c>
      <c r="DD1617">
        <v>0</v>
      </c>
      <c r="DE1617">
        <v>0</v>
      </c>
      <c r="DF1617">
        <v>0</v>
      </c>
      <c r="DH1617">
        <v>0</v>
      </c>
      <c r="DI1617">
        <v>0</v>
      </c>
    </row>
    <row r="1618" spans="1:113" ht="15" customHeight="1" x14ac:dyDescent="0.25">
      <c r="A1618" t="s">
        <v>7268</v>
      </c>
      <c r="B1618" t="s">
        <v>7269</v>
      </c>
      <c r="C1618" t="s">
        <v>7270</v>
      </c>
      <c r="D1618" t="s">
        <v>1189</v>
      </c>
      <c r="E1618" t="s">
        <v>1190</v>
      </c>
      <c r="F1618" t="s">
        <v>7271</v>
      </c>
      <c r="G1618">
        <v>2025</v>
      </c>
      <c r="H1618" t="s">
        <v>1160</v>
      </c>
      <c r="I1618" t="s">
        <v>90</v>
      </c>
      <c r="J1618">
        <v>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Y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S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</v>
      </c>
      <c r="BA1618">
        <v>2</v>
      </c>
      <c r="BB1618">
        <v>1</v>
      </c>
      <c r="BC1618">
        <v>5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C1618">
        <v>0</v>
      </c>
      <c r="DD1618">
        <v>0</v>
      </c>
      <c r="DE1618">
        <v>0</v>
      </c>
      <c r="DF1618">
        <v>0</v>
      </c>
      <c r="DH1618">
        <v>0</v>
      </c>
      <c r="DI1618">
        <v>0</v>
      </c>
    </row>
    <row r="1619" spans="1:113" ht="15" customHeight="1" x14ac:dyDescent="0.25">
      <c r="A1619" t="s">
        <v>7272</v>
      </c>
      <c r="B1619" t="s">
        <v>7273</v>
      </c>
      <c r="C1619" t="s">
        <v>7274</v>
      </c>
      <c r="D1619" t="s">
        <v>1220</v>
      </c>
      <c r="E1619" t="s">
        <v>1220</v>
      </c>
      <c r="F1619" t="s">
        <v>7275</v>
      </c>
      <c r="G1619">
        <v>2025</v>
      </c>
      <c r="H1619" t="s">
        <v>1160</v>
      </c>
      <c r="I1619" t="s">
        <v>1200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Y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S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</v>
      </c>
      <c r="BU1619">
        <v>4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C1619">
        <v>0</v>
      </c>
      <c r="DD1619">
        <v>0</v>
      </c>
      <c r="DE1619">
        <v>0</v>
      </c>
      <c r="DF1619">
        <v>0</v>
      </c>
      <c r="DH1619">
        <v>0</v>
      </c>
      <c r="DI1619">
        <v>0</v>
      </c>
    </row>
    <row r="1620" spans="1:113" ht="15" customHeight="1" x14ac:dyDescent="0.25">
      <c r="A1620" t="s">
        <v>7276</v>
      </c>
      <c r="B1620" t="s">
        <v>7277</v>
      </c>
      <c r="C1620" t="s">
        <v>7278</v>
      </c>
      <c r="D1620" t="s">
        <v>1350</v>
      </c>
      <c r="E1620" t="s">
        <v>1307</v>
      </c>
      <c r="F1620" t="s">
        <v>7279</v>
      </c>
      <c r="G1620">
        <v>2025</v>
      </c>
      <c r="H1620" t="s">
        <v>1160</v>
      </c>
      <c r="I1620" t="s">
        <v>101</v>
      </c>
      <c r="J1620">
        <v>11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Y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S1620">
        <v>0</v>
      </c>
      <c r="AU1620">
        <v>0</v>
      </c>
      <c r="AV1620">
        <v>0</v>
      </c>
      <c r="AW1620">
        <v>0</v>
      </c>
      <c r="AX1620">
        <v>0</v>
      </c>
      <c r="AY1620">
        <v>17</v>
      </c>
      <c r="AZ1620">
        <v>0</v>
      </c>
      <c r="BA1620">
        <v>10</v>
      </c>
      <c r="BB1620">
        <v>1</v>
      </c>
      <c r="BC1620">
        <v>2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3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2</v>
      </c>
      <c r="BR1620">
        <v>2</v>
      </c>
      <c r="BS1620">
        <v>0</v>
      </c>
      <c r="BT1620">
        <v>4</v>
      </c>
      <c r="BU1620">
        <v>40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C1620">
        <v>0</v>
      </c>
      <c r="DD1620">
        <v>0</v>
      </c>
      <c r="DE1620">
        <v>0</v>
      </c>
      <c r="DF1620">
        <v>0</v>
      </c>
      <c r="DH1620">
        <v>0</v>
      </c>
      <c r="DI1620">
        <v>0</v>
      </c>
    </row>
    <row r="1621" spans="1:113" ht="15" customHeight="1" x14ac:dyDescent="0.25">
      <c r="A1621" t="s">
        <v>7280</v>
      </c>
      <c r="B1621" t="s">
        <v>7281</v>
      </c>
      <c r="C1621" t="s">
        <v>7282</v>
      </c>
      <c r="D1621" t="s">
        <v>1219</v>
      </c>
      <c r="E1621" t="s">
        <v>1220</v>
      </c>
      <c r="F1621" t="s">
        <v>7283</v>
      </c>
      <c r="G1621">
        <v>2025</v>
      </c>
      <c r="H1621" t="s">
        <v>1160</v>
      </c>
      <c r="I1621" t="s">
        <v>101</v>
      </c>
      <c r="J1621">
        <v>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Y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S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3</v>
      </c>
      <c r="BU1621">
        <v>20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C1621">
        <v>0</v>
      </c>
      <c r="DD1621">
        <v>0</v>
      </c>
      <c r="DE1621">
        <v>0</v>
      </c>
      <c r="DF1621">
        <v>0</v>
      </c>
      <c r="DH1621">
        <v>0</v>
      </c>
      <c r="DI1621">
        <v>0</v>
      </c>
    </row>
    <row r="1622" spans="1:113" ht="15" customHeight="1" x14ac:dyDescent="0.25">
      <c r="A1622" t="s">
        <v>7284</v>
      </c>
      <c r="B1622" t="s">
        <v>2093</v>
      </c>
      <c r="C1622" t="s">
        <v>480</v>
      </c>
      <c r="D1622" t="s">
        <v>10</v>
      </c>
      <c r="E1622" t="s">
        <v>10</v>
      </c>
      <c r="F1622" t="s">
        <v>7285</v>
      </c>
      <c r="G1622">
        <v>2025</v>
      </c>
      <c r="H1622" t="s">
        <v>1160</v>
      </c>
      <c r="I1622" t="s">
        <v>97</v>
      </c>
      <c r="J1622">
        <v>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Y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H1622">
        <v>0</v>
      </c>
      <c r="AI1622">
        <v>6</v>
      </c>
      <c r="AJ1622">
        <v>8</v>
      </c>
      <c r="AK1622">
        <v>136</v>
      </c>
      <c r="AL1622">
        <v>3</v>
      </c>
      <c r="AM1622">
        <v>0</v>
      </c>
      <c r="AN1622">
        <v>0</v>
      </c>
      <c r="AO1622">
        <v>196</v>
      </c>
      <c r="AP1622">
        <v>23</v>
      </c>
      <c r="AQ1622">
        <v>5</v>
      </c>
      <c r="AR1622">
        <v>17.9375753575587</v>
      </c>
      <c r="AS1622">
        <v>0</v>
      </c>
      <c r="AT1622">
        <v>0.69387755102040805</v>
      </c>
      <c r="AU1622">
        <v>1.9656019656019701E-2</v>
      </c>
      <c r="AV1622">
        <v>5.7276446522501502E-2</v>
      </c>
      <c r="AW1622">
        <v>6.9577542049780505E-2</v>
      </c>
      <c r="AX1622">
        <v>0</v>
      </c>
      <c r="AY1622">
        <v>1</v>
      </c>
      <c r="AZ1622">
        <v>0</v>
      </c>
      <c r="BA1622">
        <v>2</v>
      </c>
      <c r="BB1622">
        <v>0</v>
      </c>
      <c r="BC1622">
        <v>0</v>
      </c>
      <c r="BD1622">
        <v>1</v>
      </c>
      <c r="BE1622">
        <v>1</v>
      </c>
      <c r="BF1622">
        <v>0</v>
      </c>
      <c r="BG1622">
        <v>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2</v>
      </c>
      <c r="BU1622">
        <v>15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C1622">
        <v>0</v>
      </c>
      <c r="DD1622">
        <v>0</v>
      </c>
      <c r="DE1622">
        <v>0</v>
      </c>
      <c r="DF1622">
        <v>0</v>
      </c>
      <c r="DH1622">
        <v>31.6</v>
      </c>
      <c r="DI1622">
        <v>37.6</v>
      </c>
    </row>
    <row r="1623" spans="1:113" ht="15" customHeight="1" x14ac:dyDescent="0.25">
      <c r="A1623" t="s">
        <v>7286</v>
      </c>
      <c r="B1623" t="s">
        <v>7287</v>
      </c>
      <c r="C1623" t="s">
        <v>941</v>
      </c>
      <c r="D1623" t="s">
        <v>439</v>
      </c>
      <c r="E1623" t="s">
        <v>439</v>
      </c>
      <c r="F1623" t="s">
        <v>7288</v>
      </c>
      <c r="G1623">
        <v>2025</v>
      </c>
      <c r="H1623" t="s">
        <v>1160</v>
      </c>
      <c r="I1623" t="s">
        <v>140</v>
      </c>
      <c r="J1623">
        <v>17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Y1623">
        <v>0</v>
      </c>
      <c r="AA1623">
        <v>10</v>
      </c>
      <c r="AB1623">
        <v>14</v>
      </c>
      <c r="AC1623">
        <v>1</v>
      </c>
      <c r="AD1623">
        <v>0</v>
      </c>
      <c r="AE1623">
        <v>0</v>
      </c>
      <c r="AF1623">
        <v>9</v>
      </c>
      <c r="AG1623">
        <v>7.2328035272657898</v>
      </c>
      <c r="AH1623">
        <v>0</v>
      </c>
      <c r="AI1623">
        <v>52</v>
      </c>
      <c r="AJ1623">
        <v>68</v>
      </c>
      <c r="AK1623">
        <v>519</v>
      </c>
      <c r="AL1623">
        <v>6</v>
      </c>
      <c r="AM1623">
        <v>2</v>
      </c>
      <c r="AN1623">
        <v>0</v>
      </c>
      <c r="AO1623">
        <v>297</v>
      </c>
      <c r="AP1623">
        <v>271</v>
      </c>
      <c r="AQ1623">
        <v>26</v>
      </c>
      <c r="AR1623">
        <v>27.943031145209499</v>
      </c>
      <c r="AS1623">
        <v>0</v>
      </c>
      <c r="AT1623">
        <v>1.7474747474747501</v>
      </c>
      <c r="AU1623">
        <v>0.149450549450549</v>
      </c>
      <c r="AV1623">
        <v>7.9031399680681194E-2</v>
      </c>
      <c r="AW1623">
        <v>0.279497803952301</v>
      </c>
      <c r="AX1623">
        <v>0</v>
      </c>
      <c r="AY1623">
        <v>1</v>
      </c>
      <c r="AZ1623">
        <v>0</v>
      </c>
      <c r="BA1623">
        <v>1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2</v>
      </c>
      <c r="BP1623">
        <v>2</v>
      </c>
      <c r="BQ1623">
        <v>0</v>
      </c>
      <c r="BR1623">
        <v>0</v>
      </c>
      <c r="BS1623">
        <v>0</v>
      </c>
      <c r="BT1623">
        <v>4</v>
      </c>
      <c r="BU1623">
        <v>20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C1623">
        <v>0</v>
      </c>
      <c r="DD1623">
        <v>0</v>
      </c>
      <c r="DE1623">
        <v>0</v>
      </c>
      <c r="DF1623">
        <v>0</v>
      </c>
      <c r="DH1623">
        <v>95.3</v>
      </c>
      <c r="DI1623">
        <v>147.30000000000001</v>
      </c>
    </row>
    <row r="1624" spans="1:113" ht="15" customHeight="1" x14ac:dyDescent="0.25">
      <c r="A1624" t="s">
        <v>7289</v>
      </c>
      <c r="B1624" t="s">
        <v>1695</v>
      </c>
      <c r="C1624" t="s">
        <v>881</v>
      </c>
      <c r="D1624" t="s">
        <v>431</v>
      </c>
      <c r="E1624" t="s">
        <v>431</v>
      </c>
      <c r="F1624" t="s">
        <v>7290</v>
      </c>
      <c r="G1624">
        <v>2025</v>
      </c>
      <c r="H1624" t="s">
        <v>1160</v>
      </c>
      <c r="I1624" t="s">
        <v>101</v>
      </c>
      <c r="J1624">
        <v>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Y1624">
        <v>0</v>
      </c>
      <c r="AA1624">
        <v>18</v>
      </c>
      <c r="AB1624">
        <v>76</v>
      </c>
      <c r="AC1624">
        <v>1</v>
      </c>
      <c r="AD1624">
        <v>1</v>
      </c>
      <c r="AE1624">
        <v>1</v>
      </c>
      <c r="AF1624">
        <v>4</v>
      </c>
      <c r="AG1624">
        <v>-8.6995932145654198</v>
      </c>
      <c r="AH1624">
        <v>0</v>
      </c>
      <c r="AI1624">
        <v>2</v>
      </c>
      <c r="AJ1624">
        <v>3</v>
      </c>
      <c r="AK1624">
        <v>17</v>
      </c>
      <c r="AL1624">
        <v>0</v>
      </c>
      <c r="AM1624">
        <v>0</v>
      </c>
      <c r="AN1624">
        <v>0</v>
      </c>
      <c r="AO1624">
        <v>8</v>
      </c>
      <c r="AP1624">
        <v>9</v>
      </c>
      <c r="AQ1624">
        <v>1</v>
      </c>
      <c r="AR1624">
        <v>-0.214526426279917</v>
      </c>
      <c r="AS1624">
        <v>0</v>
      </c>
      <c r="AT1624">
        <v>2.125</v>
      </c>
      <c r="AU1624">
        <v>6.3559322033898301E-3</v>
      </c>
      <c r="AV1624">
        <v>2.3501762632197401E-3</v>
      </c>
      <c r="AW1624">
        <v>1.1179021689338599E-2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4</v>
      </c>
      <c r="BY1624">
        <v>100</v>
      </c>
      <c r="BZ1624">
        <v>0</v>
      </c>
      <c r="CA1624">
        <v>0</v>
      </c>
      <c r="CB1624">
        <v>0</v>
      </c>
      <c r="CC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C1624">
        <v>0</v>
      </c>
      <c r="DD1624">
        <v>0</v>
      </c>
      <c r="DE1624">
        <v>0</v>
      </c>
      <c r="DF1624">
        <v>0</v>
      </c>
      <c r="DH1624">
        <v>13.3</v>
      </c>
      <c r="DI1624">
        <v>15.3</v>
      </c>
    </row>
    <row r="1625" spans="1:113" ht="15" customHeight="1" x14ac:dyDescent="0.25">
      <c r="A1625" t="s">
        <v>7291</v>
      </c>
      <c r="B1625" t="s">
        <v>7292</v>
      </c>
      <c r="C1625" t="s">
        <v>7293</v>
      </c>
      <c r="D1625" t="s">
        <v>1350</v>
      </c>
      <c r="E1625" t="s">
        <v>1307</v>
      </c>
      <c r="F1625" t="s">
        <v>7294</v>
      </c>
      <c r="G1625">
        <v>2025</v>
      </c>
      <c r="H1625" t="s">
        <v>1160</v>
      </c>
      <c r="I1625" t="s">
        <v>140</v>
      </c>
      <c r="J1625">
        <v>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Y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S1625">
        <v>0</v>
      </c>
      <c r="AU1625">
        <v>0</v>
      </c>
      <c r="AV1625">
        <v>0</v>
      </c>
      <c r="AW1625">
        <v>0</v>
      </c>
      <c r="AX1625">
        <v>0</v>
      </c>
      <c r="AY1625">
        <v>10</v>
      </c>
      <c r="AZ1625">
        <v>1</v>
      </c>
      <c r="BA1625">
        <v>3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2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5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C1625">
        <v>0</v>
      </c>
      <c r="DD1625">
        <v>0</v>
      </c>
      <c r="DE1625">
        <v>0</v>
      </c>
      <c r="DF1625">
        <v>0</v>
      </c>
      <c r="DH1625">
        <v>0</v>
      </c>
      <c r="DI1625">
        <v>0</v>
      </c>
    </row>
    <row r="1626" spans="1:113" ht="15" customHeight="1" x14ac:dyDescent="0.25">
      <c r="A1626" t="s">
        <v>7295</v>
      </c>
      <c r="B1626" t="s">
        <v>7296</v>
      </c>
      <c r="C1626" t="s">
        <v>471</v>
      </c>
      <c r="D1626" t="s">
        <v>431</v>
      </c>
      <c r="E1626" t="s">
        <v>431</v>
      </c>
      <c r="F1626" t="s">
        <v>7297</v>
      </c>
      <c r="G1626">
        <v>2025</v>
      </c>
      <c r="H1626" t="s">
        <v>1160</v>
      </c>
      <c r="I1626" t="s">
        <v>97</v>
      </c>
      <c r="J1626">
        <v>15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Y1626">
        <v>0</v>
      </c>
      <c r="AA1626">
        <v>7</v>
      </c>
      <c r="AB1626">
        <v>24</v>
      </c>
      <c r="AC1626">
        <v>0</v>
      </c>
      <c r="AD1626">
        <v>0</v>
      </c>
      <c r="AE1626">
        <v>0</v>
      </c>
      <c r="AF1626">
        <v>1</v>
      </c>
      <c r="AG1626">
        <v>-3.7214465704164499</v>
      </c>
      <c r="AH1626">
        <v>0</v>
      </c>
      <c r="AI1626">
        <v>9</v>
      </c>
      <c r="AJ1626">
        <v>11</v>
      </c>
      <c r="AK1626">
        <v>68</v>
      </c>
      <c r="AL1626">
        <v>1</v>
      </c>
      <c r="AM1626">
        <v>0</v>
      </c>
      <c r="AN1626">
        <v>0</v>
      </c>
      <c r="AO1626">
        <v>-1</v>
      </c>
      <c r="AP1626">
        <v>83</v>
      </c>
      <c r="AQ1626">
        <v>2</v>
      </c>
      <c r="AR1626">
        <v>-0.77999453933114404</v>
      </c>
      <c r="AS1626">
        <v>0</v>
      </c>
      <c r="AT1626">
        <v>-68</v>
      </c>
      <c r="AU1626">
        <v>2.7027027027027001E-2</v>
      </c>
      <c r="AV1626">
        <v>-2.92226767971946E-4</v>
      </c>
      <c r="AW1626">
        <v>4.0335981802960198E-2</v>
      </c>
      <c r="AX1626">
        <v>0</v>
      </c>
      <c r="AY1626">
        <v>7</v>
      </c>
      <c r="AZ1626">
        <v>1</v>
      </c>
      <c r="BA1626">
        <v>2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30</v>
      </c>
      <c r="BY1626">
        <v>763</v>
      </c>
      <c r="BZ1626">
        <v>0</v>
      </c>
      <c r="CA1626">
        <v>0</v>
      </c>
      <c r="CB1626">
        <v>0</v>
      </c>
      <c r="CC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C1626">
        <v>0</v>
      </c>
      <c r="DD1626">
        <v>0</v>
      </c>
      <c r="DE1626">
        <v>0</v>
      </c>
      <c r="DF1626">
        <v>0</v>
      </c>
      <c r="DH1626">
        <v>15.2</v>
      </c>
      <c r="DI1626">
        <v>24.2</v>
      </c>
    </row>
    <row r="1627" spans="1:113" ht="15" customHeight="1" x14ac:dyDescent="0.25">
      <c r="A1627" t="s">
        <v>7298</v>
      </c>
      <c r="B1627" t="s">
        <v>7299</v>
      </c>
      <c r="C1627" t="s">
        <v>884</v>
      </c>
      <c r="D1627" t="s">
        <v>431</v>
      </c>
      <c r="E1627" t="s">
        <v>431</v>
      </c>
      <c r="F1627" t="s">
        <v>7300</v>
      </c>
      <c r="G1627">
        <v>2025</v>
      </c>
      <c r="H1627" t="s">
        <v>1160</v>
      </c>
      <c r="I1627" t="s">
        <v>101</v>
      </c>
      <c r="J1627">
        <v>16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Y1627">
        <v>0</v>
      </c>
      <c r="AA1627">
        <v>43</v>
      </c>
      <c r="AB1627">
        <v>236</v>
      </c>
      <c r="AC1627">
        <v>1</v>
      </c>
      <c r="AD1627">
        <v>0</v>
      </c>
      <c r="AE1627">
        <v>0</v>
      </c>
      <c r="AF1627">
        <v>8</v>
      </c>
      <c r="AG1627">
        <v>-3.2345587406765701</v>
      </c>
      <c r="AH1627">
        <v>0</v>
      </c>
      <c r="AI1627">
        <v>21</v>
      </c>
      <c r="AJ1627">
        <v>28</v>
      </c>
      <c r="AK1627">
        <v>186</v>
      </c>
      <c r="AL1627">
        <v>0</v>
      </c>
      <c r="AM1627">
        <v>0</v>
      </c>
      <c r="AN1627">
        <v>0</v>
      </c>
      <c r="AO1627">
        <v>32</v>
      </c>
      <c r="AP1627">
        <v>189</v>
      </c>
      <c r="AQ1627">
        <v>8</v>
      </c>
      <c r="AR1627">
        <v>4.6149582500604698</v>
      </c>
      <c r="AS1627">
        <v>1</v>
      </c>
      <c r="AT1627">
        <v>5.8125</v>
      </c>
      <c r="AU1627">
        <v>5.93220338983051E-2</v>
      </c>
      <c r="AV1627">
        <v>9.4007050528789708E-3</v>
      </c>
      <c r="AW1627">
        <v>9.5563544384472898E-2</v>
      </c>
      <c r="AX1627">
        <v>0</v>
      </c>
      <c r="AY1627">
        <v>2</v>
      </c>
      <c r="AZ1627">
        <v>0</v>
      </c>
      <c r="BA1627">
        <v>6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1</v>
      </c>
      <c r="BU1627">
        <v>15</v>
      </c>
      <c r="BV1627">
        <v>0</v>
      </c>
      <c r="BW1627">
        <v>0</v>
      </c>
      <c r="BX1627">
        <v>11</v>
      </c>
      <c r="BY1627">
        <v>323</v>
      </c>
      <c r="BZ1627">
        <v>0</v>
      </c>
      <c r="CA1627">
        <v>0</v>
      </c>
      <c r="CB1627">
        <v>0</v>
      </c>
      <c r="CC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C1627">
        <v>0</v>
      </c>
      <c r="DD1627">
        <v>0</v>
      </c>
      <c r="DE1627">
        <v>0</v>
      </c>
      <c r="DF1627">
        <v>0</v>
      </c>
      <c r="DH1627">
        <v>50.2</v>
      </c>
      <c r="DI1627">
        <v>71.2</v>
      </c>
    </row>
    <row r="1628" spans="1:113" ht="15" customHeight="1" x14ac:dyDescent="0.25">
      <c r="A1628" t="s">
        <v>7301</v>
      </c>
      <c r="B1628" t="s">
        <v>2713</v>
      </c>
      <c r="C1628" t="s">
        <v>7302</v>
      </c>
      <c r="D1628" t="s">
        <v>1350</v>
      </c>
      <c r="E1628" t="s">
        <v>1307</v>
      </c>
      <c r="F1628" t="s">
        <v>7303</v>
      </c>
      <c r="G1628">
        <v>2025</v>
      </c>
      <c r="H1628" t="s">
        <v>1160</v>
      </c>
      <c r="I1628" t="s">
        <v>114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Y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C1628">
        <v>0</v>
      </c>
      <c r="DD1628">
        <v>0</v>
      </c>
      <c r="DE1628">
        <v>0</v>
      </c>
      <c r="DF1628">
        <v>0</v>
      </c>
      <c r="DH1628">
        <v>0</v>
      </c>
      <c r="DI1628">
        <v>0</v>
      </c>
    </row>
    <row r="1629" spans="1:113" ht="15" customHeight="1" x14ac:dyDescent="0.25">
      <c r="A1629" t="s">
        <v>7304</v>
      </c>
      <c r="B1629" t="s">
        <v>7305</v>
      </c>
      <c r="C1629" t="s">
        <v>7306</v>
      </c>
      <c r="D1629" t="s">
        <v>1350</v>
      </c>
      <c r="E1629" t="s">
        <v>1307</v>
      </c>
      <c r="F1629" t="s">
        <v>7307</v>
      </c>
      <c r="G1629">
        <v>2025</v>
      </c>
      <c r="H1629" t="s">
        <v>1160</v>
      </c>
      <c r="I1629" t="s">
        <v>90</v>
      </c>
      <c r="J1629">
        <v>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Y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>
        <v>0</v>
      </c>
      <c r="AU1629">
        <v>0</v>
      </c>
      <c r="AV1629">
        <v>0</v>
      </c>
      <c r="AW1629">
        <v>0</v>
      </c>
      <c r="AX1629">
        <v>0</v>
      </c>
      <c r="AY1629">
        <v>20</v>
      </c>
      <c r="AZ1629">
        <v>1</v>
      </c>
      <c r="BA1629">
        <v>10</v>
      </c>
      <c r="BB1629">
        <v>1</v>
      </c>
      <c r="BC1629">
        <v>2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5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4</v>
      </c>
      <c r="BU1629">
        <v>19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C1629">
        <v>0</v>
      </c>
      <c r="DD1629">
        <v>0</v>
      </c>
      <c r="DE1629">
        <v>0</v>
      </c>
      <c r="DF1629">
        <v>0</v>
      </c>
      <c r="DH1629">
        <v>0</v>
      </c>
      <c r="DI1629">
        <v>0</v>
      </c>
    </row>
    <row r="1630" spans="1:113" ht="15" customHeight="1" x14ac:dyDescent="0.25">
      <c r="A1630" t="s">
        <v>7308</v>
      </c>
      <c r="B1630" t="s">
        <v>7309</v>
      </c>
      <c r="C1630" t="s">
        <v>7310</v>
      </c>
      <c r="D1630" t="s">
        <v>1297</v>
      </c>
      <c r="E1630" t="s">
        <v>1220</v>
      </c>
      <c r="F1630" t="s">
        <v>7311</v>
      </c>
      <c r="G1630">
        <v>2025</v>
      </c>
      <c r="H1630" t="s">
        <v>1160</v>
      </c>
      <c r="I1630" t="s">
        <v>90</v>
      </c>
      <c r="J1630">
        <v>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Y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S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5</v>
      </c>
      <c r="BU1630">
        <v>35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C1630">
        <v>0</v>
      </c>
      <c r="DD1630">
        <v>0</v>
      </c>
      <c r="DE1630">
        <v>0</v>
      </c>
      <c r="DF1630">
        <v>0</v>
      </c>
      <c r="DH1630">
        <v>0</v>
      </c>
      <c r="DI1630">
        <v>0</v>
      </c>
    </row>
    <row r="1631" spans="1:113" ht="15" customHeight="1" x14ac:dyDescent="0.25">
      <c r="A1631" t="s">
        <v>7312</v>
      </c>
      <c r="B1631" t="s">
        <v>7313</v>
      </c>
      <c r="C1631" t="s">
        <v>7314</v>
      </c>
      <c r="D1631" t="s">
        <v>1234</v>
      </c>
      <c r="E1631" t="s">
        <v>1234</v>
      </c>
      <c r="F1631" t="s">
        <v>7315</v>
      </c>
      <c r="G1631">
        <v>2025</v>
      </c>
      <c r="H1631" t="s">
        <v>1160</v>
      </c>
      <c r="I1631" t="s">
        <v>115</v>
      </c>
      <c r="J1631">
        <v>11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Y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S1631">
        <v>0</v>
      </c>
      <c r="AU1631">
        <v>0</v>
      </c>
      <c r="AV1631">
        <v>0</v>
      </c>
      <c r="AW1631">
        <v>0</v>
      </c>
      <c r="AX1631">
        <v>0</v>
      </c>
      <c r="AY1631">
        <v>14</v>
      </c>
      <c r="AZ1631">
        <v>2</v>
      </c>
      <c r="BA1631">
        <v>12</v>
      </c>
      <c r="BB1631">
        <v>5</v>
      </c>
      <c r="BC1631">
        <v>39</v>
      </c>
      <c r="BD1631">
        <v>1</v>
      </c>
      <c r="BE1631">
        <v>2.5</v>
      </c>
      <c r="BF1631">
        <v>30.5</v>
      </c>
      <c r="BG1631">
        <v>5</v>
      </c>
      <c r="BH1631">
        <v>0</v>
      </c>
      <c r="BI1631">
        <v>0</v>
      </c>
      <c r="BJ1631">
        <v>1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C1631">
        <v>0</v>
      </c>
      <c r="DD1631">
        <v>0</v>
      </c>
      <c r="DE1631">
        <v>0</v>
      </c>
      <c r="DF1631">
        <v>0</v>
      </c>
      <c r="DH1631">
        <v>0</v>
      </c>
      <c r="DI1631">
        <v>0</v>
      </c>
    </row>
    <row r="1632" spans="1:113" ht="15" customHeight="1" x14ac:dyDescent="0.25">
      <c r="A1632" t="s">
        <v>7316</v>
      </c>
      <c r="B1632" t="s">
        <v>7317</v>
      </c>
      <c r="C1632" t="s">
        <v>7318</v>
      </c>
      <c r="D1632" t="s">
        <v>1234</v>
      </c>
      <c r="E1632" t="s">
        <v>1234</v>
      </c>
      <c r="F1632" t="s">
        <v>7319</v>
      </c>
      <c r="G1632">
        <v>2025</v>
      </c>
      <c r="H1632" t="s">
        <v>1160</v>
      </c>
      <c r="I1632" t="s">
        <v>118</v>
      </c>
      <c r="J1632">
        <v>13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Y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S1632">
        <v>0</v>
      </c>
      <c r="AU1632">
        <v>0</v>
      </c>
      <c r="AV1632">
        <v>0</v>
      </c>
      <c r="AW1632">
        <v>0</v>
      </c>
      <c r="AX1632">
        <v>0</v>
      </c>
      <c r="AY1632">
        <v>9</v>
      </c>
      <c r="AZ1632">
        <v>1</v>
      </c>
      <c r="BA1632">
        <v>14</v>
      </c>
      <c r="BB1632">
        <v>1</v>
      </c>
      <c r="BC1632">
        <v>2</v>
      </c>
      <c r="BD1632">
        <v>1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3</v>
      </c>
      <c r="BU1632">
        <v>35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C1632">
        <v>0</v>
      </c>
      <c r="DD1632">
        <v>0</v>
      </c>
      <c r="DE1632">
        <v>0</v>
      </c>
      <c r="DF1632">
        <v>0</v>
      </c>
      <c r="DH1632">
        <v>0</v>
      </c>
      <c r="DI1632">
        <v>0</v>
      </c>
    </row>
    <row r="1633" spans="1:113" ht="15" customHeight="1" x14ac:dyDescent="0.25">
      <c r="A1633" t="s">
        <v>7320</v>
      </c>
      <c r="B1633" t="s">
        <v>7321</v>
      </c>
      <c r="C1633" t="s">
        <v>7322</v>
      </c>
      <c r="D1633" t="s">
        <v>1684</v>
      </c>
      <c r="E1633" t="s">
        <v>1307</v>
      </c>
      <c r="F1633" t="s">
        <v>7323</v>
      </c>
      <c r="G1633">
        <v>2025</v>
      </c>
      <c r="H1633" t="s">
        <v>1160</v>
      </c>
      <c r="I1633" t="s">
        <v>118</v>
      </c>
      <c r="J1633">
        <v>16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Y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S1633">
        <v>0</v>
      </c>
      <c r="AU1633">
        <v>0</v>
      </c>
      <c r="AV1633">
        <v>0</v>
      </c>
      <c r="AW1633">
        <v>0</v>
      </c>
      <c r="AX1633">
        <v>0</v>
      </c>
      <c r="AY1633">
        <v>46</v>
      </c>
      <c r="AZ1633">
        <v>2</v>
      </c>
      <c r="BA1633">
        <v>52</v>
      </c>
      <c r="BB1633">
        <v>4</v>
      </c>
      <c r="BC1633">
        <v>5</v>
      </c>
      <c r="BD1633">
        <v>0</v>
      </c>
      <c r="BE1633">
        <v>0</v>
      </c>
      <c r="BF1633">
        <v>0</v>
      </c>
      <c r="BG1633">
        <v>0</v>
      </c>
      <c r="BH1633">
        <v>3</v>
      </c>
      <c r="BI1633">
        <v>0</v>
      </c>
      <c r="BJ1633">
        <v>5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1</v>
      </c>
      <c r="BR1633">
        <v>1</v>
      </c>
      <c r="BS1633">
        <v>0</v>
      </c>
      <c r="BT1633">
        <v>4</v>
      </c>
      <c r="BU1633">
        <v>45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C1633">
        <v>0</v>
      </c>
      <c r="DD1633">
        <v>0</v>
      </c>
      <c r="DE1633">
        <v>0</v>
      </c>
      <c r="DF1633">
        <v>0</v>
      </c>
      <c r="DH1633">
        <v>0</v>
      </c>
      <c r="DI1633">
        <v>0</v>
      </c>
    </row>
    <row r="1634" spans="1:113" ht="15" customHeight="1" x14ac:dyDescent="0.25">
      <c r="A1634" t="s">
        <v>7324</v>
      </c>
      <c r="B1634" t="s">
        <v>7325</v>
      </c>
      <c r="C1634" t="s">
        <v>7326</v>
      </c>
      <c r="D1634" t="s">
        <v>1234</v>
      </c>
      <c r="E1634" t="s">
        <v>1234</v>
      </c>
      <c r="F1634" t="s">
        <v>7327</v>
      </c>
      <c r="G1634">
        <v>2025</v>
      </c>
      <c r="H1634" t="s">
        <v>1160</v>
      </c>
      <c r="I1634" t="s">
        <v>140</v>
      </c>
      <c r="J1634">
        <v>14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Y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S1634">
        <v>0</v>
      </c>
      <c r="AU1634">
        <v>0</v>
      </c>
      <c r="AV1634">
        <v>0</v>
      </c>
      <c r="AW1634">
        <v>0</v>
      </c>
      <c r="AX1634">
        <v>0</v>
      </c>
      <c r="AY1634">
        <v>34</v>
      </c>
      <c r="AZ1634">
        <v>3</v>
      </c>
      <c r="BA1634">
        <v>20</v>
      </c>
      <c r="BB1634">
        <v>6</v>
      </c>
      <c r="BC1634">
        <v>36</v>
      </c>
      <c r="BD1634">
        <v>2</v>
      </c>
      <c r="BE1634">
        <v>2</v>
      </c>
      <c r="BF1634">
        <v>28</v>
      </c>
      <c r="BG1634">
        <v>2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C1634">
        <v>0</v>
      </c>
      <c r="DD1634">
        <v>0</v>
      </c>
      <c r="DE1634">
        <v>0</v>
      </c>
      <c r="DF1634">
        <v>0</v>
      </c>
      <c r="DH1634">
        <v>0</v>
      </c>
      <c r="DI1634">
        <v>0</v>
      </c>
    </row>
    <row r="1635" spans="1:113" ht="15" customHeight="1" x14ac:dyDescent="0.25">
      <c r="A1635" t="s">
        <v>7328</v>
      </c>
      <c r="B1635" t="s">
        <v>7329</v>
      </c>
      <c r="C1635" t="s">
        <v>675</v>
      </c>
      <c r="D1635" t="s">
        <v>10</v>
      </c>
      <c r="E1635" t="s">
        <v>10</v>
      </c>
      <c r="F1635" t="s">
        <v>7330</v>
      </c>
      <c r="G1635">
        <v>2025</v>
      </c>
      <c r="H1635" t="s">
        <v>1160</v>
      </c>
      <c r="I1635" t="s">
        <v>124</v>
      </c>
      <c r="J1635">
        <v>11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Y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H1635">
        <v>0</v>
      </c>
      <c r="AI1635">
        <v>2</v>
      </c>
      <c r="AJ1635">
        <v>2</v>
      </c>
      <c r="AK1635">
        <v>6</v>
      </c>
      <c r="AL1635">
        <v>0</v>
      </c>
      <c r="AM1635">
        <v>0</v>
      </c>
      <c r="AN1635">
        <v>0</v>
      </c>
      <c r="AO1635">
        <v>-2</v>
      </c>
      <c r="AP1635">
        <v>8</v>
      </c>
      <c r="AQ1635">
        <v>0</v>
      </c>
      <c r="AR1635">
        <v>-0.989829525526147</v>
      </c>
      <c r="AS1635">
        <v>0</v>
      </c>
      <c r="AT1635">
        <v>0</v>
      </c>
      <c r="AU1635">
        <v>3.77358490566038E-3</v>
      </c>
      <c r="AV1635">
        <v>-4.5662100456620998E-4</v>
      </c>
      <c r="AW1635">
        <v>5.3407426552942198E-3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13</v>
      </c>
      <c r="BW1635">
        <v>131</v>
      </c>
      <c r="BX1635">
        <v>25</v>
      </c>
      <c r="BY1635">
        <v>647</v>
      </c>
      <c r="BZ1635">
        <v>0</v>
      </c>
      <c r="CA1635">
        <v>0</v>
      </c>
      <c r="CB1635">
        <v>0</v>
      </c>
      <c r="CC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C1635">
        <v>0</v>
      </c>
      <c r="DD1635">
        <v>0</v>
      </c>
      <c r="DE1635">
        <v>0</v>
      </c>
      <c r="DF1635">
        <v>0</v>
      </c>
      <c r="DH1635">
        <v>0.6</v>
      </c>
      <c r="DI1635">
        <v>2.6</v>
      </c>
    </row>
    <row r="1636" spans="1:113" ht="15" customHeight="1" x14ac:dyDescent="0.25">
      <c r="A1636" t="s">
        <v>7331</v>
      </c>
      <c r="B1636" t="s">
        <v>7332</v>
      </c>
      <c r="C1636" t="s">
        <v>7333</v>
      </c>
      <c r="D1636" t="s">
        <v>1684</v>
      </c>
      <c r="E1636" t="s">
        <v>1307</v>
      </c>
      <c r="F1636" t="s">
        <v>7334</v>
      </c>
      <c r="G1636">
        <v>2025</v>
      </c>
      <c r="H1636" t="s">
        <v>1160</v>
      </c>
      <c r="I1636" t="s">
        <v>118</v>
      </c>
      <c r="J1636">
        <v>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Y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S1636">
        <v>0</v>
      </c>
      <c r="AU1636">
        <v>0</v>
      </c>
      <c r="AV1636">
        <v>0</v>
      </c>
      <c r="AW1636">
        <v>0</v>
      </c>
      <c r="AX1636">
        <v>0</v>
      </c>
      <c r="AY1636">
        <v>7</v>
      </c>
      <c r="AZ1636">
        <v>0</v>
      </c>
      <c r="BA1636">
        <v>3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2</v>
      </c>
      <c r="BU1636">
        <v>20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C1636">
        <v>0</v>
      </c>
      <c r="DD1636">
        <v>0</v>
      </c>
      <c r="DE1636">
        <v>0</v>
      </c>
      <c r="DF1636">
        <v>0</v>
      </c>
      <c r="DH1636">
        <v>0</v>
      </c>
      <c r="DI1636">
        <v>0</v>
      </c>
    </row>
    <row r="1637" spans="1:113" ht="15" customHeight="1" x14ac:dyDescent="0.25">
      <c r="A1637" t="s">
        <v>7335</v>
      </c>
      <c r="B1637" t="s">
        <v>7336</v>
      </c>
      <c r="C1637" t="s">
        <v>7337</v>
      </c>
      <c r="D1637" t="s">
        <v>1350</v>
      </c>
      <c r="E1637" t="s">
        <v>1307</v>
      </c>
      <c r="F1637" t="s">
        <v>7338</v>
      </c>
      <c r="G1637">
        <v>2025</v>
      </c>
      <c r="H1637" t="s">
        <v>1160</v>
      </c>
      <c r="I1637" t="s">
        <v>139</v>
      </c>
      <c r="J1637">
        <v>17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Y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S1637">
        <v>0</v>
      </c>
      <c r="AU1637">
        <v>0</v>
      </c>
      <c r="AV1637">
        <v>0</v>
      </c>
      <c r="AW1637">
        <v>0</v>
      </c>
      <c r="AX1637">
        <v>0</v>
      </c>
      <c r="AY1637">
        <v>47</v>
      </c>
      <c r="AZ1637">
        <v>2</v>
      </c>
      <c r="BA1637">
        <v>17</v>
      </c>
      <c r="BB1637">
        <v>8</v>
      </c>
      <c r="BC1637">
        <v>18</v>
      </c>
      <c r="BD1637">
        <v>0</v>
      </c>
      <c r="BE1637">
        <v>0</v>
      </c>
      <c r="BF1637">
        <v>0</v>
      </c>
      <c r="BG1637">
        <v>0</v>
      </c>
      <c r="BH1637">
        <v>2</v>
      </c>
      <c r="BI1637">
        <v>56</v>
      </c>
      <c r="BJ1637">
        <v>12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1</v>
      </c>
      <c r="BR1637">
        <v>1</v>
      </c>
      <c r="BS1637">
        <v>0</v>
      </c>
      <c r="BT1637">
        <v>9</v>
      </c>
      <c r="BU1637">
        <v>137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C1637">
        <v>0</v>
      </c>
      <c r="DD1637">
        <v>0</v>
      </c>
      <c r="DE1637">
        <v>0</v>
      </c>
      <c r="DF1637">
        <v>0</v>
      </c>
      <c r="DH1637">
        <v>0</v>
      </c>
      <c r="DI1637">
        <v>0</v>
      </c>
    </row>
    <row r="1638" spans="1:113" ht="15" customHeight="1" x14ac:dyDescent="0.25">
      <c r="A1638" t="s">
        <v>7339</v>
      </c>
      <c r="B1638" t="s">
        <v>4650</v>
      </c>
      <c r="C1638" t="s">
        <v>7340</v>
      </c>
      <c r="D1638" t="s">
        <v>1350</v>
      </c>
      <c r="E1638" t="s">
        <v>1307</v>
      </c>
      <c r="F1638" t="s">
        <v>7341</v>
      </c>
      <c r="G1638">
        <v>2025</v>
      </c>
      <c r="H1638" t="s">
        <v>1160</v>
      </c>
      <c r="I1638" t="s">
        <v>90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Y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S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3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2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C1638">
        <v>0</v>
      </c>
      <c r="DD1638">
        <v>0</v>
      </c>
      <c r="DE1638">
        <v>0</v>
      </c>
      <c r="DF1638">
        <v>0</v>
      </c>
      <c r="DH1638">
        <v>0</v>
      </c>
      <c r="DI1638">
        <v>0</v>
      </c>
    </row>
    <row r="1639" spans="1:113" ht="15" customHeight="1" x14ac:dyDescent="0.25">
      <c r="A1639" t="s">
        <v>7342</v>
      </c>
      <c r="B1639" t="s">
        <v>7343</v>
      </c>
      <c r="C1639" t="s">
        <v>721</v>
      </c>
      <c r="D1639" t="s">
        <v>439</v>
      </c>
      <c r="E1639" t="s">
        <v>439</v>
      </c>
      <c r="F1639" t="s">
        <v>7344</v>
      </c>
      <c r="G1639">
        <v>2025</v>
      </c>
      <c r="H1639" t="s">
        <v>1160</v>
      </c>
      <c r="I1639" t="s">
        <v>123</v>
      </c>
      <c r="J1639">
        <v>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Y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H1639">
        <v>0</v>
      </c>
      <c r="AI1639">
        <v>1</v>
      </c>
      <c r="AJ1639">
        <v>1</v>
      </c>
      <c r="AK1639">
        <v>4</v>
      </c>
      <c r="AL1639">
        <v>0</v>
      </c>
      <c r="AM1639">
        <v>0</v>
      </c>
      <c r="AN1639">
        <v>0</v>
      </c>
      <c r="AO1639">
        <v>-4</v>
      </c>
      <c r="AP1639">
        <v>8</v>
      </c>
      <c r="AQ1639">
        <v>1</v>
      </c>
      <c r="AR1639">
        <v>2.5656458348967099</v>
      </c>
      <c r="AS1639">
        <v>0</v>
      </c>
      <c r="AT1639">
        <v>0</v>
      </c>
      <c r="AU1639">
        <v>1.82149362477231E-3</v>
      </c>
      <c r="AV1639">
        <v>-8.8241782484006195E-4</v>
      </c>
      <c r="AW1639">
        <v>2.1145479597704298E-3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C1639">
        <v>0</v>
      </c>
      <c r="DD1639">
        <v>0</v>
      </c>
      <c r="DE1639">
        <v>0</v>
      </c>
      <c r="DF1639">
        <v>0</v>
      </c>
      <c r="DH1639">
        <v>0.4</v>
      </c>
      <c r="DI1639">
        <v>1.4</v>
      </c>
    </row>
    <row r="1640" spans="1:113" ht="15" customHeight="1" x14ac:dyDescent="0.25">
      <c r="A1640" t="s">
        <v>7345</v>
      </c>
      <c r="B1640" t="s">
        <v>7346</v>
      </c>
      <c r="C1640" t="s">
        <v>7347</v>
      </c>
      <c r="D1640" t="s">
        <v>1684</v>
      </c>
      <c r="E1640" t="s">
        <v>1307</v>
      </c>
      <c r="F1640" t="s">
        <v>7348</v>
      </c>
      <c r="G1640">
        <v>2025</v>
      </c>
      <c r="H1640" t="s">
        <v>1160</v>
      </c>
      <c r="I1640" t="s">
        <v>123</v>
      </c>
      <c r="J1640">
        <v>15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Y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S1640">
        <v>0</v>
      </c>
      <c r="AU1640">
        <v>0</v>
      </c>
      <c r="AV1640">
        <v>0</v>
      </c>
      <c r="AW1640">
        <v>0</v>
      </c>
      <c r="AX1640">
        <v>0</v>
      </c>
      <c r="AY1640">
        <v>29</v>
      </c>
      <c r="AZ1640">
        <v>0</v>
      </c>
      <c r="BA1640">
        <v>13</v>
      </c>
      <c r="BB1640">
        <v>0</v>
      </c>
      <c r="BC1640">
        <v>0</v>
      </c>
      <c r="BD1640">
        <v>0</v>
      </c>
      <c r="BE1640">
        <v>0.5</v>
      </c>
      <c r="BF1640">
        <v>0.5</v>
      </c>
      <c r="BG1640">
        <v>2</v>
      </c>
      <c r="BH1640">
        <v>0</v>
      </c>
      <c r="BI1640">
        <v>0</v>
      </c>
      <c r="BJ1640">
        <v>4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3</v>
      </c>
      <c r="BU1640">
        <v>28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C1640">
        <v>0</v>
      </c>
      <c r="DD1640">
        <v>0</v>
      </c>
      <c r="DE1640">
        <v>0</v>
      </c>
      <c r="DF1640">
        <v>0</v>
      </c>
      <c r="DH1640">
        <v>0</v>
      </c>
      <c r="DI1640">
        <v>0</v>
      </c>
    </row>
    <row r="1641" spans="1:113" ht="15" customHeight="1" x14ac:dyDescent="0.25">
      <c r="A1641" t="s">
        <v>7349</v>
      </c>
      <c r="B1641" t="s">
        <v>7350</v>
      </c>
      <c r="C1641" t="s">
        <v>7351</v>
      </c>
      <c r="D1641" t="s">
        <v>1234</v>
      </c>
      <c r="E1641" t="s">
        <v>1234</v>
      </c>
      <c r="F1641" t="s">
        <v>7352</v>
      </c>
      <c r="G1641">
        <v>2025</v>
      </c>
      <c r="H1641" t="s">
        <v>1160</v>
      </c>
      <c r="I1641" t="s">
        <v>120</v>
      </c>
      <c r="J1641">
        <v>13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Y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S1641">
        <v>0</v>
      </c>
      <c r="AU1641">
        <v>0</v>
      </c>
      <c r="AV1641">
        <v>0</v>
      </c>
      <c r="AW1641">
        <v>0</v>
      </c>
      <c r="AX1641">
        <v>0</v>
      </c>
      <c r="AY1641">
        <v>14</v>
      </c>
      <c r="AZ1641">
        <v>1</v>
      </c>
      <c r="BA1641">
        <v>17</v>
      </c>
      <c r="BB1641">
        <v>1</v>
      </c>
      <c r="BC1641">
        <v>1</v>
      </c>
      <c r="BD1641">
        <v>0</v>
      </c>
      <c r="BE1641">
        <v>0</v>
      </c>
      <c r="BF1641">
        <v>0</v>
      </c>
      <c r="BG1641">
        <v>2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3</v>
      </c>
      <c r="BU1641">
        <v>33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C1641">
        <v>0</v>
      </c>
      <c r="DD1641">
        <v>0</v>
      </c>
      <c r="DE1641">
        <v>0</v>
      </c>
      <c r="DF1641">
        <v>0</v>
      </c>
      <c r="DH1641">
        <v>0</v>
      </c>
      <c r="DI1641">
        <v>0</v>
      </c>
    </row>
    <row r="1642" spans="1:113" ht="15" customHeight="1" x14ac:dyDescent="0.25">
      <c r="A1642" t="s">
        <v>7353</v>
      </c>
      <c r="B1642" t="s">
        <v>7354</v>
      </c>
      <c r="C1642" t="s">
        <v>7355</v>
      </c>
      <c r="D1642" t="s">
        <v>1219</v>
      </c>
      <c r="E1642" t="s">
        <v>1220</v>
      </c>
      <c r="F1642" t="s">
        <v>7356</v>
      </c>
      <c r="G1642">
        <v>2025</v>
      </c>
      <c r="H1642" t="s">
        <v>1160</v>
      </c>
      <c r="I1642" t="s">
        <v>137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Y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S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1</v>
      </c>
      <c r="BU1642">
        <v>10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C1642">
        <v>0</v>
      </c>
      <c r="DD1642">
        <v>0</v>
      </c>
      <c r="DE1642">
        <v>0</v>
      </c>
      <c r="DF1642">
        <v>0</v>
      </c>
      <c r="DH1642">
        <v>0</v>
      </c>
      <c r="DI1642">
        <v>0</v>
      </c>
    </row>
    <row r="1643" spans="1:113" ht="15" customHeight="1" x14ac:dyDescent="0.25">
      <c r="A1643" t="s">
        <v>7357</v>
      </c>
      <c r="B1643" t="s">
        <v>7358</v>
      </c>
      <c r="C1643" t="s">
        <v>7359</v>
      </c>
      <c r="D1643" t="s">
        <v>1234</v>
      </c>
      <c r="E1643" t="s">
        <v>1234</v>
      </c>
      <c r="F1643" t="s">
        <v>7360</v>
      </c>
      <c r="G1643">
        <v>2025</v>
      </c>
      <c r="H1643" t="s">
        <v>1160</v>
      </c>
      <c r="I1643" t="s">
        <v>139</v>
      </c>
      <c r="J1643">
        <v>12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Y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S1643">
        <v>0</v>
      </c>
      <c r="AU1643">
        <v>0</v>
      </c>
      <c r="AV1643">
        <v>0</v>
      </c>
      <c r="AW1643">
        <v>0</v>
      </c>
      <c r="AX1643">
        <v>0</v>
      </c>
      <c r="AY1643">
        <v>23</v>
      </c>
      <c r="AZ1643">
        <v>1</v>
      </c>
      <c r="BA1643">
        <v>27</v>
      </c>
      <c r="BB1643">
        <v>2</v>
      </c>
      <c r="BC1643">
        <v>6</v>
      </c>
      <c r="BD1643">
        <v>0</v>
      </c>
      <c r="BE1643">
        <v>1</v>
      </c>
      <c r="BF1643">
        <v>0</v>
      </c>
      <c r="BG1643">
        <v>1</v>
      </c>
      <c r="BH1643">
        <v>0</v>
      </c>
      <c r="BI1643">
        <v>0</v>
      </c>
      <c r="BJ1643">
        <v>1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C1643">
        <v>0</v>
      </c>
      <c r="DD1643">
        <v>0</v>
      </c>
      <c r="DE1643">
        <v>0</v>
      </c>
      <c r="DF1643">
        <v>0</v>
      </c>
      <c r="DH1643">
        <v>0</v>
      </c>
      <c r="DI1643">
        <v>0</v>
      </c>
    </row>
    <row r="1644" spans="1:113" ht="15" customHeight="1" x14ac:dyDescent="0.25">
      <c r="A1644" t="s">
        <v>7361</v>
      </c>
      <c r="B1644" t="s">
        <v>7362</v>
      </c>
      <c r="C1644" t="s">
        <v>7363</v>
      </c>
      <c r="D1644" t="s">
        <v>1350</v>
      </c>
      <c r="E1644" t="s">
        <v>1307</v>
      </c>
      <c r="F1644" t="s">
        <v>7364</v>
      </c>
      <c r="G1644">
        <v>2025</v>
      </c>
      <c r="H1644" t="s">
        <v>1160</v>
      </c>
      <c r="I1644" t="s">
        <v>118</v>
      </c>
      <c r="J1644">
        <v>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Y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S1644">
        <v>0</v>
      </c>
      <c r="AU1644">
        <v>0</v>
      </c>
      <c r="AV1644">
        <v>0</v>
      </c>
      <c r="AW1644">
        <v>0</v>
      </c>
      <c r="AX1644">
        <v>0</v>
      </c>
      <c r="AY1644">
        <v>1</v>
      </c>
      <c r="AZ1644">
        <v>0</v>
      </c>
      <c r="BA1644">
        <v>4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1</v>
      </c>
      <c r="BU1644">
        <v>9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C1644">
        <v>0</v>
      </c>
      <c r="DD1644">
        <v>0</v>
      </c>
      <c r="DE1644">
        <v>0</v>
      </c>
      <c r="DF1644">
        <v>0</v>
      </c>
      <c r="DH1644">
        <v>0</v>
      </c>
      <c r="DI1644">
        <v>0</v>
      </c>
    </row>
    <row r="1645" spans="1:113" ht="15" customHeight="1" x14ac:dyDescent="0.25">
      <c r="A1645" t="s">
        <v>7365</v>
      </c>
      <c r="B1645" t="s">
        <v>7366</v>
      </c>
      <c r="C1645" t="s">
        <v>7367</v>
      </c>
      <c r="D1645" t="s">
        <v>1684</v>
      </c>
      <c r="E1645" t="s">
        <v>1307</v>
      </c>
      <c r="F1645" t="s">
        <v>7368</v>
      </c>
      <c r="G1645">
        <v>2025</v>
      </c>
      <c r="H1645" t="s">
        <v>1160</v>
      </c>
      <c r="I1645" t="s">
        <v>1200</v>
      </c>
      <c r="J1645">
        <v>17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Y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S1645">
        <v>0</v>
      </c>
      <c r="AU1645">
        <v>0</v>
      </c>
      <c r="AV1645">
        <v>0</v>
      </c>
      <c r="AW1645">
        <v>0</v>
      </c>
      <c r="AX1645">
        <v>0</v>
      </c>
      <c r="AY1645">
        <v>54</v>
      </c>
      <c r="AZ1645">
        <v>2</v>
      </c>
      <c r="BA1645">
        <v>28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2</v>
      </c>
      <c r="BH1645">
        <v>2</v>
      </c>
      <c r="BI1645">
        <v>53</v>
      </c>
      <c r="BJ1645">
        <v>6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2</v>
      </c>
      <c r="BR1645">
        <v>2</v>
      </c>
      <c r="BS1645">
        <v>0</v>
      </c>
      <c r="BT1645">
        <v>1</v>
      </c>
      <c r="BU1645">
        <v>15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C1645">
        <v>0</v>
      </c>
      <c r="DD1645">
        <v>0</v>
      </c>
      <c r="DE1645">
        <v>0</v>
      </c>
      <c r="DF1645">
        <v>0</v>
      </c>
      <c r="DH1645">
        <v>0</v>
      </c>
      <c r="DI1645">
        <v>0</v>
      </c>
    </row>
    <row r="1646" spans="1:113" ht="15" customHeight="1" x14ac:dyDescent="0.25">
      <c r="A1646" t="s">
        <v>7369</v>
      </c>
      <c r="B1646" t="s">
        <v>7370</v>
      </c>
      <c r="C1646" t="s">
        <v>7371</v>
      </c>
      <c r="D1646" t="s">
        <v>1243</v>
      </c>
      <c r="E1646" t="s">
        <v>1190</v>
      </c>
      <c r="F1646" t="s">
        <v>7372</v>
      </c>
      <c r="G1646">
        <v>2025</v>
      </c>
      <c r="H1646" t="s">
        <v>1160</v>
      </c>
      <c r="I1646" t="s">
        <v>131</v>
      </c>
      <c r="J1646">
        <v>15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Y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S1646">
        <v>0</v>
      </c>
      <c r="AU1646">
        <v>0</v>
      </c>
      <c r="AV1646">
        <v>0</v>
      </c>
      <c r="AW1646">
        <v>0</v>
      </c>
      <c r="AX1646">
        <v>0</v>
      </c>
      <c r="AY1646">
        <v>27</v>
      </c>
      <c r="AZ1646">
        <v>0</v>
      </c>
      <c r="BA1646">
        <v>12</v>
      </c>
      <c r="BB1646">
        <v>7</v>
      </c>
      <c r="BC1646">
        <v>34</v>
      </c>
      <c r="BD1646">
        <v>0</v>
      </c>
      <c r="BE1646">
        <v>6</v>
      </c>
      <c r="BF1646">
        <v>33</v>
      </c>
      <c r="BG1646">
        <v>10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C1646">
        <v>0</v>
      </c>
      <c r="DD1646">
        <v>0</v>
      </c>
      <c r="DE1646">
        <v>0</v>
      </c>
      <c r="DF1646">
        <v>0</v>
      </c>
      <c r="DH1646">
        <v>0</v>
      </c>
      <c r="DI1646">
        <v>0</v>
      </c>
    </row>
    <row r="1647" spans="1:113" ht="15" customHeight="1" x14ac:dyDescent="0.25">
      <c r="A1647" t="s">
        <v>7373</v>
      </c>
      <c r="B1647" t="s">
        <v>7374</v>
      </c>
      <c r="C1647" t="s">
        <v>7375</v>
      </c>
      <c r="D1647" t="s">
        <v>1234</v>
      </c>
      <c r="E1647" t="s">
        <v>1234</v>
      </c>
      <c r="F1647" t="s">
        <v>7376</v>
      </c>
      <c r="G1647">
        <v>2025</v>
      </c>
      <c r="H1647" t="s">
        <v>1160</v>
      </c>
      <c r="I1647" t="s">
        <v>89</v>
      </c>
      <c r="J1647">
        <v>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Y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>
        <v>0</v>
      </c>
      <c r="AU1647">
        <v>0</v>
      </c>
      <c r="AV1647">
        <v>0</v>
      </c>
      <c r="AW1647">
        <v>0</v>
      </c>
      <c r="AX1647">
        <v>0</v>
      </c>
      <c r="AY1647">
        <v>2</v>
      </c>
      <c r="AZ1647">
        <v>0</v>
      </c>
      <c r="BA1647">
        <v>1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C1647">
        <v>0</v>
      </c>
      <c r="DD1647">
        <v>0</v>
      </c>
      <c r="DE1647">
        <v>0</v>
      </c>
      <c r="DF1647">
        <v>0</v>
      </c>
      <c r="DH1647">
        <v>0</v>
      </c>
      <c r="DI1647">
        <v>0</v>
      </c>
    </row>
    <row r="1648" spans="1:113" ht="15" customHeight="1" x14ac:dyDescent="0.25">
      <c r="A1648" t="s">
        <v>7377</v>
      </c>
      <c r="B1648" t="s">
        <v>7378</v>
      </c>
      <c r="C1648" t="s">
        <v>7379</v>
      </c>
      <c r="D1648" t="s">
        <v>1684</v>
      </c>
      <c r="E1648" t="s">
        <v>1307</v>
      </c>
      <c r="F1648" t="s">
        <v>7380</v>
      </c>
      <c r="G1648">
        <v>2025</v>
      </c>
      <c r="H1648" t="s">
        <v>1160</v>
      </c>
      <c r="I1648" t="s">
        <v>121</v>
      </c>
      <c r="J1648">
        <v>16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Y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>
        <v>0</v>
      </c>
      <c r="AU1648">
        <v>0</v>
      </c>
      <c r="AV1648">
        <v>0</v>
      </c>
      <c r="AW1648">
        <v>0</v>
      </c>
      <c r="AX1648">
        <v>0</v>
      </c>
      <c r="AY1648">
        <v>43</v>
      </c>
      <c r="AZ1648">
        <v>1</v>
      </c>
      <c r="BA1648">
        <v>20</v>
      </c>
      <c r="BB1648">
        <v>0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4</v>
      </c>
      <c r="BI1648">
        <v>40</v>
      </c>
      <c r="BJ1648">
        <v>10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1</v>
      </c>
      <c r="BU1648">
        <v>32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C1648">
        <v>0</v>
      </c>
      <c r="DD1648">
        <v>0</v>
      </c>
      <c r="DE1648">
        <v>0</v>
      </c>
      <c r="DF1648">
        <v>0</v>
      </c>
      <c r="DH1648">
        <v>0</v>
      </c>
      <c r="DI1648">
        <v>0</v>
      </c>
    </row>
    <row r="1649" spans="1:113" ht="15" customHeight="1" x14ac:dyDescent="0.25">
      <c r="A1649" t="s">
        <v>7381</v>
      </c>
      <c r="B1649" t="s">
        <v>7382</v>
      </c>
      <c r="C1649" t="s">
        <v>7383</v>
      </c>
      <c r="D1649" t="s">
        <v>1189</v>
      </c>
      <c r="E1649" t="s">
        <v>1190</v>
      </c>
      <c r="F1649" t="s">
        <v>7384</v>
      </c>
      <c r="G1649">
        <v>2025</v>
      </c>
      <c r="H1649" t="s">
        <v>1160</v>
      </c>
      <c r="I1649" t="s">
        <v>104</v>
      </c>
      <c r="J1649">
        <v>10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Y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S1649">
        <v>0</v>
      </c>
      <c r="AU1649">
        <v>0</v>
      </c>
      <c r="AV1649">
        <v>0</v>
      </c>
      <c r="AW1649">
        <v>0</v>
      </c>
      <c r="AX1649">
        <v>0</v>
      </c>
      <c r="AY1649">
        <v>19</v>
      </c>
      <c r="AZ1649">
        <v>0</v>
      </c>
      <c r="BA1649">
        <v>16</v>
      </c>
      <c r="BB1649">
        <v>5</v>
      </c>
      <c r="BC1649">
        <v>34</v>
      </c>
      <c r="BD1649">
        <v>1</v>
      </c>
      <c r="BE1649">
        <v>4.5</v>
      </c>
      <c r="BF1649">
        <v>31</v>
      </c>
      <c r="BG1649">
        <v>12</v>
      </c>
      <c r="BH1649">
        <v>0</v>
      </c>
      <c r="BI1649">
        <v>0</v>
      </c>
      <c r="BJ1649">
        <v>3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4</v>
      </c>
      <c r="BU1649">
        <v>37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C1649">
        <v>0</v>
      </c>
      <c r="DD1649">
        <v>0</v>
      </c>
      <c r="DE1649">
        <v>0</v>
      </c>
      <c r="DF1649">
        <v>0</v>
      </c>
      <c r="DH1649">
        <v>0</v>
      </c>
      <c r="DI1649">
        <v>0</v>
      </c>
    </row>
    <row r="1650" spans="1:113" ht="15" customHeight="1" x14ac:dyDescent="0.25">
      <c r="A1650" t="s">
        <v>7385</v>
      </c>
      <c r="B1650" t="s">
        <v>7386</v>
      </c>
      <c r="C1650" t="s">
        <v>7387</v>
      </c>
      <c r="D1650" t="s">
        <v>1350</v>
      </c>
      <c r="E1650" t="s">
        <v>1307</v>
      </c>
      <c r="F1650" t="s">
        <v>7388</v>
      </c>
      <c r="G1650">
        <v>2025</v>
      </c>
      <c r="H1650" t="s">
        <v>1160</v>
      </c>
      <c r="I1650" t="s">
        <v>120</v>
      </c>
      <c r="J1650">
        <v>16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Y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>
        <v>0</v>
      </c>
      <c r="AU1650">
        <v>0</v>
      </c>
      <c r="AV1650">
        <v>0</v>
      </c>
      <c r="AW1650">
        <v>0</v>
      </c>
      <c r="AX1650">
        <v>0</v>
      </c>
      <c r="AY1650">
        <v>63</v>
      </c>
      <c r="AZ1650">
        <v>1</v>
      </c>
      <c r="BA1650">
        <v>29</v>
      </c>
      <c r="BB1650">
        <v>4</v>
      </c>
      <c r="BC1650">
        <v>10</v>
      </c>
      <c r="BD1650">
        <v>1</v>
      </c>
      <c r="BE1650">
        <v>0</v>
      </c>
      <c r="BF1650">
        <v>0</v>
      </c>
      <c r="BG1650">
        <v>1</v>
      </c>
      <c r="BH1650">
        <v>2</v>
      </c>
      <c r="BI1650">
        <v>32</v>
      </c>
      <c r="BJ1650">
        <v>16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2</v>
      </c>
      <c r="BU1650">
        <v>30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C1650">
        <v>0</v>
      </c>
      <c r="DD1650">
        <v>0</v>
      </c>
      <c r="DE1650">
        <v>0</v>
      </c>
      <c r="DF1650">
        <v>0</v>
      </c>
      <c r="DH1650">
        <v>0</v>
      </c>
      <c r="DI1650">
        <v>0</v>
      </c>
    </row>
    <row r="1651" spans="1:113" ht="15" customHeight="1" x14ac:dyDescent="0.25">
      <c r="A1651" t="s">
        <v>7389</v>
      </c>
      <c r="B1651" t="s">
        <v>7390</v>
      </c>
      <c r="C1651" t="s">
        <v>7391</v>
      </c>
      <c r="D1651" t="s">
        <v>1219</v>
      </c>
      <c r="E1651" t="s">
        <v>1220</v>
      </c>
      <c r="F1651" t="s">
        <v>7392</v>
      </c>
      <c r="G1651">
        <v>2025</v>
      </c>
      <c r="H1651" t="s">
        <v>1160</v>
      </c>
      <c r="I1651" t="s">
        <v>123</v>
      </c>
      <c r="J1651">
        <v>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Y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S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0</v>
      </c>
      <c r="BS1651">
        <v>0</v>
      </c>
      <c r="BT1651">
        <v>5</v>
      </c>
      <c r="BU1651">
        <v>45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C1651">
        <v>0</v>
      </c>
      <c r="DD1651">
        <v>0</v>
      </c>
      <c r="DE1651">
        <v>0</v>
      </c>
      <c r="DF1651">
        <v>0</v>
      </c>
      <c r="DH1651">
        <v>0</v>
      </c>
      <c r="DI1651">
        <v>0</v>
      </c>
    </row>
    <row r="1652" spans="1:113" ht="15" customHeight="1" x14ac:dyDescent="0.25">
      <c r="A1652" t="s">
        <v>7393</v>
      </c>
      <c r="B1652" t="s">
        <v>2423</v>
      </c>
      <c r="C1652" t="s">
        <v>7394</v>
      </c>
      <c r="D1652" t="s">
        <v>1684</v>
      </c>
      <c r="E1652" t="s">
        <v>1307</v>
      </c>
      <c r="F1652" t="s">
        <v>7395</v>
      </c>
      <c r="G1652">
        <v>2025</v>
      </c>
      <c r="H1652" t="s">
        <v>1160</v>
      </c>
      <c r="I1652" t="s">
        <v>126</v>
      </c>
      <c r="J1652">
        <v>16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Y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S1652">
        <v>0</v>
      </c>
      <c r="AU1652">
        <v>0</v>
      </c>
      <c r="AV1652">
        <v>0</v>
      </c>
      <c r="AW1652">
        <v>0</v>
      </c>
      <c r="AX1652">
        <v>0</v>
      </c>
      <c r="AY1652">
        <v>60</v>
      </c>
      <c r="AZ1652">
        <v>1</v>
      </c>
      <c r="BA1652">
        <v>39</v>
      </c>
      <c r="BB1652">
        <v>6</v>
      </c>
      <c r="BC1652">
        <v>30</v>
      </c>
      <c r="BD1652">
        <v>0</v>
      </c>
      <c r="BE1652">
        <v>2</v>
      </c>
      <c r="BF1652">
        <v>18</v>
      </c>
      <c r="BG1652">
        <v>5</v>
      </c>
      <c r="BH1652">
        <v>1</v>
      </c>
      <c r="BI1652">
        <v>0</v>
      </c>
      <c r="BJ1652">
        <v>13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2</v>
      </c>
      <c r="BR1652">
        <v>2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C1652">
        <v>0</v>
      </c>
      <c r="DD1652">
        <v>0</v>
      </c>
      <c r="DE1652">
        <v>0</v>
      </c>
      <c r="DF1652">
        <v>0</v>
      </c>
      <c r="DH1652">
        <v>0</v>
      </c>
      <c r="DI1652">
        <v>0</v>
      </c>
    </row>
    <row r="1653" spans="1:113" ht="15" customHeight="1" x14ac:dyDescent="0.25">
      <c r="A1653" t="s">
        <v>7396</v>
      </c>
      <c r="B1653" t="s">
        <v>4023</v>
      </c>
      <c r="C1653" t="s">
        <v>869</v>
      </c>
      <c r="D1653" t="s">
        <v>439</v>
      </c>
      <c r="E1653" t="s">
        <v>439</v>
      </c>
      <c r="F1653" t="s">
        <v>7397</v>
      </c>
      <c r="G1653">
        <v>2025</v>
      </c>
      <c r="H1653" t="s">
        <v>1160</v>
      </c>
      <c r="I1653" t="s">
        <v>139</v>
      </c>
      <c r="J1653">
        <v>15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Y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H1653">
        <v>0</v>
      </c>
      <c r="AI1653">
        <v>45</v>
      </c>
      <c r="AJ1653">
        <v>74</v>
      </c>
      <c r="AK1653">
        <v>528</v>
      </c>
      <c r="AL1653">
        <v>5</v>
      </c>
      <c r="AM1653">
        <v>0</v>
      </c>
      <c r="AN1653">
        <v>0</v>
      </c>
      <c r="AO1653">
        <v>616</v>
      </c>
      <c r="AP1653">
        <v>187</v>
      </c>
      <c r="AQ1653">
        <v>25</v>
      </c>
      <c r="AR1653">
        <v>8.8323711628032608</v>
      </c>
      <c r="AS1653">
        <v>0</v>
      </c>
      <c r="AT1653">
        <v>0.85714285714285698</v>
      </c>
      <c r="AU1653">
        <v>0.14711729622266401</v>
      </c>
      <c r="AV1653">
        <v>0.137715179968701</v>
      </c>
      <c r="AW1653">
        <v>0.31707657031208702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3</v>
      </c>
      <c r="BU1653">
        <v>25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C1653">
        <v>0</v>
      </c>
      <c r="DD1653">
        <v>0</v>
      </c>
      <c r="DE1653">
        <v>0</v>
      </c>
      <c r="DF1653">
        <v>0</v>
      </c>
      <c r="DH1653">
        <v>82.8</v>
      </c>
      <c r="DI1653">
        <v>127.8</v>
      </c>
    </row>
    <row r="1654" spans="1:113" ht="15" customHeight="1" x14ac:dyDescent="0.25">
      <c r="A1654" t="s">
        <v>7398</v>
      </c>
      <c r="B1654" t="s">
        <v>3723</v>
      </c>
      <c r="C1654" t="s">
        <v>442</v>
      </c>
      <c r="D1654" t="s">
        <v>10</v>
      </c>
      <c r="E1654" t="s">
        <v>10</v>
      </c>
      <c r="F1654" t="s">
        <v>7399</v>
      </c>
      <c r="G1654">
        <v>2025</v>
      </c>
      <c r="H1654" t="s">
        <v>1160</v>
      </c>
      <c r="I1654" t="s">
        <v>90</v>
      </c>
      <c r="J1654">
        <v>12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Y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H1654">
        <v>0</v>
      </c>
      <c r="AI1654">
        <v>41</v>
      </c>
      <c r="AJ1654">
        <v>73</v>
      </c>
      <c r="AK1654">
        <v>608</v>
      </c>
      <c r="AL1654">
        <v>4</v>
      </c>
      <c r="AM1654">
        <v>0</v>
      </c>
      <c r="AN1654">
        <v>0</v>
      </c>
      <c r="AO1654">
        <v>946</v>
      </c>
      <c r="AP1654">
        <v>119</v>
      </c>
      <c r="AQ1654">
        <v>30</v>
      </c>
      <c r="AR1654">
        <v>31.114757475455502</v>
      </c>
      <c r="AS1654">
        <v>1</v>
      </c>
      <c r="AT1654">
        <v>0.64270613107822405</v>
      </c>
      <c r="AU1654">
        <v>0.118314424635332</v>
      </c>
      <c r="AV1654">
        <v>0.20300429184549401</v>
      </c>
      <c r="AW1654">
        <v>0.31957464124484403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C1654">
        <v>0</v>
      </c>
      <c r="DD1654">
        <v>0</v>
      </c>
      <c r="DE1654">
        <v>0</v>
      </c>
      <c r="DF1654">
        <v>0</v>
      </c>
      <c r="DH1654">
        <v>86.8</v>
      </c>
      <c r="DI1654">
        <v>127.8</v>
      </c>
    </row>
    <row r="1655" spans="1:113" ht="15" customHeight="1" x14ac:dyDescent="0.25">
      <c r="A1655" t="s">
        <v>7400</v>
      </c>
      <c r="B1655" t="s">
        <v>7401</v>
      </c>
      <c r="C1655" t="s">
        <v>7402</v>
      </c>
      <c r="D1655" t="s">
        <v>1234</v>
      </c>
      <c r="E1655" t="s">
        <v>1234</v>
      </c>
      <c r="F1655" t="s">
        <v>7403</v>
      </c>
      <c r="G1655">
        <v>2025</v>
      </c>
      <c r="H1655" t="s">
        <v>1160</v>
      </c>
      <c r="I1655" t="s">
        <v>118</v>
      </c>
      <c r="J1655">
        <v>16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Y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S1655">
        <v>0</v>
      </c>
      <c r="AU1655">
        <v>0</v>
      </c>
      <c r="AV1655">
        <v>0</v>
      </c>
      <c r="AW1655">
        <v>0</v>
      </c>
      <c r="AX1655">
        <v>0</v>
      </c>
      <c r="AY1655">
        <v>61</v>
      </c>
      <c r="AZ1655">
        <v>2</v>
      </c>
      <c r="BA1655">
        <v>55</v>
      </c>
      <c r="BB1655">
        <v>4</v>
      </c>
      <c r="BC1655">
        <v>7</v>
      </c>
      <c r="BD1655">
        <v>2</v>
      </c>
      <c r="BE1655">
        <v>0.5</v>
      </c>
      <c r="BF1655">
        <v>5</v>
      </c>
      <c r="BG1655">
        <v>3</v>
      </c>
      <c r="BH1655">
        <v>0</v>
      </c>
      <c r="BI1655">
        <v>0</v>
      </c>
      <c r="BJ1655">
        <v>4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1</v>
      </c>
      <c r="BR1655">
        <v>1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C1655">
        <v>0</v>
      </c>
      <c r="DD1655">
        <v>0</v>
      </c>
      <c r="DE1655">
        <v>0</v>
      </c>
      <c r="DF1655">
        <v>0</v>
      </c>
      <c r="DH1655">
        <v>0</v>
      </c>
      <c r="DI1655">
        <v>0</v>
      </c>
    </row>
    <row r="1656" spans="1:113" ht="15" customHeight="1" x14ac:dyDescent="0.25">
      <c r="A1656" t="s">
        <v>7404</v>
      </c>
      <c r="B1656" t="s">
        <v>7405</v>
      </c>
      <c r="C1656" t="s">
        <v>7406</v>
      </c>
      <c r="D1656" t="s">
        <v>1158</v>
      </c>
      <c r="E1656" t="s">
        <v>1158</v>
      </c>
      <c r="F1656" t="s">
        <v>7407</v>
      </c>
      <c r="G1656">
        <v>2025</v>
      </c>
      <c r="H1656" t="s">
        <v>1160</v>
      </c>
      <c r="I1656" t="s">
        <v>114</v>
      </c>
      <c r="J1656">
        <v>17</v>
      </c>
      <c r="K1656">
        <v>354</v>
      </c>
      <c r="L1656">
        <v>492</v>
      </c>
      <c r="M1656">
        <v>4394</v>
      </c>
      <c r="N1656">
        <v>31</v>
      </c>
      <c r="O1656">
        <v>8</v>
      </c>
      <c r="P1656">
        <v>47</v>
      </c>
      <c r="Q1656">
        <v>-201</v>
      </c>
      <c r="R1656">
        <v>6</v>
      </c>
      <c r="S1656">
        <v>3</v>
      </c>
      <c r="T1656">
        <v>4493</v>
      </c>
      <c r="U1656">
        <v>1746</v>
      </c>
      <c r="V1656">
        <v>204</v>
      </c>
      <c r="W1656">
        <v>165.16154195610801</v>
      </c>
      <c r="X1656">
        <v>10.7812747390846</v>
      </c>
      <c r="Y1656">
        <v>1</v>
      </c>
      <c r="Z1656">
        <v>0.97796572446027197</v>
      </c>
      <c r="AA1656">
        <v>103</v>
      </c>
      <c r="AB1656">
        <v>450</v>
      </c>
      <c r="AC1656">
        <v>4</v>
      </c>
      <c r="AD1656">
        <v>2</v>
      </c>
      <c r="AE1656">
        <v>0</v>
      </c>
      <c r="AF1656">
        <v>41</v>
      </c>
      <c r="AG1656">
        <v>11.2128673671761</v>
      </c>
      <c r="AH1656">
        <v>1</v>
      </c>
      <c r="AI1656">
        <v>1</v>
      </c>
      <c r="AJ1656">
        <v>1</v>
      </c>
      <c r="AK1656">
        <v>2</v>
      </c>
      <c r="AL1656">
        <v>0</v>
      </c>
      <c r="AM1656">
        <v>0</v>
      </c>
      <c r="AN1656">
        <v>0</v>
      </c>
      <c r="AO1656">
        <v>-8</v>
      </c>
      <c r="AP1656">
        <v>10</v>
      </c>
      <c r="AQ1656">
        <v>0</v>
      </c>
      <c r="AR1656">
        <v>-1.3293322010431401</v>
      </c>
      <c r="AS1656">
        <v>0</v>
      </c>
      <c r="AT1656">
        <v>0</v>
      </c>
      <c r="AU1656">
        <v>2.0746887966805001E-3</v>
      </c>
      <c r="AV1656">
        <v>-1.7346053772766699E-3</v>
      </c>
      <c r="AW1656">
        <v>1.8978094309270799E-3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5</v>
      </c>
      <c r="BP1656">
        <v>6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C1656">
        <v>0</v>
      </c>
      <c r="DD1656">
        <v>0</v>
      </c>
      <c r="DE1656">
        <v>0</v>
      </c>
      <c r="DF1656">
        <v>0</v>
      </c>
      <c r="DH1656">
        <v>350.96</v>
      </c>
      <c r="DI1656">
        <v>351.96</v>
      </c>
    </row>
    <row r="1657" spans="1:113" ht="15" customHeight="1" x14ac:dyDescent="0.25">
      <c r="A1657" t="s">
        <v>7408</v>
      </c>
      <c r="B1657" t="s">
        <v>7409</v>
      </c>
      <c r="C1657" t="s">
        <v>7410</v>
      </c>
      <c r="D1657" t="s">
        <v>1234</v>
      </c>
      <c r="E1657" t="s">
        <v>1234</v>
      </c>
      <c r="F1657" t="s">
        <v>7411</v>
      </c>
      <c r="G1657">
        <v>2025</v>
      </c>
      <c r="H1657" t="s">
        <v>1160</v>
      </c>
      <c r="I1657" t="s">
        <v>1200</v>
      </c>
      <c r="J1657">
        <v>17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Y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S1657">
        <v>0</v>
      </c>
      <c r="AU1657">
        <v>0</v>
      </c>
      <c r="AV1657">
        <v>0</v>
      </c>
      <c r="AW1657">
        <v>0</v>
      </c>
      <c r="AX1657">
        <v>1</v>
      </c>
      <c r="AY1657">
        <v>31</v>
      </c>
      <c r="AZ1657">
        <v>4</v>
      </c>
      <c r="BA1657">
        <v>23</v>
      </c>
      <c r="BB1657">
        <v>11</v>
      </c>
      <c r="BC1657">
        <v>55</v>
      </c>
      <c r="BD1657">
        <v>3</v>
      </c>
      <c r="BE1657">
        <v>7.5</v>
      </c>
      <c r="BF1657">
        <v>52.5</v>
      </c>
      <c r="BG1657">
        <v>27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76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5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C1657">
        <v>0</v>
      </c>
      <c r="DD1657">
        <v>0</v>
      </c>
      <c r="DE1657">
        <v>0</v>
      </c>
      <c r="DF1657">
        <v>0</v>
      </c>
      <c r="DH1657">
        <v>6</v>
      </c>
      <c r="DI1657">
        <v>6</v>
      </c>
    </row>
    <row r="1658" spans="1:113" ht="15" customHeight="1" x14ac:dyDescent="0.25">
      <c r="A1658" t="s">
        <v>7412</v>
      </c>
      <c r="B1658" t="s">
        <v>1766</v>
      </c>
      <c r="C1658" t="s">
        <v>7413</v>
      </c>
      <c r="D1658" t="s">
        <v>1190</v>
      </c>
      <c r="E1658" t="s">
        <v>1190</v>
      </c>
      <c r="F1658" t="s">
        <v>7414</v>
      </c>
      <c r="G1658">
        <v>2025</v>
      </c>
      <c r="H1658" t="s">
        <v>1160</v>
      </c>
      <c r="I1658" t="s">
        <v>90</v>
      </c>
      <c r="J1658">
        <v>15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Y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>
        <v>0</v>
      </c>
      <c r="AU1658">
        <v>0</v>
      </c>
      <c r="AV1658">
        <v>0</v>
      </c>
      <c r="AW1658">
        <v>0</v>
      </c>
      <c r="AX1658">
        <v>0</v>
      </c>
      <c r="AY1658">
        <v>13</v>
      </c>
      <c r="AZ1658">
        <v>2</v>
      </c>
      <c r="BA1658">
        <v>28</v>
      </c>
      <c r="BB1658">
        <v>4</v>
      </c>
      <c r="BC1658">
        <v>12</v>
      </c>
      <c r="BD1658">
        <v>0</v>
      </c>
      <c r="BE1658">
        <v>1</v>
      </c>
      <c r="BF1658">
        <v>5</v>
      </c>
      <c r="BG1658">
        <v>2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1</v>
      </c>
      <c r="BR1658">
        <v>1</v>
      </c>
      <c r="BS1658">
        <v>0</v>
      </c>
      <c r="BT1658">
        <v>2</v>
      </c>
      <c r="BU1658">
        <v>10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C1658">
        <v>0</v>
      </c>
      <c r="DD1658">
        <v>0</v>
      </c>
      <c r="DE1658">
        <v>0</v>
      </c>
      <c r="DF1658">
        <v>0</v>
      </c>
      <c r="DH1658">
        <v>0</v>
      </c>
      <c r="DI1658">
        <v>0</v>
      </c>
    </row>
    <row r="1659" spans="1:113" ht="15" customHeight="1" x14ac:dyDescent="0.25">
      <c r="A1659" t="s">
        <v>7415</v>
      </c>
      <c r="B1659" t="s">
        <v>7416</v>
      </c>
      <c r="C1659" t="s">
        <v>991</v>
      </c>
      <c r="D1659" t="s">
        <v>10</v>
      </c>
      <c r="E1659" t="s">
        <v>10</v>
      </c>
      <c r="F1659" t="s">
        <v>7417</v>
      </c>
      <c r="G1659">
        <v>2025</v>
      </c>
      <c r="H1659" t="s">
        <v>1160</v>
      </c>
      <c r="I1659" t="s">
        <v>126</v>
      </c>
      <c r="J1659">
        <v>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Y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-0.46228136523859598</v>
      </c>
      <c r="AH1659">
        <v>0</v>
      </c>
      <c r="AI1659">
        <v>12</v>
      </c>
      <c r="AJ1659">
        <v>15</v>
      </c>
      <c r="AK1659">
        <v>178</v>
      </c>
      <c r="AL1659">
        <v>0</v>
      </c>
      <c r="AM1659">
        <v>0</v>
      </c>
      <c r="AN1659">
        <v>0</v>
      </c>
      <c r="AO1659">
        <v>179</v>
      </c>
      <c r="AP1659">
        <v>59</v>
      </c>
      <c r="AQ1659">
        <v>8</v>
      </c>
      <c r="AR1659">
        <v>12.489781276620599</v>
      </c>
      <c r="AS1659">
        <v>0</v>
      </c>
      <c r="AT1659">
        <v>0.994413407821229</v>
      </c>
      <c r="AU1659">
        <v>2.7726432532347502E-2</v>
      </c>
      <c r="AV1659">
        <v>3.9742451154529297E-2</v>
      </c>
      <c r="AW1659">
        <v>6.9409364606691795E-2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C1659">
        <v>0</v>
      </c>
      <c r="DD1659">
        <v>0</v>
      </c>
      <c r="DE1659">
        <v>0</v>
      </c>
      <c r="DF1659">
        <v>0</v>
      </c>
      <c r="DH1659">
        <v>17.899999999999999</v>
      </c>
      <c r="DI1659">
        <v>29.9</v>
      </c>
    </row>
    <row r="1660" spans="1:113" ht="15" customHeight="1" x14ac:dyDescent="0.25">
      <c r="A1660" t="s">
        <v>7418</v>
      </c>
      <c r="B1660" t="s">
        <v>7419</v>
      </c>
      <c r="C1660" t="s">
        <v>7420</v>
      </c>
      <c r="D1660" t="s">
        <v>1219</v>
      </c>
      <c r="E1660" t="s">
        <v>1220</v>
      </c>
      <c r="F1660" t="s">
        <v>7421</v>
      </c>
      <c r="G1660">
        <v>2025</v>
      </c>
      <c r="H1660" t="s">
        <v>1160</v>
      </c>
      <c r="I1660" t="s">
        <v>121</v>
      </c>
      <c r="J1660">
        <v>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Y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S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5</v>
      </c>
      <c r="BU1660">
        <v>39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C1660">
        <v>0</v>
      </c>
      <c r="DD1660">
        <v>0</v>
      </c>
      <c r="DE1660">
        <v>0</v>
      </c>
      <c r="DF1660">
        <v>0</v>
      </c>
      <c r="DH1660">
        <v>0</v>
      </c>
      <c r="DI1660">
        <v>0</v>
      </c>
    </row>
    <row r="1661" spans="1:113" ht="15" customHeight="1" x14ac:dyDescent="0.25">
      <c r="A1661" t="s">
        <v>7422</v>
      </c>
      <c r="B1661" t="s">
        <v>7423</v>
      </c>
      <c r="C1661" t="s">
        <v>7424</v>
      </c>
      <c r="D1661" t="s">
        <v>1234</v>
      </c>
      <c r="E1661" t="s">
        <v>1234</v>
      </c>
      <c r="F1661" t="s">
        <v>7425</v>
      </c>
      <c r="G1661">
        <v>2025</v>
      </c>
      <c r="H1661" t="s">
        <v>1160</v>
      </c>
      <c r="I1661" t="s">
        <v>142</v>
      </c>
      <c r="J1661">
        <v>16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Y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>
        <v>0</v>
      </c>
      <c r="AU1661">
        <v>0</v>
      </c>
      <c r="AV1661">
        <v>0</v>
      </c>
      <c r="AW1661">
        <v>0</v>
      </c>
      <c r="AX1661">
        <v>0</v>
      </c>
      <c r="AY1661">
        <v>94</v>
      </c>
      <c r="AZ1661">
        <v>3</v>
      </c>
      <c r="BA1661">
        <v>67</v>
      </c>
      <c r="BB1661">
        <v>7</v>
      </c>
      <c r="BC1661">
        <v>19</v>
      </c>
      <c r="BD1661">
        <v>0</v>
      </c>
      <c r="BE1661">
        <v>1</v>
      </c>
      <c r="BF1661">
        <v>7</v>
      </c>
      <c r="BG1661">
        <v>3</v>
      </c>
      <c r="BH1661">
        <v>0</v>
      </c>
      <c r="BI1661">
        <v>0</v>
      </c>
      <c r="BJ1661">
        <v>4</v>
      </c>
      <c r="BK1661">
        <v>0</v>
      </c>
      <c r="BL1661">
        <v>0</v>
      </c>
      <c r="BM1661">
        <v>0</v>
      </c>
      <c r="BN1661">
        <v>0</v>
      </c>
      <c r="BO1661">
        <v>1</v>
      </c>
      <c r="BP1661">
        <v>1</v>
      </c>
      <c r="BQ1661">
        <v>1</v>
      </c>
      <c r="BR1661">
        <v>1</v>
      </c>
      <c r="BS1661">
        <v>0</v>
      </c>
      <c r="BT1661">
        <v>5</v>
      </c>
      <c r="BU1661">
        <v>52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C1661">
        <v>0</v>
      </c>
      <c r="DD1661">
        <v>0</v>
      </c>
      <c r="DE1661">
        <v>0</v>
      </c>
      <c r="DF1661">
        <v>0</v>
      </c>
      <c r="DH1661">
        <v>0</v>
      </c>
      <c r="DI1661">
        <v>0</v>
      </c>
    </row>
    <row r="1662" spans="1:113" ht="15" customHeight="1" x14ac:dyDescent="0.25">
      <c r="A1662" t="s">
        <v>7426</v>
      </c>
      <c r="B1662" t="s">
        <v>7427</v>
      </c>
      <c r="C1662" t="s">
        <v>7428</v>
      </c>
      <c r="D1662" t="s">
        <v>1189</v>
      </c>
      <c r="E1662" t="s">
        <v>1190</v>
      </c>
      <c r="F1662" t="s">
        <v>7429</v>
      </c>
      <c r="G1662">
        <v>2025</v>
      </c>
      <c r="H1662" t="s">
        <v>1160</v>
      </c>
      <c r="I1662" t="s">
        <v>93</v>
      </c>
      <c r="J1662">
        <v>14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Y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>
        <v>0</v>
      </c>
      <c r="AU1662">
        <v>0</v>
      </c>
      <c r="AV1662">
        <v>0</v>
      </c>
      <c r="AW1662">
        <v>0</v>
      </c>
      <c r="AX1662">
        <v>0</v>
      </c>
      <c r="AY1662">
        <v>12</v>
      </c>
      <c r="AZ1662">
        <v>3</v>
      </c>
      <c r="BA1662">
        <v>12</v>
      </c>
      <c r="BB1662">
        <v>11</v>
      </c>
      <c r="BC1662">
        <v>40</v>
      </c>
      <c r="BD1662">
        <v>0</v>
      </c>
      <c r="BE1662">
        <v>8.5</v>
      </c>
      <c r="BF1662">
        <v>43.5</v>
      </c>
      <c r="BG1662">
        <v>11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C1662">
        <v>0</v>
      </c>
      <c r="DD1662">
        <v>0</v>
      </c>
      <c r="DE1662">
        <v>0</v>
      </c>
      <c r="DF1662">
        <v>0</v>
      </c>
      <c r="DH1662">
        <v>0</v>
      </c>
      <c r="DI1662">
        <v>0</v>
      </c>
    </row>
    <row r="1663" spans="1:113" ht="15" customHeight="1" x14ac:dyDescent="0.25">
      <c r="A1663" t="s">
        <v>7430</v>
      </c>
      <c r="B1663" t="s">
        <v>7431</v>
      </c>
      <c r="C1663" t="s">
        <v>7432</v>
      </c>
      <c r="D1663" t="s">
        <v>1350</v>
      </c>
      <c r="E1663" t="s">
        <v>1307</v>
      </c>
      <c r="F1663" t="s">
        <v>7433</v>
      </c>
      <c r="G1663">
        <v>2025</v>
      </c>
      <c r="H1663" t="s">
        <v>1160</v>
      </c>
      <c r="I1663" t="s">
        <v>138</v>
      </c>
      <c r="J1663">
        <v>17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Y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>
        <v>0</v>
      </c>
      <c r="AU1663">
        <v>0</v>
      </c>
      <c r="AV1663">
        <v>0</v>
      </c>
      <c r="AW1663">
        <v>0</v>
      </c>
      <c r="AX1663">
        <v>0</v>
      </c>
      <c r="AY1663">
        <v>58</v>
      </c>
      <c r="AZ1663">
        <v>1</v>
      </c>
      <c r="BA1663">
        <v>17</v>
      </c>
      <c r="BB1663">
        <v>3</v>
      </c>
      <c r="BC1663">
        <v>5</v>
      </c>
      <c r="BD1663">
        <v>0</v>
      </c>
      <c r="BE1663">
        <v>0</v>
      </c>
      <c r="BF1663">
        <v>0</v>
      </c>
      <c r="BG1663">
        <v>0</v>
      </c>
      <c r="BH1663">
        <v>3</v>
      </c>
      <c r="BI1663">
        <v>0</v>
      </c>
      <c r="BJ1663">
        <v>17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4</v>
      </c>
      <c r="BU1663">
        <v>26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C1663">
        <v>0</v>
      </c>
      <c r="DD1663">
        <v>0</v>
      </c>
      <c r="DE1663">
        <v>0</v>
      </c>
      <c r="DF1663">
        <v>0</v>
      </c>
      <c r="DH1663">
        <v>0</v>
      </c>
      <c r="DI1663">
        <v>0</v>
      </c>
    </row>
    <row r="1664" spans="1:113" ht="15" customHeight="1" x14ac:dyDescent="0.25">
      <c r="A1664" t="s">
        <v>7434</v>
      </c>
      <c r="B1664" t="s">
        <v>7435</v>
      </c>
      <c r="C1664" t="s">
        <v>7436</v>
      </c>
      <c r="D1664" t="s">
        <v>1684</v>
      </c>
      <c r="E1664" t="s">
        <v>1307</v>
      </c>
      <c r="F1664" t="s">
        <v>7437</v>
      </c>
      <c r="G1664">
        <v>2025</v>
      </c>
      <c r="H1664" t="s">
        <v>1160</v>
      </c>
      <c r="I1664" t="s">
        <v>139</v>
      </c>
      <c r="J1664">
        <v>13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Y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S1664">
        <v>0</v>
      </c>
      <c r="AU1664">
        <v>0</v>
      </c>
      <c r="AV1664">
        <v>0</v>
      </c>
      <c r="AW1664">
        <v>0</v>
      </c>
      <c r="AX1664">
        <v>0</v>
      </c>
      <c r="AY1664">
        <v>47</v>
      </c>
      <c r="AZ1664">
        <v>2</v>
      </c>
      <c r="BA1664">
        <v>29</v>
      </c>
      <c r="BB1664">
        <v>7</v>
      </c>
      <c r="BC1664">
        <v>19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2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</v>
      </c>
      <c r="BR1664">
        <v>1</v>
      </c>
      <c r="BS1664">
        <v>1</v>
      </c>
      <c r="BT1664">
        <v>1</v>
      </c>
      <c r="BU1664">
        <v>5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C1664">
        <v>0</v>
      </c>
      <c r="DD1664">
        <v>0</v>
      </c>
      <c r="DE1664">
        <v>0</v>
      </c>
      <c r="DF1664">
        <v>0</v>
      </c>
      <c r="DH1664">
        <v>0</v>
      </c>
      <c r="DI1664">
        <v>0</v>
      </c>
    </row>
    <row r="1665" spans="1:113" ht="15" customHeight="1" x14ac:dyDescent="0.25">
      <c r="A1665" t="s">
        <v>7438</v>
      </c>
      <c r="B1665" t="s">
        <v>7439</v>
      </c>
      <c r="C1665" t="s">
        <v>7440</v>
      </c>
      <c r="D1665" t="s">
        <v>1684</v>
      </c>
      <c r="E1665" t="s">
        <v>1307</v>
      </c>
      <c r="F1665" t="s">
        <v>7441</v>
      </c>
      <c r="G1665">
        <v>2025</v>
      </c>
      <c r="H1665" t="s">
        <v>1160</v>
      </c>
      <c r="I1665" t="s">
        <v>90</v>
      </c>
      <c r="J1665">
        <v>12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Y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>
        <v>0</v>
      </c>
      <c r="AU1665">
        <v>0</v>
      </c>
      <c r="AV1665">
        <v>0</v>
      </c>
      <c r="AW1665">
        <v>0</v>
      </c>
      <c r="AX1665">
        <v>0</v>
      </c>
      <c r="AY1665">
        <v>31</v>
      </c>
      <c r="AZ1665">
        <v>1</v>
      </c>
      <c r="BA1665">
        <v>27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2</v>
      </c>
      <c r="BI1665">
        <v>18</v>
      </c>
      <c r="BJ1665">
        <v>6</v>
      </c>
      <c r="BK1665">
        <v>0</v>
      </c>
      <c r="BL1665">
        <v>1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C1665">
        <v>0</v>
      </c>
      <c r="DD1665">
        <v>0</v>
      </c>
      <c r="DE1665">
        <v>0</v>
      </c>
      <c r="DF1665">
        <v>0</v>
      </c>
      <c r="DH1665">
        <v>0</v>
      </c>
      <c r="DI1665">
        <v>0</v>
      </c>
    </row>
    <row r="1666" spans="1:113" ht="15" customHeight="1" x14ac:dyDescent="0.25">
      <c r="A1666" t="s">
        <v>7442</v>
      </c>
      <c r="B1666" t="s">
        <v>1859</v>
      </c>
      <c r="C1666" t="s">
        <v>7443</v>
      </c>
      <c r="D1666" t="s">
        <v>1684</v>
      </c>
      <c r="E1666" t="s">
        <v>1307</v>
      </c>
      <c r="F1666" t="s">
        <v>7444</v>
      </c>
      <c r="G1666">
        <v>2025</v>
      </c>
      <c r="H1666" t="s">
        <v>1160</v>
      </c>
      <c r="I1666" t="s">
        <v>118</v>
      </c>
      <c r="J1666">
        <v>17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Y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S1666">
        <v>0</v>
      </c>
      <c r="AU1666">
        <v>0</v>
      </c>
      <c r="AV1666">
        <v>0</v>
      </c>
      <c r="AW1666">
        <v>0</v>
      </c>
      <c r="AX1666">
        <v>0</v>
      </c>
      <c r="AY1666">
        <v>47</v>
      </c>
      <c r="AZ1666">
        <v>2</v>
      </c>
      <c r="BA1666">
        <v>34</v>
      </c>
      <c r="BB1666">
        <v>2</v>
      </c>
      <c r="BC1666">
        <v>7</v>
      </c>
      <c r="BD1666">
        <v>0</v>
      </c>
      <c r="BE1666">
        <v>0</v>
      </c>
      <c r="BF1666">
        <v>0</v>
      </c>
      <c r="BG1666">
        <v>1</v>
      </c>
      <c r="BH1666">
        <v>0</v>
      </c>
      <c r="BI1666">
        <v>0</v>
      </c>
      <c r="BJ1666">
        <v>3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1</v>
      </c>
      <c r="BR1666">
        <v>1</v>
      </c>
      <c r="BS1666">
        <v>0</v>
      </c>
      <c r="BT1666">
        <v>5</v>
      </c>
      <c r="BU1666">
        <v>45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C1666">
        <v>0</v>
      </c>
      <c r="DD1666">
        <v>0</v>
      </c>
      <c r="DE1666">
        <v>0</v>
      </c>
      <c r="DF1666">
        <v>0</v>
      </c>
      <c r="DH1666">
        <v>0</v>
      </c>
      <c r="DI1666">
        <v>0</v>
      </c>
    </row>
    <row r="1667" spans="1:113" ht="15" customHeight="1" x14ac:dyDescent="0.25">
      <c r="A1667" t="s">
        <v>7445</v>
      </c>
      <c r="B1667" t="s">
        <v>7446</v>
      </c>
      <c r="C1667" t="s">
        <v>598</v>
      </c>
      <c r="D1667" t="s">
        <v>10</v>
      </c>
      <c r="E1667" t="s">
        <v>10</v>
      </c>
      <c r="F1667" t="s">
        <v>7447</v>
      </c>
      <c r="G1667">
        <v>2025</v>
      </c>
      <c r="H1667" t="s">
        <v>1160</v>
      </c>
      <c r="I1667" t="s">
        <v>115</v>
      </c>
      <c r="J1667">
        <v>17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Y1667">
        <v>0</v>
      </c>
      <c r="AA1667">
        <v>5</v>
      </c>
      <c r="AB1667">
        <v>12</v>
      </c>
      <c r="AC1667">
        <v>0</v>
      </c>
      <c r="AD1667">
        <v>0</v>
      </c>
      <c r="AE1667">
        <v>0</v>
      </c>
      <c r="AF1667">
        <v>2</v>
      </c>
      <c r="AG1667">
        <v>-1.72129826224409</v>
      </c>
      <c r="AH1667">
        <v>0</v>
      </c>
      <c r="AI1667">
        <v>65</v>
      </c>
      <c r="AJ1667">
        <v>104</v>
      </c>
      <c r="AK1667">
        <v>709</v>
      </c>
      <c r="AL1667">
        <v>6</v>
      </c>
      <c r="AM1667">
        <v>1</v>
      </c>
      <c r="AN1667">
        <v>1</v>
      </c>
      <c r="AO1667">
        <v>1321</v>
      </c>
      <c r="AP1667">
        <v>282</v>
      </c>
      <c r="AQ1667">
        <v>32</v>
      </c>
      <c r="AR1667">
        <v>9.7885287839311292</v>
      </c>
      <c r="AS1667">
        <v>3</v>
      </c>
      <c r="AT1667">
        <v>0.53671461014383104</v>
      </c>
      <c r="AU1667">
        <v>0.17808219178082199</v>
      </c>
      <c r="AV1667">
        <v>0.29434046345811099</v>
      </c>
      <c r="AW1667">
        <v>0.47316161209190999</v>
      </c>
      <c r="AX1667">
        <v>0</v>
      </c>
      <c r="AY1667">
        <v>2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3</v>
      </c>
      <c r="BU1667">
        <v>25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C1667">
        <v>0</v>
      </c>
      <c r="DD1667">
        <v>0</v>
      </c>
      <c r="DE1667">
        <v>0</v>
      </c>
      <c r="DF1667">
        <v>0</v>
      </c>
      <c r="DH1667">
        <v>112.1</v>
      </c>
      <c r="DI1667">
        <v>177.1</v>
      </c>
    </row>
    <row r="1668" spans="1:113" ht="15" customHeight="1" x14ac:dyDescent="0.25">
      <c r="A1668" t="s">
        <v>7448</v>
      </c>
      <c r="B1668" t="s">
        <v>7449</v>
      </c>
      <c r="C1668" t="s">
        <v>7450</v>
      </c>
      <c r="D1668" t="s">
        <v>1219</v>
      </c>
      <c r="E1668" t="s">
        <v>1220</v>
      </c>
      <c r="F1668" t="s">
        <v>7451</v>
      </c>
      <c r="G1668">
        <v>2025</v>
      </c>
      <c r="H1668" t="s">
        <v>1160</v>
      </c>
      <c r="I1668" t="s">
        <v>103</v>
      </c>
      <c r="J1668">
        <v>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Y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S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2</v>
      </c>
      <c r="BU1668">
        <v>14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C1668">
        <v>0</v>
      </c>
      <c r="DD1668">
        <v>0</v>
      </c>
      <c r="DE1668">
        <v>0</v>
      </c>
      <c r="DF1668">
        <v>0</v>
      </c>
      <c r="DH1668">
        <v>0</v>
      </c>
      <c r="DI1668">
        <v>0</v>
      </c>
    </row>
    <row r="1669" spans="1:113" ht="15" customHeight="1" x14ac:dyDescent="0.25">
      <c r="A1669" t="s">
        <v>7452</v>
      </c>
      <c r="B1669" t="s">
        <v>7453</v>
      </c>
      <c r="C1669" t="s">
        <v>7454</v>
      </c>
      <c r="D1669" t="s">
        <v>1684</v>
      </c>
      <c r="E1669" t="s">
        <v>1307</v>
      </c>
      <c r="F1669" t="s">
        <v>7455</v>
      </c>
      <c r="G1669">
        <v>2025</v>
      </c>
      <c r="H1669" t="s">
        <v>1160</v>
      </c>
      <c r="I1669" t="s">
        <v>99</v>
      </c>
      <c r="J1669">
        <v>16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Y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>
        <v>0</v>
      </c>
      <c r="AU1669">
        <v>0</v>
      </c>
      <c r="AV1669">
        <v>0</v>
      </c>
      <c r="AW1669">
        <v>0</v>
      </c>
      <c r="AX1669">
        <v>0</v>
      </c>
      <c r="AY1669">
        <v>52</v>
      </c>
      <c r="AZ1669">
        <v>1</v>
      </c>
      <c r="BA1669">
        <v>32</v>
      </c>
      <c r="BB1669">
        <v>4</v>
      </c>
      <c r="BC1669">
        <v>17</v>
      </c>
      <c r="BD1669">
        <v>0</v>
      </c>
      <c r="BE1669">
        <v>2</v>
      </c>
      <c r="BF1669">
        <v>10</v>
      </c>
      <c r="BG1669">
        <v>2</v>
      </c>
      <c r="BH1669">
        <v>3</v>
      </c>
      <c r="BI1669">
        <v>16</v>
      </c>
      <c r="BJ1669">
        <v>7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3</v>
      </c>
      <c r="BU1669">
        <v>35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C1669">
        <v>0</v>
      </c>
      <c r="DD1669">
        <v>0</v>
      </c>
      <c r="DE1669">
        <v>0</v>
      </c>
      <c r="DF1669">
        <v>0</v>
      </c>
      <c r="DH1669">
        <v>0</v>
      </c>
      <c r="DI1669">
        <v>0</v>
      </c>
    </row>
    <row r="1670" spans="1:113" ht="15" customHeight="1" x14ac:dyDescent="0.25">
      <c r="A1670" t="s">
        <v>7456</v>
      </c>
      <c r="B1670" t="s">
        <v>7457</v>
      </c>
      <c r="C1670" t="s">
        <v>796</v>
      </c>
      <c r="D1670" t="s">
        <v>431</v>
      </c>
      <c r="E1670" t="s">
        <v>431</v>
      </c>
      <c r="F1670" t="s">
        <v>7458</v>
      </c>
      <c r="G1670">
        <v>2025</v>
      </c>
      <c r="H1670" t="s">
        <v>1160</v>
      </c>
      <c r="I1670" t="s">
        <v>133</v>
      </c>
      <c r="J1670">
        <v>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Y1670">
        <v>0</v>
      </c>
      <c r="AA1670">
        <v>70</v>
      </c>
      <c r="AB1670">
        <v>288</v>
      </c>
      <c r="AC1670">
        <v>2</v>
      </c>
      <c r="AD1670">
        <v>2</v>
      </c>
      <c r="AE1670">
        <v>1</v>
      </c>
      <c r="AF1670">
        <v>17</v>
      </c>
      <c r="AG1670">
        <v>-5.6990197808262497</v>
      </c>
      <c r="AH1670">
        <v>0</v>
      </c>
      <c r="AI1670">
        <v>5</v>
      </c>
      <c r="AJ1670">
        <v>9</v>
      </c>
      <c r="AK1670">
        <v>44</v>
      </c>
      <c r="AL1670">
        <v>0</v>
      </c>
      <c r="AM1670">
        <v>0</v>
      </c>
      <c r="AN1670">
        <v>0</v>
      </c>
      <c r="AO1670">
        <v>-34</v>
      </c>
      <c r="AP1670">
        <v>60</v>
      </c>
      <c r="AQ1670">
        <v>2</v>
      </c>
      <c r="AR1670">
        <v>-1.6724522572017999</v>
      </c>
      <c r="AS1670">
        <v>0</v>
      </c>
      <c r="AT1670">
        <v>-1.29411764705882</v>
      </c>
      <c r="AU1670">
        <v>1.9480519480519501E-2</v>
      </c>
      <c r="AV1670">
        <v>-1.01130279595479E-2</v>
      </c>
      <c r="AW1670">
        <v>2.2141659649095698E-2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C1670">
        <v>0</v>
      </c>
      <c r="DD1670">
        <v>0</v>
      </c>
      <c r="DE1670">
        <v>0</v>
      </c>
      <c r="DF1670">
        <v>0</v>
      </c>
      <c r="DH1670">
        <v>43.2</v>
      </c>
      <c r="DI1670">
        <v>48.2</v>
      </c>
    </row>
    <row r="1671" spans="1:113" ht="15" customHeight="1" x14ac:dyDescent="0.25">
      <c r="A1671" t="s">
        <v>7459</v>
      </c>
      <c r="B1671" t="s">
        <v>7460</v>
      </c>
      <c r="C1671" t="s">
        <v>484</v>
      </c>
      <c r="D1671" t="s">
        <v>431</v>
      </c>
      <c r="E1671" t="s">
        <v>431</v>
      </c>
      <c r="F1671" t="s">
        <v>7461</v>
      </c>
      <c r="G1671">
        <v>2025</v>
      </c>
      <c r="H1671" t="s">
        <v>1160</v>
      </c>
      <c r="I1671" t="s">
        <v>99</v>
      </c>
      <c r="J1671">
        <v>17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Y1671">
        <v>0</v>
      </c>
      <c r="AA1671">
        <v>58</v>
      </c>
      <c r="AB1671">
        <v>275</v>
      </c>
      <c r="AC1671">
        <v>0</v>
      </c>
      <c r="AD1671">
        <v>0</v>
      </c>
      <c r="AE1671">
        <v>0</v>
      </c>
      <c r="AF1671">
        <v>15</v>
      </c>
      <c r="AG1671">
        <v>1.3505360862472999</v>
      </c>
      <c r="AH1671">
        <v>0</v>
      </c>
      <c r="AI1671">
        <v>10</v>
      </c>
      <c r="AJ1671">
        <v>13</v>
      </c>
      <c r="AK1671">
        <v>86</v>
      </c>
      <c r="AL1671">
        <v>2</v>
      </c>
      <c r="AM1671">
        <v>0</v>
      </c>
      <c r="AN1671">
        <v>0</v>
      </c>
      <c r="AO1671">
        <v>1</v>
      </c>
      <c r="AP1671">
        <v>99</v>
      </c>
      <c r="AQ1671">
        <v>7</v>
      </c>
      <c r="AR1671">
        <v>4.7065506921354698</v>
      </c>
      <c r="AS1671">
        <v>0</v>
      </c>
      <c r="AT1671">
        <v>86</v>
      </c>
      <c r="AU1671">
        <v>2.7139874739039699E-2</v>
      </c>
      <c r="AV1671">
        <v>2.7670171555063602E-4</v>
      </c>
      <c r="AW1671">
        <v>4.0903503309444901E-2</v>
      </c>
      <c r="AX1671">
        <v>1</v>
      </c>
      <c r="AY1671">
        <v>0</v>
      </c>
      <c r="AZ1671">
        <v>0</v>
      </c>
      <c r="BA1671">
        <v>1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31</v>
      </c>
      <c r="BY1671">
        <v>943</v>
      </c>
      <c r="BZ1671">
        <v>0</v>
      </c>
      <c r="CA1671">
        <v>0</v>
      </c>
      <c r="CB1671">
        <v>0</v>
      </c>
      <c r="CC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C1671">
        <v>0</v>
      </c>
      <c r="DD1671">
        <v>0</v>
      </c>
      <c r="DE1671">
        <v>0</v>
      </c>
      <c r="DF1671">
        <v>0</v>
      </c>
      <c r="DH1671">
        <v>54.1</v>
      </c>
      <c r="DI1671">
        <v>64.099999999999994</v>
      </c>
    </row>
    <row r="1672" spans="1:113" ht="15" customHeight="1" x14ac:dyDescent="0.25">
      <c r="A1672" t="s">
        <v>7462</v>
      </c>
      <c r="B1672" t="s">
        <v>7463</v>
      </c>
      <c r="C1672" t="s">
        <v>7464</v>
      </c>
      <c r="D1672" t="s">
        <v>1655</v>
      </c>
      <c r="E1672" t="s">
        <v>1220</v>
      </c>
      <c r="F1672" t="s">
        <v>7465</v>
      </c>
      <c r="G1672">
        <v>2025</v>
      </c>
      <c r="H1672" t="s">
        <v>1160</v>
      </c>
      <c r="I1672" t="s">
        <v>99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Y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S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1</v>
      </c>
      <c r="BU1672">
        <v>10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C1672">
        <v>0</v>
      </c>
      <c r="DD1672">
        <v>0</v>
      </c>
      <c r="DE1672">
        <v>0</v>
      </c>
      <c r="DF1672">
        <v>0</v>
      </c>
      <c r="DH1672">
        <v>0</v>
      </c>
      <c r="DI1672">
        <v>0</v>
      </c>
    </row>
    <row r="1673" spans="1:113" ht="15" customHeight="1" x14ac:dyDescent="0.25">
      <c r="A1673" t="s">
        <v>7466</v>
      </c>
      <c r="B1673" t="s">
        <v>7467</v>
      </c>
      <c r="C1673" t="s">
        <v>7468</v>
      </c>
      <c r="D1673" t="s">
        <v>1189</v>
      </c>
      <c r="E1673" t="s">
        <v>1190</v>
      </c>
      <c r="F1673" t="s">
        <v>7469</v>
      </c>
      <c r="G1673">
        <v>2025</v>
      </c>
      <c r="H1673" t="s">
        <v>1160</v>
      </c>
      <c r="I1673" t="s">
        <v>99</v>
      </c>
      <c r="J1673">
        <v>12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Y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S1673">
        <v>0</v>
      </c>
      <c r="AU1673">
        <v>0</v>
      </c>
      <c r="AV1673">
        <v>0</v>
      </c>
      <c r="AW1673">
        <v>0</v>
      </c>
      <c r="AX1673">
        <v>0</v>
      </c>
      <c r="AY1673">
        <v>11</v>
      </c>
      <c r="AZ1673">
        <v>0</v>
      </c>
      <c r="BA1673">
        <v>6</v>
      </c>
      <c r="BB1673">
        <v>1</v>
      </c>
      <c r="BC1673">
        <v>4</v>
      </c>
      <c r="BD1673">
        <v>0</v>
      </c>
      <c r="BE1673">
        <v>1</v>
      </c>
      <c r="BF1673">
        <v>4</v>
      </c>
      <c r="BG1673">
        <v>2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3</v>
      </c>
      <c r="BU1673">
        <v>27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C1673">
        <v>0</v>
      </c>
      <c r="DD1673">
        <v>0</v>
      </c>
      <c r="DE1673">
        <v>0</v>
      </c>
      <c r="DF1673">
        <v>0</v>
      </c>
      <c r="DH1673">
        <v>0</v>
      </c>
      <c r="DI1673">
        <v>0</v>
      </c>
    </row>
    <row r="1674" spans="1:113" ht="15" customHeight="1" x14ac:dyDescent="0.25">
      <c r="A1674" t="s">
        <v>7470</v>
      </c>
      <c r="B1674" t="s">
        <v>7471</v>
      </c>
      <c r="C1674" t="s">
        <v>792</v>
      </c>
      <c r="D1674" t="s">
        <v>10</v>
      </c>
      <c r="E1674" t="s">
        <v>10</v>
      </c>
      <c r="F1674" t="s">
        <v>7472</v>
      </c>
      <c r="G1674">
        <v>2025</v>
      </c>
      <c r="H1674" t="s">
        <v>1160</v>
      </c>
      <c r="I1674" t="s">
        <v>133</v>
      </c>
      <c r="J1674">
        <v>17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Y1674">
        <v>0</v>
      </c>
      <c r="AA1674">
        <v>17</v>
      </c>
      <c r="AB1674">
        <v>110</v>
      </c>
      <c r="AC1674">
        <v>1</v>
      </c>
      <c r="AD1674">
        <v>1</v>
      </c>
      <c r="AE1674">
        <v>1</v>
      </c>
      <c r="AF1674">
        <v>5</v>
      </c>
      <c r="AG1674">
        <v>0.11699448490981</v>
      </c>
      <c r="AH1674">
        <v>0</v>
      </c>
      <c r="AI1674">
        <v>46</v>
      </c>
      <c r="AJ1674">
        <v>65</v>
      </c>
      <c r="AK1674">
        <v>317</v>
      </c>
      <c r="AL1674">
        <v>3</v>
      </c>
      <c r="AM1674">
        <v>0</v>
      </c>
      <c r="AN1674">
        <v>0</v>
      </c>
      <c r="AO1674">
        <v>337</v>
      </c>
      <c r="AP1674">
        <v>253</v>
      </c>
      <c r="AQ1674">
        <v>16</v>
      </c>
      <c r="AR1674">
        <v>-9.8258572833106701</v>
      </c>
      <c r="AS1674">
        <v>0</v>
      </c>
      <c r="AT1674">
        <v>0.94065281899109798</v>
      </c>
      <c r="AU1674">
        <v>0.14069264069264101</v>
      </c>
      <c r="AV1674">
        <v>0.100237953599048</v>
      </c>
      <c r="AW1674">
        <v>0.281205528558295</v>
      </c>
      <c r="AX1674">
        <v>1</v>
      </c>
      <c r="AY1674">
        <v>2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2</v>
      </c>
      <c r="BU1674">
        <v>10</v>
      </c>
      <c r="BV1674">
        <v>20</v>
      </c>
      <c r="BW1674">
        <v>260</v>
      </c>
      <c r="BX1674">
        <v>36</v>
      </c>
      <c r="BY1674">
        <v>965</v>
      </c>
      <c r="BZ1674">
        <v>0</v>
      </c>
      <c r="CA1674">
        <v>0</v>
      </c>
      <c r="CB1674">
        <v>0</v>
      </c>
      <c r="CC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C1674">
        <v>0</v>
      </c>
      <c r="DD1674">
        <v>0</v>
      </c>
      <c r="DE1674">
        <v>0</v>
      </c>
      <c r="DF1674">
        <v>0</v>
      </c>
      <c r="DH1674">
        <v>70.7</v>
      </c>
      <c r="DI1674">
        <v>116.7</v>
      </c>
    </row>
    <row r="1675" spans="1:113" ht="15" customHeight="1" x14ac:dyDescent="0.25">
      <c r="A1675" t="s">
        <v>7473</v>
      </c>
      <c r="B1675" t="s">
        <v>7474</v>
      </c>
      <c r="C1675" t="s">
        <v>793</v>
      </c>
      <c r="D1675" t="s">
        <v>10</v>
      </c>
      <c r="E1675" t="s">
        <v>10</v>
      </c>
      <c r="F1675" t="s">
        <v>7475</v>
      </c>
      <c r="G1675">
        <v>2025</v>
      </c>
      <c r="H1675" t="s">
        <v>1160</v>
      </c>
      <c r="I1675" t="s">
        <v>133</v>
      </c>
      <c r="J1675">
        <v>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Y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H1675">
        <v>0</v>
      </c>
      <c r="AI1675">
        <v>3</v>
      </c>
      <c r="AJ1675">
        <v>5</v>
      </c>
      <c r="AK1675">
        <v>37</v>
      </c>
      <c r="AL1675">
        <v>0</v>
      </c>
      <c r="AM1675">
        <v>1</v>
      </c>
      <c r="AN1675">
        <v>1</v>
      </c>
      <c r="AO1675">
        <v>124</v>
      </c>
      <c r="AP1675">
        <v>8</v>
      </c>
      <c r="AQ1675">
        <v>1</v>
      </c>
      <c r="AR1675">
        <v>-5.3265495601808697</v>
      </c>
      <c r="AS1675">
        <v>0</v>
      </c>
      <c r="AT1675">
        <v>0.29838709677419401</v>
      </c>
      <c r="AU1675">
        <v>1.08225108225108E-2</v>
      </c>
      <c r="AV1675">
        <v>3.6882807852468801E-2</v>
      </c>
      <c r="AW1675">
        <v>4.2051731730494403E-2</v>
      </c>
      <c r="AX1675">
        <v>0</v>
      </c>
      <c r="AY1675">
        <v>0</v>
      </c>
      <c r="AZ1675">
        <v>0</v>
      </c>
      <c r="BA1675">
        <v>1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C1675">
        <v>0</v>
      </c>
      <c r="DD1675">
        <v>0</v>
      </c>
      <c r="DE1675">
        <v>0</v>
      </c>
      <c r="DF1675">
        <v>0</v>
      </c>
      <c r="DH1675">
        <v>1.7</v>
      </c>
      <c r="DI1675">
        <v>4.7</v>
      </c>
    </row>
    <row r="1676" spans="1:113" ht="15" customHeight="1" x14ac:dyDescent="0.25">
      <c r="A1676" t="s">
        <v>7476</v>
      </c>
      <c r="B1676" t="s">
        <v>7477</v>
      </c>
      <c r="C1676" t="s">
        <v>7478</v>
      </c>
      <c r="D1676" t="s">
        <v>1243</v>
      </c>
      <c r="E1676" t="s">
        <v>1190</v>
      </c>
      <c r="F1676" t="s">
        <v>7479</v>
      </c>
      <c r="G1676">
        <v>2025</v>
      </c>
      <c r="H1676" t="s">
        <v>1160</v>
      </c>
      <c r="I1676" t="s">
        <v>142</v>
      </c>
      <c r="J1676">
        <v>12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Y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S1676">
        <v>0</v>
      </c>
      <c r="AU1676">
        <v>0</v>
      </c>
      <c r="AV1676">
        <v>0</v>
      </c>
      <c r="AW1676">
        <v>0</v>
      </c>
      <c r="AX1676">
        <v>0</v>
      </c>
      <c r="AY1676">
        <v>14</v>
      </c>
      <c r="AZ1676">
        <v>2</v>
      </c>
      <c r="BA1676">
        <v>18</v>
      </c>
      <c r="BB1676">
        <v>4</v>
      </c>
      <c r="BC1676">
        <v>13</v>
      </c>
      <c r="BD1676">
        <v>0</v>
      </c>
      <c r="BE1676">
        <v>2</v>
      </c>
      <c r="BF1676">
        <v>10</v>
      </c>
      <c r="BG1676">
        <v>3</v>
      </c>
      <c r="BH1676">
        <v>0</v>
      </c>
      <c r="BI1676">
        <v>0</v>
      </c>
      <c r="BJ1676">
        <v>1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C1676">
        <v>0</v>
      </c>
      <c r="DD1676">
        <v>0</v>
      </c>
      <c r="DE1676">
        <v>0</v>
      </c>
      <c r="DF1676">
        <v>0</v>
      </c>
      <c r="DH1676">
        <v>0</v>
      </c>
      <c r="DI1676">
        <v>0</v>
      </c>
    </row>
    <row r="1677" spans="1:113" ht="15" customHeight="1" x14ac:dyDescent="0.25">
      <c r="A1677" t="s">
        <v>7480</v>
      </c>
      <c r="B1677" t="s">
        <v>7481</v>
      </c>
      <c r="C1677" t="s">
        <v>7482</v>
      </c>
      <c r="D1677" t="s">
        <v>1350</v>
      </c>
      <c r="E1677" t="s">
        <v>1307</v>
      </c>
      <c r="F1677" t="s">
        <v>7483</v>
      </c>
      <c r="G1677">
        <v>2025</v>
      </c>
      <c r="H1677" t="s">
        <v>1160</v>
      </c>
      <c r="I1677" t="s">
        <v>120</v>
      </c>
      <c r="J1677">
        <v>16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Y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S1677">
        <v>0</v>
      </c>
      <c r="AU1677">
        <v>0</v>
      </c>
      <c r="AV1677">
        <v>0</v>
      </c>
      <c r="AW1677">
        <v>0</v>
      </c>
      <c r="AX1677">
        <v>0</v>
      </c>
      <c r="AY1677">
        <v>35</v>
      </c>
      <c r="AZ1677">
        <v>0</v>
      </c>
      <c r="BA1677">
        <v>10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17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</v>
      </c>
      <c r="BR1677">
        <v>1</v>
      </c>
      <c r="BS1677">
        <v>0</v>
      </c>
      <c r="BT1677">
        <v>6</v>
      </c>
      <c r="BU1677">
        <v>94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C1677">
        <v>0</v>
      </c>
      <c r="DD1677">
        <v>0</v>
      </c>
      <c r="DE1677">
        <v>0</v>
      </c>
      <c r="DF1677">
        <v>0</v>
      </c>
      <c r="DH1677">
        <v>0</v>
      </c>
      <c r="DI1677">
        <v>0</v>
      </c>
    </row>
    <row r="1678" spans="1:113" ht="15" customHeight="1" x14ac:dyDescent="0.25">
      <c r="A1678" t="s">
        <v>7484</v>
      </c>
      <c r="B1678" t="s">
        <v>5835</v>
      </c>
      <c r="C1678" t="s">
        <v>7485</v>
      </c>
      <c r="D1678" t="s">
        <v>1243</v>
      </c>
      <c r="E1678" t="s">
        <v>1190</v>
      </c>
      <c r="F1678" t="s">
        <v>7486</v>
      </c>
      <c r="G1678">
        <v>2025</v>
      </c>
      <c r="H1678" t="s">
        <v>1160</v>
      </c>
      <c r="I1678" t="s">
        <v>106</v>
      </c>
      <c r="J1678">
        <v>11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Y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S1678">
        <v>0</v>
      </c>
      <c r="AU1678">
        <v>0</v>
      </c>
      <c r="AV1678">
        <v>0</v>
      </c>
      <c r="AW1678">
        <v>0</v>
      </c>
      <c r="AX1678">
        <v>0</v>
      </c>
      <c r="AY1678">
        <v>4</v>
      </c>
      <c r="AZ1678">
        <v>0</v>
      </c>
      <c r="BA1678">
        <v>11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4</v>
      </c>
      <c r="BU1678">
        <v>36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C1678">
        <v>0</v>
      </c>
      <c r="DD1678">
        <v>0</v>
      </c>
      <c r="DE1678">
        <v>0</v>
      </c>
      <c r="DF1678">
        <v>0</v>
      </c>
      <c r="DH1678">
        <v>0</v>
      </c>
      <c r="DI1678">
        <v>0</v>
      </c>
    </row>
    <row r="1679" spans="1:113" ht="15" customHeight="1" x14ac:dyDescent="0.25">
      <c r="A1679" t="s">
        <v>7487</v>
      </c>
      <c r="B1679" t="s">
        <v>7488</v>
      </c>
      <c r="C1679" t="s">
        <v>888</v>
      </c>
      <c r="D1679" t="s">
        <v>10</v>
      </c>
      <c r="E1679" t="s">
        <v>10</v>
      </c>
      <c r="F1679" t="s">
        <v>7489</v>
      </c>
      <c r="G1679">
        <v>2025</v>
      </c>
      <c r="H1679" t="s">
        <v>1160</v>
      </c>
      <c r="I1679" t="s">
        <v>101</v>
      </c>
      <c r="J1679">
        <v>16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Y1679">
        <v>0</v>
      </c>
      <c r="AA1679">
        <v>1</v>
      </c>
      <c r="AB1679">
        <v>-4</v>
      </c>
      <c r="AC1679">
        <v>0</v>
      </c>
      <c r="AD1679">
        <v>0</v>
      </c>
      <c r="AE1679">
        <v>0</v>
      </c>
      <c r="AF1679">
        <v>0</v>
      </c>
      <c r="AG1679">
        <v>-1.1126403328380501</v>
      </c>
      <c r="AH1679">
        <v>0</v>
      </c>
      <c r="AI1679">
        <v>33</v>
      </c>
      <c r="AJ1679">
        <v>74</v>
      </c>
      <c r="AK1679">
        <v>453</v>
      </c>
      <c r="AL1679">
        <v>2</v>
      </c>
      <c r="AM1679">
        <v>1</v>
      </c>
      <c r="AN1679">
        <v>1</v>
      </c>
      <c r="AO1679">
        <v>1102</v>
      </c>
      <c r="AP1679">
        <v>80</v>
      </c>
      <c r="AQ1679">
        <v>16</v>
      </c>
      <c r="AR1679">
        <v>-16.110096483359801</v>
      </c>
      <c r="AS1679">
        <v>0</v>
      </c>
      <c r="AT1679">
        <v>0.41107078039927403</v>
      </c>
      <c r="AU1679">
        <v>0.13962264150943399</v>
      </c>
      <c r="AV1679">
        <v>0.25159817351598202</v>
      </c>
      <c r="AW1679">
        <v>0.38555268372533802</v>
      </c>
      <c r="AX1679">
        <v>0</v>
      </c>
      <c r="AY1679">
        <v>3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</v>
      </c>
      <c r="BU1679">
        <v>10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C1679">
        <v>0</v>
      </c>
      <c r="DD1679">
        <v>0</v>
      </c>
      <c r="DE1679">
        <v>0</v>
      </c>
      <c r="DF1679">
        <v>0</v>
      </c>
      <c r="DH1679">
        <v>54.9</v>
      </c>
      <c r="DI1679">
        <v>87.9</v>
      </c>
    </row>
    <row r="1680" spans="1:113" ht="15" customHeight="1" x14ac:dyDescent="0.25">
      <c r="A1680" t="s">
        <v>7490</v>
      </c>
      <c r="B1680" t="s">
        <v>7491</v>
      </c>
      <c r="C1680" t="s">
        <v>701</v>
      </c>
      <c r="D1680" t="s">
        <v>10</v>
      </c>
      <c r="E1680" t="s">
        <v>10</v>
      </c>
      <c r="F1680" t="s">
        <v>7492</v>
      </c>
      <c r="G1680">
        <v>2025</v>
      </c>
      <c r="H1680" t="s">
        <v>1160</v>
      </c>
      <c r="I1680" t="s">
        <v>106</v>
      </c>
      <c r="J1680">
        <v>14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Y1680">
        <v>0</v>
      </c>
      <c r="AA1680">
        <v>3</v>
      </c>
      <c r="AB1680">
        <v>21</v>
      </c>
      <c r="AC1680">
        <v>1</v>
      </c>
      <c r="AD1680">
        <v>0</v>
      </c>
      <c r="AE1680">
        <v>0</v>
      </c>
      <c r="AF1680">
        <v>2</v>
      </c>
      <c r="AG1680">
        <v>2.86268166603986</v>
      </c>
      <c r="AH1680">
        <v>0</v>
      </c>
      <c r="AI1680">
        <v>48</v>
      </c>
      <c r="AJ1680">
        <v>91</v>
      </c>
      <c r="AK1680">
        <v>707</v>
      </c>
      <c r="AL1680">
        <v>2</v>
      </c>
      <c r="AM1680">
        <v>0</v>
      </c>
      <c r="AN1680">
        <v>0</v>
      </c>
      <c r="AO1680">
        <v>1315</v>
      </c>
      <c r="AP1680">
        <v>159</v>
      </c>
      <c r="AQ1680">
        <v>33</v>
      </c>
      <c r="AR1680">
        <v>17.201031782087799</v>
      </c>
      <c r="AS1680">
        <v>0</v>
      </c>
      <c r="AT1680">
        <v>0.53764258555133104</v>
      </c>
      <c r="AU1680">
        <v>0.16636197440584999</v>
      </c>
      <c r="AV1680">
        <v>0.26946721311475402</v>
      </c>
      <c r="AW1680">
        <v>0.438170010789103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2</v>
      </c>
      <c r="BU1680">
        <v>24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C1680">
        <v>0</v>
      </c>
      <c r="DD1680">
        <v>0</v>
      </c>
      <c r="DE1680">
        <v>0</v>
      </c>
      <c r="DF1680">
        <v>0</v>
      </c>
      <c r="DH1680">
        <v>90.8</v>
      </c>
      <c r="DI1680">
        <v>138.80000000000001</v>
      </c>
    </row>
    <row r="1681" spans="1:113" ht="15" customHeight="1" x14ac:dyDescent="0.25">
      <c r="A1681" t="s">
        <v>7493</v>
      </c>
      <c r="B1681" t="s">
        <v>7494</v>
      </c>
      <c r="C1681" t="s">
        <v>722</v>
      </c>
      <c r="D1681" t="s">
        <v>10</v>
      </c>
      <c r="E1681" t="s">
        <v>10</v>
      </c>
      <c r="F1681" t="s">
        <v>7495</v>
      </c>
      <c r="G1681">
        <v>2025</v>
      </c>
      <c r="H1681" t="s">
        <v>1160</v>
      </c>
      <c r="I1681" t="s">
        <v>123</v>
      </c>
      <c r="J1681">
        <v>14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Y1681">
        <v>0</v>
      </c>
      <c r="AA1681">
        <v>11</v>
      </c>
      <c r="AB1681">
        <v>87</v>
      </c>
      <c r="AC1681">
        <v>0</v>
      </c>
      <c r="AD1681">
        <v>0</v>
      </c>
      <c r="AE1681">
        <v>0</v>
      </c>
      <c r="AF1681">
        <v>4</v>
      </c>
      <c r="AG1681">
        <v>3.5847907446441201</v>
      </c>
      <c r="AH1681">
        <v>0</v>
      </c>
      <c r="AI1681">
        <v>42</v>
      </c>
      <c r="AJ1681">
        <v>73</v>
      </c>
      <c r="AK1681">
        <v>532</v>
      </c>
      <c r="AL1681">
        <v>1</v>
      </c>
      <c r="AM1681">
        <v>0</v>
      </c>
      <c r="AN1681">
        <v>0</v>
      </c>
      <c r="AO1681">
        <v>944</v>
      </c>
      <c r="AP1681">
        <v>193</v>
      </c>
      <c r="AQ1681">
        <v>22</v>
      </c>
      <c r="AR1681">
        <v>14.828012368603799</v>
      </c>
      <c r="AS1681">
        <v>0</v>
      </c>
      <c r="AT1681">
        <v>0.56355932203389802</v>
      </c>
      <c r="AU1681">
        <v>0.132969034608379</v>
      </c>
      <c r="AV1681">
        <v>0.20825060666225501</v>
      </c>
      <c r="AW1681">
        <v>0.34522897657614698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1</v>
      </c>
      <c r="BQ1681">
        <v>0</v>
      </c>
      <c r="BR1681">
        <v>0</v>
      </c>
      <c r="BS1681">
        <v>0</v>
      </c>
      <c r="BT1681">
        <v>1</v>
      </c>
      <c r="BU1681">
        <v>10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C1681">
        <v>0</v>
      </c>
      <c r="DD1681">
        <v>0</v>
      </c>
      <c r="DE1681">
        <v>0</v>
      </c>
      <c r="DF1681">
        <v>0</v>
      </c>
      <c r="DH1681">
        <v>67.900000000000006</v>
      </c>
      <c r="DI1681">
        <v>109.9</v>
      </c>
    </row>
    <row r="1682" spans="1:113" ht="15" customHeight="1" x14ac:dyDescent="0.25">
      <c r="A1682" t="s">
        <v>7496</v>
      </c>
      <c r="B1682" t="s">
        <v>7497</v>
      </c>
      <c r="C1682" t="s">
        <v>7498</v>
      </c>
      <c r="D1682" t="s">
        <v>1243</v>
      </c>
      <c r="E1682" t="s">
        <v>1190</v>
      </c>
      <c r="F1682" t="s">
        <v>7499</v>
      </c>
      <c r="G1682">
        <v>2025</v>
      </c>
      <c r="H1682" t="s">
        <v>1160</v>
      </c>
      <c r="I1682" t="s">
        <v>109</v>
      </c>
      <c r="J1682">
        <v>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Y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S1682">
        <v>0</v>
      </c>
      <c r="AU1682">
        <v>0</v>
      </c>
      <c r="AV1682">
        <v>0</v>
      </c>
      <c r="AW1682">
        <v>0</v>
      </c>
      <c r="AX1682">
        <v>0</v>
      </c>
      <c r="AY1682">
        <v>4</v>
      </c>
      <c r="AZ1682">
        <v>0</v>
      </c>
      <c r="BA1682">
        <v>7</v>
      </c>
      <c r="BB1682">
        <v>2</v>
      </c>
      <c r="BC1682">
        <v>14</v>
      </c>
      <c r="BD1682">
        <v>0</v>
      </c>
      <c r="BE1682">
        <v>1.5</v>
      </c>
      <c r="BF1682">
        <v>13</v>
      </c>
      <c r="BG1682">
        <v>4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C1682">
        <v>0</v>
      </c>
      <c r="DD1682">
        <v>0</v>
      </c>
      <c r="DE1682">
        <v>0</v>
      </c>
      <c r="DF1682">
        <v>0</v>
      </c>
      <c r="DH1682">
        <v>0</v>
      </c>
      <c r="DI1682">
        <v>0</v>
      </c>
    </row>
    <row r="1683" spans="1:113" ht="15" customHeight="1" x14ac:dyDescent="0.25">
      <c r="A1683" t="s">
        <v>7500</v>
      </c>
      <c r="B1683" t="s">
        <v>7501</v>
      </c>
      <c r="C1683" t="s">
        <v>7502</v>
      </c>
      <c r="D1683" t="s">
        <v>1655</v>
      </c>
      <c r="E1683" t="s">
        <v>1220</v>
      </c>
      <c r="F1683" t="s">
        <v>7503</v>
      </c>
      <c r="G1683">
        <v>2025</v>
      </c>
      <c r="H1683" t="s">
        <v>1160</v>
      </c>
      <c r="I1683" t="s">
        <v>103</v>
      </c>
      <c r="J1683">
        <v>5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Y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S1683">
        <v>0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1</v>
      </c>
      <c r="BQ1683">
        <v>0</v>
      </c>
      <c r="BR1683">
        <v>0</v>
      </c>
      <c r="BS1683">
        <v>0</v>
      </c>
      <c r="BT1683">
        <v>3</v>
      </c>
      <c r="BU1683">
        <v>25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C1683">
        <v>0</v>
      </c>
      <c r="DD1683">
        <v>0</v>
      </c>
      <c r="DE1683">
        <v>0</v>
      </c>
      <c r="DF1683">
        <v>0</v>
      </c>
      <c r="DH1683">
        <v>0</v>
      </c>
      <c r="DI1683">
        <v>0</v>
      </c>
    </row>
    <row r="1684" spans="1:113" ht="15" customHeight="1" x14ac:dyDescent="0.25">
      <c r="A1684" t="s">
        <v>7504</v>
      </c>
      <c r="B1684" t="s">
        <v>7505</v>
      </c>
      <c r="C1684" t="s">
        <v>7506</v>
      </c>
      <c r="D1684" t="s">
        <v>1219</v>
      </c>
      <c r="E1684" t="s">
        <v>1220</v>
      </c>
      <c r="F1684" t="s">
        <v>7507</v>
      </c>
      <c r="G1684">
        <v>2025</v>
      </c>
      <c r="H1684" t="s">
        <v>1160</v>
      </c>
      <c r="I1684" t="s">
        <v>131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Y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S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</v>
      </c>
      <c r="BU1684">
        <v>5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C1684">
        <v>0</v>
      </c>
      <c r="DD1684">
        <v>0</v>
      </c>
      <c r="DE1684">
        <v>0</v>
      </c>
      <c r="DF1684">
        <v>0</v>
      </c>
      <c r="DH1684">
        <v>0</v>
      </c>
      <c r="DI1684">
        <v>0</v>
      </c>
    </row>
    <row r="1685" spans="1:113" ht="15" customHeight="1" x14ac:dyDescent="0.25">
      <c r="A1685" t="s">
        <v>7508</v>
      </c>
      <c r="B1685" t="s">
        <v>7509</v>
      </c>
      <c r="C1685" t="s">
        <v>7510</v>
      </c>
      <c r="D1685" t="s">
        <v>1350</v>
      </c>
      <c r="E1685" t="s">
        <v>1307</v>
      </c>
      <c r="F1685" t="s">
        <v>7511</v>
      </c>
      <c r="G1685">
        <v>2025</v>
      </c>
      <c r="H1685" t="s">
        <v>1160</v>
      </c>
      <c r="I1685" t="s">
        <v>143</v>
      </c>
      <c r="J1685">
        <v>17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Y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S1685">
        <v>0</v>
      </c>
      <c r="AU1685">
        <v>0</v>
      </c>
      <c r="AV1685">
        <v>0</v>
      </c>
      <c r="AW1685">
        <v>0</v>
      </c>
      <c r="AX1685">
        <v>0</v>
      </c>
      <c r="AY1685">
        <v>50</v>
      </c>
      <c r="AZ1685">
        <v>1</v>
      </c>
      <c r="BA1685">
        <v>34</v>
      </c>
      <c r="BB1685">
        <v>1</v>
      </c>
      <c r="BC1685">
        <v>2</v>
      </c>
      <c r="BD1685">
        <v>1</v>
      </c>
      <c r="BE1685">
        <v>0</v>
      </c>
      <c r="BF1685">
        <v>0</v>
      </c>
      <c r="BG1685">
        <v>0</v>
      </c>
      <c r="BH1685">
        <v>4</v>
      </c>
      <c r="BI1685">
        <v>78</v>
      </c>
      <c r="BJ1685">
        <v>12</v>
      </c>
      <c r="BK1685">
        <v>0</v>
      </c>
      <c r="BL1685">
        <v>1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2</v>
      </c>
      <c r="BU1685">
        <v>10</v>
      </c>
      <c r="BV1685">
        <v>1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C1685">
        <v>0</v>
      </c>
      <c r="DD1685">
        <v>0</v>
      </c>
      <c r="DE1685">
        <v>0</v>
      </c>
      <c r="DF1685">
        <v>0</v>
      </c>
      <c r="DH1685">
        <v>0</v>
      </c>
      <c r="DI1685">
        <v>0</v>
      </c>
    </row>
    <row r="1686" spans="1:113" ht="15" customHeight="1" x14ac:dyDescent="0.25">
      <c r="A1686" t="s">
        <v>7512</v>
      </c>
      <c r="B1686" t="s">
        <v>7513</v>
      </c>
      <c r="C1686" t="s">
        <v>7514</v>
      </c>
      <c r="D1686" t="s">
        <v>1219</v>
      </c>
      <c r="E1686" t="s">
        <v>1220</v>
      </c>
      <c r="F1686" t="s">
        <v>7515</v>
      </c>
      <c r="G1686">
        <v>2025</v>
      </c>
      <c r="H1686" t="s">
        <v>1160</v>
      </c>
      <c r="I1686" t="s">
        <v>133</v>
      </c>
      <c r="J1686">
        <v>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Y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S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1</v>
      </c>
      <c r="BP1686">
        <v>1</v>
      </c>
      <c r="BQ1686">
        <v>0</v>
      </c>
      <c r="BR1686">
        <v>0</v>
      </c>
      <c r="BS1686">
        <v>0</v>
      </c>
      <c r="BT1686">
        <v>8</v>
      </c>
      <c r="BU1686">
        <v>47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C1686">
        <v>0</v>
      </c>
      <c r="DD1686">
        <v>0</v>
      </c>
      <c r="DE1686">
        <v>0</v>
      </c>
      <c r="DF1686">
        <v>0</v>
      </c>
      <c r="DH1686">
        <v>0</v>
      </c>
      <c r="DI1686">
        <v>0</v>
      </c>
    </row>
    <row r="1687" spans="1:113" ht="15" customHeight="1" x14ac:dyDescent="0.25">
      <c r="A1687" t="s">
        <v>7516</v>
      </c>
      <c r="B1687" t="s">
        <v>7517</v>
      </c>
      <c r="C1687" t="s">
        <v>7518</v>
      </c>
      <c r="D1687" t="s">
        <v>1189</v>
      </c>
      <c r="E1687" t="s">
        <v>1190</v>
      </c>
      <c r="F1687" t="s">
        <v>7519</v>
      </c>
      <c r="G1687">
        <v>2025</v>
      </c>
      <c r="H1687" t="s">
        <v>1160</v>
      </c>
      <c r="I1687" t="s">
        <v>112</v>
      </c>
      <c r="J1687">
        <v>7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Y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S1687">
        <v>0</v>
      </c>
      <c r="AU1687">
        <v>0</v>
      </c>
      <c r="AV1687">
        <v>0</v>
      </c>
      <c r="AW1687">
        <v>0</v>
      </c>
      <c r="AX1687">
        <v>1</v>
      </c>
      <c r="AY1687">
        <v>6</v>
      </c>
      <c r="AZ1687">
        <v>0</v>
      </c>
      <c r="BA1687">
        <v>6</v>
      </c>
      <c r="BB1687">
        <v>3</v>
      </c>
      <c r="BC1687">
        <v>20</v>
      </c>
      <c r="BD1687">
        <v>0</v>
      </c>
      <c r="BE1687">
        <v>1</v>
      </c>
      <c r="BF1687">
        <v>8</v>
      </c>
      <c r="BG1687">
        <v>1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C1687">
        <v>0</v>
      </c>
      <c r="DD1687">
        <v>0</v>
      </c>
      <c r="DE1687">
        <v>0</v>
      </c>
      <c r="DF1687">
        <v>0</v>
      </c>
      <c r="DH1687">
        <v>6</v>
      </c>
      <c r="DI1687">
        <v>6</v>
      </c>
    </row>
    <row r="1688" spans="1:113" ht="15" customHeight="1" x14ac:dyDescent="0.25">
      <c r="A1688" t="s">
        <v>7520</v>
      </c>
      <c r="B1688" t="s">
        <v>7521</v>
      </c>
      <c r="C1688" t="s">
        <v>482</v>
      </c>
      <c r="D1688" t="s">
        <v>10</v>
      </c>
      <c r="E1688" t="s">
        <v>10</v>
      </c>
      <c r="F1688" t="s">
        <v>7522</v>
      </c>
      <c r="G1688">
        <v>2025</v>
      </c>
      <c r="H1688" t="s">
        <v>1160</v>
      </c>
      <c r="I1688" t="s">
        <v>99</v>
      </c>
      <c r="J1688">
        <v>12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Y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H1688">
        <v>0</v>
      </c>
      <c r="AI1688">
        <v>38</v>
      </c>
      <c r="AJ1688">
        <v>59</v>
      </c>
      <c r="AK1688">
        <v>404</v>
      </c>
      <c r="AL1688">
        <v>4</v>
      </c>
      <c r="AM1688">
        <v>1</v>
      </c>
      <c r="AN1688">
        <v>1</v>
      </c>
      <c r="AO1688">
        <v>659</v>
      </c>
      <c r="AP1688">
        <v>88</v>
      </c>
      <c r="AQ1688">
        <v>26</v>
      </c>
      <c r="AR1688">
        <v>12.3911374161693</v>
      </c>
      <c r="AS1688">
        <v>1</v>
      </c>
      <c r="AT1688">
        <v>0.61305007587253402</v>
      </c>
      <c r="AU1688">
        <v>0.12317327766179501</v>
      </c>
      <c r="AV1688">
        <v>0.182346430547869</v>
      </c>
      <c r="AW1688">
        <v>0.31240241787620199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1</v>
      </c>
      <c r="BU1688">
        <v>10</v>
      </c>
      <c r="BV1688">
        <v>2</v>
      </c>
      <c r="BW1688">
        <v>8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C1688">
        <v>0</v>
      </c>
      <c r="DD1688">
        <v>0</v>
      </c>
      <c r="DE1688">
        <v>0</v>
      </c>
      <c r="DF1688">
        <v>0</v>
      </c>
      <c r="DH1688">
        <v>64.400000000000006</v>
      </c>
      <c r="DI1688">
        <v>102.4</v>
      </c>
    </row>
    <row r="1689" spans="1:113" ht="15" customHeight="1" x14ac:dyDescent="0.25">
      <c r="A1689" t="s">
        <v>7523</v>
      </c>
      <c r="B1689" t="s">
        <v>6040</v>
      </c>
      <c r="C1689" t="s">
        <v>7524</v>
      </c>
      <c r="D1689" t="s">
        <v>1234</v>
      </c>
      <c r="E1689" t="s">
        <v>1234</v>
      </c>
      <c r="F1689" t="s">
        <v>7525</v>
      </c>
      <c r="G1689">
        <v>2025</v>
      </c>
      <c r="H1689" t="s">
        <v>1160</v>
      </c>
      <c r="I1689" t="s">
        <v>126</v>
      </c>
      <c r="J1689">
        <v>13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Y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S1689">
        <v>0</v>
      </c>
      <c r="AU1689">
        <v>0</v>
      </c>
      <c r="AV1689">
        <v>0</v>
      </c>
      <c r="AW1689">
        <v>0</v>
      </c>
      <c r="AX1689">
        <v>0</v>
      </c>
      <c r="AY1689">
        <v>20</v>
      </c>
      <c r="AZ1689">
        <v>1</v>
      </c>
      <c r="BA1689">
        <v>9</v>
      </c>
      <c r="BB1689">
        <v>4</v>
      </c>
      <c r="BC1689">
        <v>32</v>
      </c>
      <c r="BD1689">
        <v>0</v>
      </c>
      <c r="BE1689">
        <v>1</v>
      </c>
      <c r="BF1689">
        <v>13</v>
      </c>
      <c r="BG1689">
        <v>4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4</v>
      </c>
      <c r="BU1689">
        <v>19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C1689">
        <v>0</v>
      </c>
      <c r="DD1689">
        <v>0</v>
      </c>
      <c r="DE1689">
        <v>0</v>
      </c>
      <c r="DF1689">
        <v>0</v>
      </c>
      <c r="DH1689">
        <v>0</v>
      </c>
      <c r="DI1689">
        <v>0</v>
      </c>
    </row>
    <row r="1690" spans="1:113" ht="15" customHeight="1" x14ac:dyDescent="0.25">
      <c r="A1690" t="s">
        <v>7526</v>
      </c>
      <c r="B1690" t="s">
        <v>7527</v>
      </c>
      <c r="C1690" t="s">
        <v>7528</v>
      </c>
      <c r="D1690" t="s">
        <v>1350</v>
      </c>
      <c r="E1690" t="s">
        <v>1307</v>
      </c>
      <c r="F1690" t="s">
        <v>7529</v>
      </c>
      <c r="G1690">
        <v>2025</v>
      </c>
      <c r="H1690" t="s">
        <v>1160</v>
      </c>
      <c r="I1690" t="s">
        <v>111</v>
      </c>
      <c r="J1690">
        <v>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Y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S1690">
        <v>0</v>
      </c>
      <c r="AU1690">
        <v>0</v>
      </c>
      <c r="AV1690">
        <v>0</v>
      </c>
      <c r="AW1690">
        <v>0</v>
      </c>
      <c r="AX1690">
        <v>0</v>
      </c>
      <c r="AY1690">
        <v>23</v>
      </c>
      <c r="AZ1690">
        <v>0</v>
      </c>
      <c r="BA1690">
        <v>8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1</v>
      </c>
      <c r="BI1690">
        <v>0</v>
      </c>
      <c r="BJ1690">
        <v>8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3</v>
      </c>
      <c r="BU1690">
        <v>23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C1690">
        <v>0</v>
      </c>
      <c r="DD1690">
        <v>0</v>
      </c>
      <c r="DE1690">
        <v>0</v>
      </c>
      <c r="DF1690">
        <v>0</v>
      </c>
      <c r="DH1690">
        <v>0</v>
      </c>
      <c r="DI1690">
        <v>0</v>
      </c>
    </row>
    <row r="1691" spans="1:113" ht="15" customHeight="1" x14ac:dyDescent="0.25">
      <c r="A1691" t="s">
        <v>7530</v>
      </c>
      <c r="B1691" t="s">
        <v>7531</v>
      </c>
      <c r="C1691" t="s">
        <v>7532</v>
      </c>
      <c r="D1691" t="s">
        <v>1219</v>
      </c>
      <c r="E1691" t="s">
        <v>1220</v>
      </c>
      <c r="F1691" t="s">
        <v>7533</v>
      </c>
      <c r="G1691">
        <v>2025</v>
      </c>
      <c r="H1691" t="s">
        <v>1160</v>
      </c>
      <c r="I1691" t="s">
        <v>118</v>
      </c>
      <c r="J1691">
        <v>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Y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4</v>
      </c>
      <c r="BU1691">
        <v>25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C1691">
        <v>0</v>
      </c>
      <c r="DD1691">
        <v>0</v>
      </c>
      <c r="DE1691">
        <v>0</v>
      </c>
      <c r="DF1691">
        <v>0</v>
      </c>
      <c r="DH1691">
        <v>0</v>
      </c>
      <c r="DI1691">
        <v>0</v>
      </c>
    </row>
    <row r="1692" spans="1:113" ht="15" customHeight="1" x14ac:dyDescent="0.25">
      <c r="A1692" t="s">
        <v>7534</v>
      </c>
      <c r="B1692" t="s">
        <v>7535</v>
      </c>
      <c r="C1692" t="s">
        <v>7536</v>
      </c>
      <c r="D1692" t="s">
        <v>1655</v>
      </c>
      <c r="E1692" t="s">
        <v>1220</v>
      </c>
      <c r="F1692" t="s">
        <v>7537</v>
      </c>
      <c r="G1692">
        <v>2025</v>
      </c>
      <c r="H1692" t="s">
        <v>1160</v>
      </c>
      <c r="I1692" t="s">
        <v>126</v>
      </c>
      <c r="J1692">
        <v>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Y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>
        <v>0</v>
      </c>
      <c r="AU1692">
        <v>0</v>
      </c>
      <c r="AV1692">
        <v>0</v>
      </c>
      <c r="AW1692">
        <v>0</v>
      </c>
      <c r="AX1692">
        <v>0</v>
      </c>
      <c r="AY1692">
        <v>2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1</v>
      </c>
      <c r="BP1692">
        <v>2</v>
      </c>
      <c r="BQ1692">
        <v>0</v>
      </c>
      <c r="BR1692">
        <v>0</v>
      </c>
      <c r="BS1692">
        <v>0</v>
      </c>
      <c r="BT1692">
        <v>5</v>
      </c>
      <c r="BU1692">
        <v>49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C1692">
        <v>0</v>
      </c>
      <c r="DD1692">
        <v>0</v>
      </c>
      <c r="DE1692">
        <v>0</v>
      </c>
      <c r="DF1692">
        <v>0</v>
      </c>
      <c r="DH1692">
        <v>0</v>
      </c>
      <c r="DI1692">
        <v>0</v>
      </c>
    </row>
    <row r="1693" spans="1:113" ht="15" customHeight="1" x14ac:dyDescent="0.25">
      <c r="A1693" t="s">
        <v>7538</v>
      </c>
      <c r="B1693" t="s">
        <v>6850</v>
      </c>
      <c r="C1693" t="s">
        <v>7539</v>
      </c>
      <c r="D1693" t="s">
        <v>1243</v>
      </c>
      <c r="E1693" t="s">
        <v>1190</v>
      </c>
      <c r="F1693" t="s">
        <v>7540</v>
      </c>
      <c r="G1693">
        <v>2025</v>
      </c>
      <c r="H1693" t="s">
        <v>1160</v>
      </c>
      <c r="I1693" t="s">
        <v>143</v>
      </c>
      <c r="J1693">
        <v>13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Y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>
        <v>0</v>
      </c>
      <c r="AU1693">
        <v>0</v>
      </c>
      <c r="AV1693">
        <v>0</v>
      </c>
      <c r="AW1693">
        <v>0</v>
      </c>
      <c r="AX1693">
        <v>0</v>
      </c>
      <c r="AY1693">
        <v>20</v>
      </c>
      <c r="AZ1693">
        <v>1</v>
      </c>
      <c r="BA1693">
        <v>17</v>
      </c>
      <c r="BB1693">
        <v>4</v>
      </c>
      <c r="BC1693">
        <v>25</v>
      </c>
      <c r="BD1693">
        <v>1</v>
      </c>
      <c r="BE1693">
        <v>5</v>
      </c>
      <c r="BF1693">
        <v>38</v>
      </c>
      <c r="BG1693">
        <v>9</v>
      </c>
      <c r="BH1693">
        <v>0</v>
      </c>
      <c r="BI1693">
        <v>0</v>
      </c>
      <c r="BJ1693">
        <v>1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2</v>
      </c>
      <c r="BU1693">
        <v>20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C1693">
        <v>0</v>
      </c>
      <c r="DD1693">
        <v>0</v>
      </c>
      <c r="DE1693">
        <v>0</v>
      </c>
      <c r="DF1693">
        <v>0</v>
      </c>
      <c r="DH1693">
        <v>0</v>
      </c>
      <c r="DI1693">
        <v>0</v>
      </c>
    </row>
    <row r="1694" spans="1:113" ht="15" customHeight="1" x14ac:dyDescent="0.25">
      <c r="A1694" t="s">
        <v>7541</v>
      </c>
      <c r="B1694" t="s">
        <v>7542</v>
      </c>
      <c r="C1694" t="s">
        <v>7543</v>
      </c>
      <c r="D1694" t="s">
        <v>1243</v>
      </c>
      <c r="E1694" t="s">
        <v>1190</v>
      </c>
      <c r="F1694" t="s">
        <v>7544</v>
      </c>
      <c r="G1694">
        <v>2025</v>
      </c>
      <c r="H1694" t="s">
        <v>1160</v>
      </c>
      <c r="I1694" t="s">
        <v>107</v>
      </c>
      <c r="J1694">
        <v>12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Y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S1694">
        <v>0</v>
      </c>
      <c r="AU1694">
        <v>0</v>
      </c>
      <c r="AV1694">
        <v>0</v>
      </c>
      <c r="AW1694">
        <v>0</v>
      </c>
      <c r="AX1694">
        <v>0</v>
      </c>
      <c r="AY1694">
        <v>18</v>
      </c>
      <c r="AZ1694">
        <v>0</v>
      </c>
      <c r="BA1694">
        <v>18</v>
      </c>
      <c r="BB1694">
        <v>2</v>
      </c>
      <c r="BC1694">
        <v>6</v>
      </c>
      <c r="BD1694">
        <v>0</v>
      </c>
      <c r="BE1694">
        <v>1.5</v>
      </c>
      <c r="BF1694">
        <v>9</v>
      </c>
      <c r="BG1694">
        <v>3</v>
      </c>
      <c r="BH1694">
        <v>0</v>
      </c>
      <c r="BI1694">
        <v>0</v>
      </c>
      <c r="BJ1694">
        <v>1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1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C1694">
        <v>0</v>
      </c>
      <c r="DD1694">
        <v>0</v>
      </c>
      <c r="DE1694">
        <v>0</v>
      </c>
      <c r="DF1694">
        <v>0</v>
      </c>
      <c r="DH1694">
        <v>0</v>
      </c>
      <c r="DI1694">
        <v>0</v>
      </c>
    </row>
    <row r="1695" spans="1:113" ht="15" customHeight="1" x14ac:dyDescent="0.25">
      <c r="A1695" t="s">
        <v>7545</v>
      </c>
      <c r="B1695" t="s">
        <v>7546</v>
      </c>
      <c r="C1695" t="s">
        <v>7547</v>
      </c>
      <c r="D1695" t="s">
        <v>1158</v>
      </c>
      <c r="E1695" t="s">
        <v>1158</v>
      </c>
      <c r="F1695" t="s">
        <v>7548</v>
      </c>
      <c r="G1695">
        <v>2025</v>
      </c>
      <c r="H1695" t="s">
        <v>1160</v>
      </c>
      <c r="I1695" t="s">
        <v>143</v>
      </c>
      <c r="J1695">
        <v>7</v>
      </c>
      <c r="K1695">
        <v>114</v>
      </c>
      <c r="L1695">
        <v>188</v>
      </c>
      <c r="M1695">
        <v>1262</v>
      </c>
      <c r="N1695">
        <v>8</v>
      </c>
      <c r="O1695">
        <v>3</v>
      </c>
      <c r="P1695">
        <v>18</v>
      </c>
      <c r="Q1695">
        <v>-79</v>
      </c>
      <c r="R1695">
        <v>2</v>
      </c>
      <c r="S1695">
        <v>1</v>
      </c>
      <c r="T1695">
        <v>1390</v>
      </c>
      <c r="U1695">
        <v>577</v>
      </c>
      <c r="V1695">
        <v>59</v>
      </c>
      <c r="W1695">
        <v>-5.8299960218244404</v>
      </c>
      <c r="X1695">
        <v>-2.7290871259809899</v>
      </c>
      <c r="Y1695">
        <v>1</v>
      </c>
      <c r="Z1695">
        <v>0.90791366906474802</v>
      </c>
      <c r="AA1695">
        <v>58</v>
      </c>
      <c r="AB1695">
        <v>278</v>
      </c>
      <c r="AC1695">
        <v>2</v>
      </c>
      <c r="AD1695">
        <v>1</v>
      </c>
      <c r="AE1695">
        <v>1</v>
      </c>
      <c r="AF1695">
        <v>15</v>
      </c>
      <c r="AG1695">
        <v>1.7482305980376001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S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1</v>
      </c>
      <c r="BP1695">
        <v>2</v>
      </c>
      <c r="BQ1695">
        <v>0</v>
      </c>
      <c r="BR1695">
        <v>0</v>
      </c>
      <c r="BS1695">
        <v>0</v>
      </c>
      <c r="BT1695">
        <v>2</v>
      </c>
      <c r="BU1695">
        <v>20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C1695">
        <v>0</v>
      </c>
      <c r="DD1695">
        <v>0</v>
      </c>
      <c r="DE1695">
        <v>0</v>
      </c>
      <c r="DF1695">
        <v>0</v>
      </c>
      <c r="DH1695">
        <v>114.28</v>
      </c>
      <c r="DI1695">
        <v>114.28</v>
      </c>
    </row>
    <row r="1696" spans="1:113" ht="15" customHeight="1" x14ac:dyDescent="0.25">
      <c r="A1696" t="s">
        <v>7549</v>
      </c>
      <c r="B1696" t="s">
        <v>2196</v>
      </c>
      <c r="C1696" t="s">
        <v>7550</v>
      </c>
      <c r="D1696" t="s">
        <v>1234</v>
      </c>
      <c r="E1696" t="s">
        <v>1234</v>
      </c>
      <c r="F1696" t="s">
        <v>7551</v>
      </c>
      <c r="G1696">
        <v>2025</v>
      </c>
      <c r="H1696" t="s">
        <v>1160</v>
      </c>
      <c r="I1696" t="s">
        <v>133</v>
      </c>
      <c r="J1696">
        <v>12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Y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S1696">
        <v>0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0</v>
      </c>
      <c r="BA1696">
        <v>11</v>
      </c>
      <c r="BB1696">
        <v>4</v>
      </c>
      <c r="BC1696">
        <v>12</v>
      </c>
      <c r="BD1696">
        <v>1</v>
      </c>
      <c r="BE1696">
        <v>4</v>
      </c>
      <c r="BF1696">
        <v>15.5</v>
      </c>
      <c r="BG1696">
        <v>7</v>
      </c>
      <c r="BH1696">
        <v>0</v>
      </c>
      <c r="BI1696">
        <v>0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2</v>
      </c>
      <c r="BU1696">
        <v>19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C1696">
        <v>0</v>
      </c>
      <c r="DD1696">
        <v>0</v>
      </c>
      <c r="DE1696">
        <v>0</v>
      </c>
      <c r="DF1696">
        <v>0</v>
      </c>
      <c r="DH1696">
        <v>0</v>
      </c>
      <c r="DI1696">
        <v>0</v>
      </c>
    </row>
    <row r="1697" spans="1:113" ht="15" customHeight="1" x14ac:dyDescent="0.25">
      <c r="A1697" t="s">
        <v>7552</v>
      </c>
      <c r="B1697" t="s">
        <v>7553</v>
      </c>
      <c r="C1697" t="s">
        <v>1040</v>
      </c>
      <c r="D1697" t="s">
        <v>439</v>
      </c>
      <c r="E1697" t="s">
        <v>439</v>
      </c>
      <c r="F1697" t="s">
        <v>7554</v>
      </c>
      <c r="G1697">
        <v>2025</v>
      </c>
      <c r="H1697" t="s">
        <v>1160</v>
      </c>
      <c r="I1697" t="s">
        <v>143</v>
      </c>
      <c r="J1697">
        <v>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Y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H1697">
        <v>0</v>
      </c>
      <c r="AI1697">
        <v>11</v>
      </c>
      <c r="AJ1697">
        <v>13</v>
      </c>
      <c r="AK1697">
        <v>114</v>
      </c>
      <c r="AL1697">
        <v>1</v>
      </c>
      <c r="AM1697">
        <v>0</v>
      </c>
      <c r="AN1697">
        <v>0</v>
      </c>
      <c r="AO1697">
        <v>106</v>
      </c>
      <c r="AP1697">
        <v>63</v>
      </c>
      <c r="AQ1697">
        <v>5</v>
      </c>
      <c r="AR1697">
        <v>3.2311561268870701</v>
      </c>
      <c r="AS1697">
        <v>0</v>
      </c>
      <c r="AT1697">
        <v>1.07547169811321</v>
      </c>
      <c r="AU1697">
        <v>3.0092592592592601E-2</v>
      </c>
      <c r="AV1697">
        <v>2.6513256628314202E-2</v>
      </c>
      <c r="AW1697">
        <v>6.3698168528708798E-2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4</v>
      </c>
      <c r="BU1697">
        <v>29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C1697">
        <v>0</v>
      </c>
      <c r="DD1697">
        <v>0</v>
      </c>
      <c r="DE1697">
        <v>0</v>
      </c>
      <c r="DF1697">
        <v>0</v>
      </c>
      <c r="DH1697">
        <v>17.399999999999999</v>
      </c>
      <c r="DI1697">
        <v>28.4</v>
      </c>
    </row>
    <row r="1698" spans="1:113" ht="15" customHeight="1" x14ac:dyDescent="0.25">
      <c r="A1698" t="s">
        <v>7555</v>
      </c>
      <c r="B1698" t="s">
        <v>7556</v>
      </c>
      <c r="C1698" t="s">
        <v>7557</v>
      </c>
      <c r="D1698" t="s">
        <v>1219</v>
      </c>
      <c r="E1698" t="s">
        <v>1220</v>
      </c>
      <c r="F1698" t="s">
        <v>7558</v>
      </c>
      <c r="G1698">
        <v>2025</v>
      </c>
      <c r="H1698" t="s">
        <v>1160</v>
      </c>
      <c r="I1698" t="s">
        <v>143</v>
      </c>
      <c r="J1698">
        <v>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Y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S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5</v>
      </c>
      <c r="BU1698">
        <v>26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C1698">
        <v>0</v>
      </c>
      <c r="DD1698">
        <v>0</v>
      </c>
      <c r="DE1698">
        <v>0</v>
      </c>
      <c r="DF1698">
        <v>0</v>
      </c>
      <c r="DH1698">
        <v>0</v>
      </c>
      <c r="DI1698">
        <v>0</v>
      </c>
    </row>
    <row r="1699" spans="1:113" ht="15" customHeight="1" x14ac:dyDescent="0.25">
      <c r="A1699" t="s">
        <v>7559</v>
      </c>
      <c r="B1699" t="s">
        <v>7560</v>
      </c>
      <c r="C1699" t="s">
        <v>735</v>
      </c>
      <c r="D1699" t="s">
        <v>10</v>
      </c>
      <c r="E1699" t="s">
        <v>10</v>
      </c>
      <c r="F1699" t="s">
        <v>7561</v>
      </c>
      <c r="G1699">
        <v>2025</v>
      </c>
      <c r="H1699" t="s">
        <v>1160</v>
      </c>
      <c r="I1699" t="s">
        <v>131</v>
      </c>
      <c r="J1699">
        <v>16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Y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H1699">
        <v>0</v>
      </c>
      <c r="AI1699">
        <v>66</v>
      </c>
      <c r="AJ1699">
        <v>106</v>
      </c>
      <c r="AK1699">
        <v>789</v>
      </c>
      <c r="AL1699">
        <v>6</v>
      </c>
      <c r="AM1699">
        <v>0</v>
      </c>
      <c r="AN1699">
        <v>0</v>
      </c>
      <c r="AO1699">
        <v>1046</v>
      </c>
      <c r="AP1699">
        <v>310</v>
      </c>
      <c r="AQ1699">
        <v>35</v>
      </c>
      <c r="AR1699">
        <v>7.2352275044928902</v>
      </c>
      <c r="AS1699">
        <v>0</v>
      </c>
      <c r="AT1699">
        <v>0.75430210325047797</v>
      </c>
      <c r="AU1699">
        <v>0.19485294117647101</v>
      </c>
      <c r="AV1699">
        <v>0.23009238891333</v>
      </c>
      <c r="AW1699">
        <v>0.45334408400403697</v>
      </c>
      <c r="AX1699">
        <v>0</v>
      </c>
      <c r="AY1699">
        <v>1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3</v>
      </c>
      <c r="BU1699">
        <v>30</v>
      </c>
      <c r="BV1699">
        <v>3</v>
      </c>
      <c r="BW1699">
        <v>23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C1699">
        <v>0</v>
      </c>
      <c r="DD1699">
        <v>0</v>
      </c>
      <c r="DE1699">
        <v>0</v>
      </c>
      <c r="DF1699">
        <v>0</v>
      </c>
      <c r="DH1699">
        <v>114.9</v>
      </c>
      <c r="DI1699">
        <v>180.9</v>
      </c>
    </row>
    <row r="1700" spans="1:113" ht="15" customHeight="1" x14ac:dyDescent="0.25">
      <c r="A1700" t="s">
        <v>7562</v>
      </c>
      <c r="B1700" t="s">
        <v>7563</v>
      </c>
      <c r="C1700" t="s">
        <v>971</v>
      </c>
      <c r="D1700" t="s">
        <v>10</v>
      </c>
      <c r="E1700" t="s">
        <v>10</v>
      </c>
      <c r="F1700" t="s">
        <v>7564</v>
      </c>
      <c r="G1700">
        <v>2025</v>
      </c>
      <c r="H1700" t="s">
        <v>1160</v>
      </c>
      <c r="I1700" t="s">
        <v>141</v>
      </c>
      <c r="J1700">
        <v>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Y1700">
        <v>0</v>
      </c>
      <c r="AA1700">
        <v>2</v>
      </c>
      <c r="AB1700">
        <v>-2</v>
      </c>
      <c r="AC1700">
        <v>0</v>
      </c>
      <c r="AD1700">
        <v>0</v>
      </c>
      <c r="AE1700">
        <v>0</v>
      </c>
      <c r="AF1700">
        <v>0</v>
      </c>
      <c r="AG1700">
        <v>-1.672144478478</v>
      </c>
      <c r="AH1700">
        <v>0</v>
      </c>
      <c r="AI1700">
        <v>36</v>
      </c>
      <c r="AJ1700">
        <v>53</v>
      </c>
      <c r="AK1700">
        <v>528</v>
      </c>
      <c r="AL1700">
        <v>0</v>
      </c>
      <c r="AM1700">
        <v>0</v>
      </c>
      <c r="AN1700">
        <v>0</v>
      </c>
      <c r="AO1700">
        <v>748</v>
      </c>
      <c r="AP1700">
        <v>74</v>
      </c>
      <c r="AQ1700">
        <v>28</v>
      </c>
      <c r="AR1700">
        <v>26.7070003818</v>
      </c>
      <c r="AS1700">
        <v>0</v>
      </c>
      <c r="AT1700">
        <v>0.70588235294117696</v>
      </c>
      <c r="AU1700">
        <v>9.6363636363636401E-2</v>
      </c>
      <c r="AV1700">
        <v>0.174115456238361</v>
      </c>
      <c r="AW1700">
        <v>0.266426273912307</v>
      </c>
      <c r="AX1700">
        <v>0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1</v>
      </c>
      <c r="BU1700">
        <v>5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C1700">
        <v>0</v>
      </c>
      <c r="DD1700">
        <v>0</v>
      </c>
      <c r="DE1700">
        <v>0</v>
      </c>
      <c r="DF1700">
        <v>0</v>
      </c>
      <c r="DH1700">
        <v>52.6</v>
      </c>
      <c r="DI1700">
        <v>88.6</v>
      </c>
    </row>
    <row r="1701" spans="1:113" ht="15" customHeight="1" x14ac:dyDescent="0.25">
      <c r="A1701" t="s">
        <v>7565</v>
      </c>
      <c r="B1701" t="s">
        <v>7566</v>
      </c>
      <c r="C1701" t="s">
        <v>7567</v>
      </c>
      <c r="D1701" t="s">
        <v>1158</v>
      </c>
      <c r="E1701" t="s">
        <v>1158</v>
      </c>
      <c r="F1701" t="s">
        <v>7568</v>
      </c>
      <c r="G1701">
        <v>2025</v>
      </c>
      <c r="H1701" t="s">
        <v>1160</v>
      </c>
      <c r="I1701" t="s">
        <v>93</v>
      </c>
      <c r="J1701">
        <v>9</v>
      </c>
      <c r="K1701">
        <v>166</v>
      </c>
      <c r="L1701">
        <v>276</v>
      </c>
      <c r="M1701">
        <v>1982</v>
      </c>
      <c r="N1701">
        <v>9</v>
      </c>
      <c r="O1701">
        <v>3</v>
      </c>
      <c r="P1701">
        <v>13</v>
      </c>
      <c r="Q1701">
        <v>-101</v>
      </c>
      <c r="R1701">
        <v>3</v>
      </c>
      <c r="S1701">
        <v>2</v>
      </c>
      <c r="T1701">
        <v>2300</v>
      </c>
      <c r="U1701">
        <v>888</v>
      </c>
      <c r="V1701">
        <v>99</v>
      </c>
      <c r="W1701">
        <v>5.1398946748569596</v>
      </c>
      <c r="X1701">
        <v>-3.6196675941799601</v>
      </c>
      <c r="Y1701">
        <v>1</v>
      </c>
      <c r="Z1701">
        <v>0.86173913043478301</v>
      </c>
      <c r="AA1701">
        <v>21</v>
      </c>
      <c r="AB1701">
        <v>70</v>
      </c>
      <c r="AC1701">
        <v>1</v>
      </c>
      <c r="AD1701">
        <v>1</v>
      </c>
      <c r="AE1701">
        <v>0</v>
      </c>
      <c r="AF1701">
        <v>6</v>
      </c>
      <c r="AG1701">
        <v>7.1118400184495796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S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2</v>
      </c>
      <c r="BP1701">
        <v>3</v>
      </c>
      <c r="BQ1701">
        <v>0</v>
      </c>
      <c r="BR1701">
        <v>0</v>
      </c>
      <c r="BS1701">
        <v>0</v>
      </c>
      <c r="BT1701">
        <v>3</v>
      </c>
      <c r="BU1701">
        <v>38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C1701">
        <v>0</v>
      </c>
      <c r="DD1701">
        <v>0</v>
      </c>
      <c r="DE1701">
        <v>0</v>
      </c>
      <c r="DF1701">
        <v>0</v>
      </c>
      <c r="DH1701">
        <v>120.28</v>
      </c>
      <c r="DI1701">
        <v>120.28</v>
      </c>
    </row>
    <row r="1702" spans="1:113" ht="15" customHeight="1" x14ac:dyDescent="0.25">
      <c r="A1702" t="s">
        <v>7569</v>
      </c>
      <c r="B1702" t="s">
        <v>7570</v>
      </c>
      <c r="C1702" t="s">
        <v>7571</v>
      </c>
      <c r="D1702" t="s">
        <v>1158</v>
      </c>
      <c r="E1702" t="s">
        <v>1158</v>
      </c>
      <c r="F1702" t="s">
        <v>7572</v>
      </c>
      <c r="G1702">
        <v>2025</v>
      </c>
      <c r="H1702" t="s">
        <v>1160</v>
      </c>
      <c r="I1702" t="s">
        <v>104</v>
      </c>
      <c r="J1702">
        <v>17</v>
      </c>
      <c r="K1702">
        <v>330</v>
      </c>
      <c r="L1702">
        <v>568</v>
      </c>
      <c r="M1702">
        <v>3942</v>
      </c>
      <c r="N1702">
        <v>27</v>
      </c>
      <c r="O1702">
        <v>7</v>
      </c>
      <c r="P1702">
        <v>24</v>
      </c>
      <c r="Q1702">
        <v>-165</v>
      </c>
      <c r="R1702">
        <v>1</v>
      </c>
      <c r="S1702">
        <v>1</v>
      </c>
      <c r="T1702">
        <v>4899</v>
      </c>
      <c r="U1702">
        <v>1835</v>
      </c>
      <c r="V1702">
        <v>187</v>
      </c>
      <c r="W1702">
        <v>42.217395757990303</v>
      </c>
      <c r="X1702">
        <v>-3.5054313989193302</v>
      </c>
      <c r="Y1702">
        <v>1</v>
      </c>
      <c r="Z1702">
        <v>0.80465401102265799</v>
      </c>
      <c r="AA1702">
        <v>77</v>
      </c>
      <c r="AB1702">
        <v>383</v>
      </c>
      <c r="AC1702">
        <v>3</v>
      </c>
      <c r="AD1702">
        <v>6</v>
      </c>
      <c r="AE1702">
        <v>0</v>
      </c>
      <c r="AF1702">
        <v>33</v>
      </c>
      <c r="AG1702">
        <v>5.3988314340645198</v>
      </c>
      <c r="AH1702">
        <v>0</v>
      </c>
      <c r="AI1702">
        <v>2</v>
      </c>
      <c r="AJ1702">
        <v>2</v>
      </c>
      <c r="AK1702">
        <v>22</v>
      </c>
      <c r="AL1702">
        <v>1</v>
      </c>
      <c r="AM1702">
        <v>0</v>
      </c>
      <c r="AN1702">
        <v>0</v>
      </c>
      <c r="AO1702">
        <v>-3</v>
      </c>
      <c r="AP1702">
        <v>25</v>
      </c>
      <c r="AQ1702">
        <v>2</v>
      </c>
      <c r="AR1702">
        <v>5.2770096756285101</v>
      </c>
      <c r="AS1702">
        <v>0</v>
      </c>
      <c r="AT1702">
        <v>0</v>
      </c>
      <c r="AU1702">
        <v>3.7593984962406E-3</v>
      </c>
      <c r="AV1702">
        <v>-6.0679611650485399E-4</v>
      </c>
      <c r="AW1702">
        <v>5.2143404628075003E-3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5</v>
      </c>
      <c r="BP1702">
        <v>10</v>
      </c>
      <c r="BQ1702">
        <v>0</v>
      </c>
      <c r="BR1702">
        <v>0</v>
      </c>
      <c r="BS1702">
        <v>0</v>
      </c>
      <c r="BT1702">
        <v>5</v>
      </c>
      <c r="BU1702">
        <v>54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C1702">
        <v>0</v>
      </c>
      <c r="DD1702">
        <v>0</v>
      </c>
      <c r="DE1702">
        <v>0</v>
      </c>
      <c r="DF1702">
        <v>0</v>
      </c>
      <c r="DH1702">
        <v>316.18</v>
      </c>
      <c r="DI1702">
        <v>318.18</v>
      </c>
    </row>
    <row r="1703" spans="1:113" ht="15" customHeight="1" x14ac:dyDescent="0.25">
      <c r="A1703" t="s">
        <v>7573</v>
      </c>
      <c r="B1703" t="s">
        <v>7574</v>
      </c>
      <c r="C1703" t="s">
        <v>531</v>
      </c>
      <c r="D1703" t="s">
        <v>10</v>
      </c>
      <c r="E1703" t="s">
        <v>10</v>
      </c>
      <c r="F1703" t="s">
        <v>7575</v>
      </c>
      <c r="G1703">
        <v>2025</v>
      </c>
      <c r="H1703" t="s">
        <v>1160</v>
      </c>
      <c r="I1703" t="s">
        <v>104</v>
      </c>
      <c r="J1703">
        <v>12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Y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H1703">
        <v>0</v>
      </c>
      <c r="AI1703">
        <v>44</v>
      </c>
      <c r="AJ1703">
        <v>90</v>
      </c>
      <c r="AK1703">
        <v>661</v>
      </c>
      <c r="AL1703">
        <v>6</v>
      </c>
      <c r="AM1703">
        <v>0</v>
      </c>
      <c r="AN1703">
        <v>0</v>
      </c>
      <c r="AO1703">
        <v>1252</v>
      </c>
      <c r="AP1703">
        <v>214</v>
      </c>
      <c r="AQ1703">
        <v>37</v>
      </c>
      <c r="AR1703">
        <v>20.8927210828104</v>
      </c>
      <c r="AS1703">
        <v>0</v>
      </c>
      <c r="AT1703">
        <v>0.52795527156549504</v>
      </c>
      <c r="AU1703">
        <v>0.169172932330827</v>
      </c>
      <c r="AV1703">
        <v>0.25323624595469302</v>
      </c>
      <c r="AW1703">
        <v>0.43102477066452499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1</v>
      </c>
      <c r="BP1703">
        <v>1</v>
      </c>
      <c r="BQ1703">
        <v>0</v>
      </c>
      <c r="BR1703">
        <v>0</v>
      </c>
      <c r="BS1703">
        <v>0</v>
      </c>
      <c r="BT1703">
        <v>2</v>
      </c>
      <c r="BU1703">
        <v>10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C1703">
        <v>0</v>
      </c>
      <c r="DD1703">
        <v>0</v>
      </c>
      <c r="DE1703">
        <v>0</v>
      </c>
      <c r="DF1703">
        <v>0</v>
      </c>
      <c r="DH1703">
        <v>102.1</v>
      </c>
      <c r="DI1703">
        <v>146.1</v>
      </c>
    </row>
    <row r="1704" spans="1:113" ht="15" customHeight="1" x14ac:dyDescent="0.25">
      <c r="A1704" t="s">
        <v>7576</v>
      </c>
      <c r="B1704" t="s">
        <v>7577</v>
      </c>
      <c r="C1704" t="s">
        <v>559</v>
      </c>
      <c r="D1704" t="s">
        <v>10</v>
      </c>
      <c r="E1704" t="s">
        <v>10</v>
      </c>
      <c r="F1704" t="s">
        <v>7578</v>
      </c>
      <c r="G1704">
        <v>2025</v>
      </c>
      <c r="H1704" t="s">
        <v>1160</v>
      </c>
      <c r="I1704" t="s">
        <v>109</v>
      </c>
      <c r="J1704">
        <v>12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Y1704">
        <v>0</v>
      </c>
      <c r="AA1704">
        <v>13</v>
      </c>
      <c r="AB1704">
        <v>127</v>
      </c>
      <c r="AC1704">
        <v>0</v>
      </c>
      <c r="AD1704">
        <v>0</v>
      </c>
      <c r="AE1704">
        <v>0</v>
      </c>
      <c r="AF1704">
        <v>6</v>
      </c>
      <c r="AG1704">
        <v>7.3167196077411099</v>
      </c>
      <c r="AH1704">
        <v>0</v>
      </c>
      <c r="AI1704">
        <v>11</v>
      </c>
      <c r="AJ1704">
        <v>14</v>
      </c>
      <c r="AK1704">
        <v>79</v>
      </c>
      <c r="AL1704">
        <v>0</v>
      </c>
      <c r="AM1704">
        <v>0</v>
      </c>
      <c r="AN1704">
        <v>0</v>
      </c>
      <c r="AO1704">
        <v>-7</v>
      </c>
      <c r="AP1704">
        <v>68</v>
      </c>
      <c r="AQ1704">
        <v>5</v>
      </c>
      <c r="AR1704">
        <v>-3.2238153658108799</v>
      </c>
      <c r="AS1704">
        <v>0</v>
      </c>
      <c r="AT1704">
        <v>0</v>
      </c>
      <c r="AU1704">
        <v>2.68199233716475E-2</v>
      </c>
      <c r="AV1704">
        <v>-1.84940554821665E-3</v>
      </c>
      <c r="AW1704">
        <v>3.89353011737196E-2</v>
      </c>
      <c r="AX1704">
        <v>0</v>
      </c>
      <c r="AY1704">
        <v>1</v>
      </c>
      <c r="AZ1704">
        <v>0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21</v>
      </c>
      <c r="BY1704">
        <v>492</v>
      </c>
      <c r="BZ1704">
        <v>0</v>
      </c>
      <c r="CA1704">
        <v>0</v>
      </c>
      <c r="CB1704">
        <v>0</v>
      </c>
      <c r="CC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C1704">
        <v>0</v>
      </c>
      <c r="DD1704">
        <v>0</v>
      </c>
      <c r="DE1704">
        <v>0</v>
      </c>
      <c r="DF1704">
        <v>0</v>
      </c>
      <c r="DH1704">
        <v>20.6</v>
      </c>
      <c r="DI1704">
        <v>31.6</v>
      </c>
    </row>
    <row r="1705" spans="1:113" ht="15" customHeight="1" x14ac:dyDescent="0.25">
      <c r="A1705" t="s">
        <v>7579</v>
      </c>
      <c r="B1705" t="s">
        <v>7580</v>
      </c>
      <c r="C1705" t="s">
        <v>433</v>
      </c>
      <c r="D1705" t="s">
        <v>431</v>
      </c>
      <c r="E1705" t="s">
        <v>431</v>
      </c>
      <c r="F1705" t="s">
        <v>7581</v>
      </c>
      <c r="G1705">
        <v>2025</v>
      </c>
      <c r="H1705" t="s">
        <v>1160</v>
      </c>
      <c r="I1705" t="s">
        <v>90</v>
      </c>
      <c r="J1705">
        <v>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Y1705">
        <v>0</v>
      </c>
      <c r="AA1705">
        <v>29</v>
      </c>
      <c r="AB1705">
        <v>160</v>
      </c>
      <c r="AC1705">
        <v>0</v>
      </c>
      <c r="AD1705">
        <v>0</v>
      </c>
      <c r="AE1705">
        <v>0</v>
      </c>
      <c r="AF1705">
        <v>4</v>
      </c>
      <c r="AG1705">
        <v>-0.20821796857320099</v>
      </c>
      <c r="AH1705">
        <v>0</v>
      </c>
      <c r="AI1705">
        <v>13</v>
      </c>
      <c r="AJ1705">
        <v>16</v>
      </c>
      <c r="AK1705">
        <v>64</v>
      </c>
      <c r="AL1705">
        <v>0</v>
      </c>
      <c r="AM1705">
        <v>0</v>
      </c>
      <c r="AN1705">
        <v>0</v>
      </c>
      <c r="AO1705">
        <v>-22</v>
      </c>
      <c r="AP1705">
        <v>73</v>
      </c>
      <c r="AQ1705">
        <v>2</v>
      </c>
      <c r="AR1705">
        <v>-8.0733430512902107</v>
      </c>
      <c r="AS1705">
        <v>0</v>
      </c>
      <c r="AT1705">
        <v>-2.9090909090909101</v>
      </c>
      <c r="AU1705">
        <v>2.5931928687196099E-2</v>
      </c>
      <c r="AV1705">
        <v>-4.7210300429184502E-3</v>
      </c>
      <c r="AW1705">
        <v>3.5593172000751197E-2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</v>
      </c>
      <c r="BR1705">
        <v>1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C1705">
        <v>0</v>
      </c>
      <c r="DD1705">
        <v>0</v>
      </c>
      <c r="DE1705">
        <v>0</v>
      </c>
      <c r="DF1705">
        <v>0</v>
      </c>
      <c r="DH1705">
        <v>22.4</v>
      </c>
      <c r="DI1705">
        <v>35.4</v>
      </c>
    </row>
    <row r="1706" spans="1:113" ht="15" customHeight="1" x14ac:dyDescent="0.25">
      <c r="A1706" t="s">
        <v>7582</v>
      </c>
      <c r="B1706" t="s">
        <v>7583</v>
      </c>
      <c r="C1706" t="s">
        <v>7584</v>
      </c>
      <c r="D1706" t="s">
        <v>1158</v>
      </c>
      <c r="E1706" t="s">
        <v>1158</v>
      </c>
      <c r="F1706" t="s">
        <v>7585</v>
      </c>
      <c r="G1706">
        <v>2025</v>
      </c>
      <c r="H1706" t="s">
        <v>1160</v>
      </c>
      <c r="I1706" t="s">
        <v>137</v>
      </c>
      <c r="J1706">
        <v>10</v>
      </c>
      <c r="K1706">
        <v>140</v>
      </c>
      <c r="L1706">
        <v>243</v>
      </c>
      <c r="M1706">
        <v>1632</v>
      </c>
      <c r="N1706">
        <v>11</v>
      </c>
      <c r="O1706">
        <v>12</v>
      </c>
      <c r="P1706">
        <v>27</v>
      </c>
      <c r="Q1706">
        <v>-149</v>
      </c>
      <c r="R1706">
        <v>2</v>
      </c>
      <c r="S1706">
        <v>2</v>
      </c>
      <c r="T1706">
        <v>2142</v>
      </c>
      <c r="U1706">
        <v>692</v>
      </c>
      <c r="V1706">
        <v>80</v>
      </c>
      <c r="W1706">
        <v>-54.105914783333702</v>
      </c>
      <c r="X1706">
        <v>-5.7238704704937797</v>
      </c>
      <c r="Y1706">
        <v>1</v>
      </c>
      <c r="Z1706">
        <v>0.76190476190476197</v>
      </c>
      <c r="AA1706">
        <v>37</v>
      </c>
      <c r="AB1706">
        <v>181</v>
      </c>
      <c r="AC1706">
        <v>4</v>
      </c>
      <c r="AD1706">
        <v>3</v>
      </c>
      <c r="AE1706">
        <v>0</v>
      </c>
      <c r="AF1706">
        <v>16</v>
      </c>
      <c r="AG1706">
        <v>6.8037066258839296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S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4</v>
      </c>
      <c r="BP1706">
        <v>6</v>
      </c>
      <c r="BQ1706">
        <v>0</v>
      </c>
      <c r="BR1706">
        <v>0</v>
      </c>
      <c r="BS1706">
        <v>0</v>
      </c>
      <c r="BT1706">
        <v>2</v>
      </c>
      <c r="BU1706">
        <v>20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C1706">
        <v>0</v>
      </c>
      <c r="DD1706">
        <v>0</v>
      </c>
      <c r="DE1706">
        <v>0</v>
      </c>
      <c r="DF1706">
        <v>0</v>
      </c>
      <c r="DH1706">
        <v>125.38</v>
      </c>
      <c r="DI1706">
        <v>125.38</v>
      </c>
    </row>
    <row r="1707" spans="1:113" ht="15" customHeight="1" x14ac:dyDescent="0.25">
      <c r="A1707" t="s">
        <v>7586</v>
      </c>
      <c r="B1707" t="s">
        <v>4082</v>
      </c>
      <c r="C1707" t="s">
        <v>7587</v>
      </c>
      <c r="D1707" t="s">
        <v>1234</v>
      </c>
      <c r="E1707" t="s">
        <v>1234</v>
      </c>
      <c r="F1707" t="s">
        <v>7588</v>
      </c>
      <c r="G1707">
        <v>2025</v>
      </c>
      <c r="H1707" t="s">
        <v>1160</v>
      </c>
      <c r="I1707" t="s">
        <v>137</v>
      </c>
      <c r="J1707">
        <v>17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Y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S1707">
        <v>0</v>
      </c>
      <c r="AU1707">
        <v>0</v>
      </c>
      <c r="AV1707">
        <v>0</v>
      </c>
      <c r="AW1707">
        <v>0</v>
      </c>
      <c r="AX1707">
        <v>0</v>
      </c>
      <c r="AY1707">
        <v>29</v>
      </c>
      <c r="AZ1707">
        <v>0</v>
      </c>
      <c r="BA1707">
        <v>37</v>
      </c>
      <c r="BB1707">
        <v>11</v>
      </c>
      <c r="BC1707">
        <v>61</v>
      </c>
      <c r="BD1707">
        <v>4</v>
      </c>
      <c r="BE1707">
        <v>8</v>
      </c>
      <c r="BF1707">
        <v>56</v>
      </c>
      <c r="BG1707">
        <v>15</v>
      </c>
      <c r="BH1707">
        <v>0</v>
      </c>
      <c r="BI1707">
        <v>0</v>
      </c>
      <c r="BJ1707">
        <v>3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4</v>
      </c>
      <c r="BU1707">
        <v>42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C1707">
        <v>0</v>
      </c>
      <c r="DD1707">
        <v>0</v>
      </c>
      <c r="DE1707">
        <v>0</v>
      </c>
      <c r="DF1707">
        <v>0</v>
      </c>
      <c r="DH1707">
        <v>0</v>
      </c>
      <c r="DI1707">
        <v>0</v>
      </c>
    </row>
    <row r="1708" spans="1:113" ht="15" customHeight="1" x14ac:dyDescent="0.25">
      <c r="A1708" t="s">
        <v>7589</v>
      </c>
      <c r="B1708" t="s">
        <v>7590</v>
      </c>
      <c r="C1708" t="s">
        <v>7591</v>
      </c>
      <c r="D1708" t="s">
        <v>1219</v>
      </c>
      <c r="E1708" t="s">
        <v>1220</v>
      </c>
      <c r="F1708" t="s">
        <v>7592</v>
      </c>
      <c r="G1708">
        <v>2025</v>
      </c>
      <c r="H1708" t="s">
        <v>1160</v>
      </c>
      <c r="I1708" t="s">
        <v>107</v>
      </c>
      <c r="J1708">
        <v>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Y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S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>
        <v>1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3</v>
      </c>
      <c r="BU1708">
        <v>14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C1708">
        <v>0</v>
      </c>
      <c r="DD1708">
        <v>0</v>
      </c>
      <c r="DE1708">
        <v>0</v>
      </c>
      <c r="DF1708">
        <v>0</v>
      </c>
      <c r="DH1708">
        <v>0</v>
      </c>
      <c r="DI1708">
        <v>0</v>
      </c>
    </row>
    <row r="1709" spans="1:113" ht="15" customHeight="1" x14ac:dyDescent="0.25">
      <c r="A1709" t="s">
        <v>7593</v>
      </c>
      <c r="B1709" t="s">
        <v>7594</v>
      </c>
      <c r="C1709" t="s">
        <v>7595</v>
      </c>
      <c r="D1709" t="s">
        <v>1655</v>
      </c>
      <c r="E1709" t="s">
        <v>1220</v>
      </c>
      <c r="F1709" t="s">
        <v>7596</v>
      </c>
      <c r="G1709">
        <v>2025</v>
      </c>
      <c r="H1709" t="s">
        <v>1160</v>
      </c>
      <c r="I1709" t="s">
        <v>140</v>
      </c>
      <c r="J1709">
        <v>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Y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S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3</v>
      </c>
      <c r="BU1709">
        <v>25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C1709">
        <v>0</v>
      </c>
      <c r="DD1709">
        <v>0</v>
      </c>
      <c r="DE1709">
        <v>0</v>
      </c>
      <c r="DF1709">
        <v>0</v>
      </c>
      <c r="DH1709">
        <v>0</v>
      </c>
      <c r="DI1709">
        <v>0</v>
      </c>
    </row>
    <row r="1710" spans="1:113" ht="15" customHeight="1" x14ac:dyDescent="0.25">
      <c r="A1710" t="s">
        <v>7597</v>
      </c>
      <c r="B1710" t="s">
        <v>7598</v>
      </c>
      <c r="C1710" t="s">
        <v>7599</v>
      </c>
      <c r="D1710" t="s">
        <v>1168</v>
      </c>
      <c r="E1710" t="s">
        <v>1169</v>
      </c>
      <c r="F1710" t="s">
        <v>7600</v>
      </c>
      <c r="G1710">
        <v>2025</v>
      </c>
      <c r="H1710" t="s">
        <v>1160</v>
      </c>
      <c r="I1710" t="s">
        <v>139</v>
      </c>
      <c r="J1710">
        <v>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Y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S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2</v>
      </c>
      <c r="CA1710">
        <v>2</v>
      </c>
      <c r="CB1710">
        <v>0</v>
      </c>
      <c r="CC1710">
        <v>0</v>
      </c>
      <c r="CD1710">
        <v>31</v>
      </c>
      <c r="CE1710">
        <v>1</v>
      </c>
      <c r="CF1710">
        <v>0</v>
      </c>
      <c r="CG1710">
        <v>1</v>
      </c>
      <c r="CH1710">
        <v>1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 t="s">
        <v>7601</v>
      </c>
      <c r="CU1710">
        <v>53</v>
      </c>
      <c r="CV1710">
        <v>0</v>
      </c>
      <c r="CW1710">
        <v>0</v>
      </c>
      <c r="CX1710">
        <v>9</v>
      </c>
      <c r="CY1710">
        <v>12</v>
      </c>
      <c r="CZ1710">
        <v>3</v>
      </c>
      <c r="DA1710">
        <v>0</v>
      </c>
      <c r="DB1710">
        <v>0.75</v>
      </c>
      <c r="DC1710">
        <v>0</v>
      </c>
      <c r="DD1710">
        <v>0</v>
      </c>
      <c r="DE1710">
        <v>0</v>
      </c>
      <c r="DF1710">
        <v>0</v>
      </c>
      <c r="DH1710">
        <v>0</v>
      </c>
      <c r="DI1710">
        <v>0</v>
      </c>
    </row>
    <row r="1711" spans="1:113" ht="15" customHeight="1" x14ac:dyDescent="0.25">
      <c r="A1711" t="s">
        <v>7602</v>
      </c>
      <c r="B1711" t="s">
        <v>7603</v>
      </c>
      <c r="C1711" t="s">
        <v>7604</v>
      </c>
      <c r="D1711" t="s">
        <v>1234</v>
      </c>
      <c r="E1711" t="s">
        <v>1234</v>
      </c>
      <c r="F1711" t="s">
        <v>7605</v>
      </c>
      <c r="G1711">
        <v>2025</v>
      </c>
      <c r="H1711" t="s">
        <v>1160</v>
      </c>
      <c r="I1711" t="s">
        <v>140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Y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S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C1711">
        <v>0</v>
      </c>
      <c r="DD1711">
        <v>0</v>
      </c>
      <c r="DE1711">
        <v>0</v>
      </c>
      <c r="DF1711">
        <v>0</v>
      </c>
      <c r="DH1711">
        <v>0</v>
      </c>
      <c r="DI1711">
        <v>0</v>
      </c>
    </row>
    <row r="1712" spans="1:113" ht="15" customHeight="1" x14ac:dyDescent="0.25">
      <c r="A1712" t="s">
        <v>7606</v>
      </c>
      <c r="B1712" t="s">
        <v>7607</v>
      </c>
      <c r="C1712" t="s">
        <v>7608</v>
      </c>
      <c r="D1712" t="s">
        <v>1189</v>
      </c>
      <c r="E1712" t="s">
        <v>1190</v>
      </c>
      <c r="F1712" t="s">
        <v>7609</v>
      </c>
      <c r="G1712">
        <v>2025</v>
      </c>
      <c r="H1712" t="s">
        <v>1160</v>
      </c>
      <c r="I1712" t="s">
        <v>143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Y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S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C1712">
        <v>0</v>
      </c>
      <c r="DD1712">
        <v>0</v>
      </c>
      <c r="DE1712">
        <v>0</v>
      </c>
      <c r="DF1712">
        <v>0</v>
      </c>
      <c r="DH1712">
        <v>0</v>
      </c>
      <c r="DI1712">
        <v>0</v>
      </c>
    </row>
    <row r="1713" spans="1:113" ht="15" customHeight="1" x14ac:dyDescent="0.25">
      <c r="A1713" t="s">
        <v>7610</v>
      </c>
      <c r="B1713" t="s">
        <v>4967</v>
      </c>
      <c r="C1713" t="s">
        <v>7611</v>
      </c>
      <c r="D1713" t="s">
        <v>1297</v>
      </c>
      <c r="E1713" t="s">
        <v>1220</v>
      </c>
      <c r="F1713" t="s">
        <v>7612</v>
      </c>
      <c r="G1713">
        <v>2025</v>
      </c>
      <c r="H1713" t="s">
        <v>1160</v>
      </c>
      <c r="I1713" t="s">
        <v>112</v>
      </c>
      <c r="J1713">
        <v>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Y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S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5</v>
      </c>
      <c r="BU1713">
        <v>60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C1713">
        <v>0</v>
      </c>
      <c r="DD1713">
        <v>0</v>
      </c>
      <c r="DE1713">
        <v>0</v>
      </c>
      <c r="DF1713">
        <v>0</v>
      </c>
      <c r="DH1713">
        <v>0</v>
      </c>
      <c r="DI1713">
        <v>0</v>
      </c>
    </row>
    <row r="1714" spans="1:113" ht="15" customHeight="1" x14ac:dyDescent="0.25">
      <c r="A1714" t="s">
        <v>7613</v>
      </c>
      <c r="B1714" t="s">
        <v>7614</v>
      </c>
      <c r="C1714" t="s">
        <v>7615</v>
      </c>
      <c r="D1714" t="s">
        <v>1350</v>
      </c>
      <c r="E1714" t="s">
        <v>1307</v>
      </c>
      <c r="F1714" t="s">
        <v>7616</v>
      </c>
      <c r="G1714">
        <v>2025</v>
      </c>
      <c r="H1714" t="s">
        <v>1160</v>
      </c>
      <c r="I1714" t="s">
        <v>112</v>
      </c>
      <c r="J1714">
        <v>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Y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S1714">
        <v>0</v>
      </c>
      <c r="AU1714">
        <v>0</v>
      </c>
      <c r="AV1714">
        <v>0</v>
      </c>
      <c r="AW1714">
        <v>0</v>
      </c>
      <c r="AX1714">
        <v>0</v>
      </c>
      <c r="AY1714">
        <v>22</v>
      </c>
      <c r="AZ1714">
        <v>1</v>
      </c>
      <c r="BA1714">
        <v>12</v>
      </c>
      <c r="BB1714">
        <v>1</v>
      </c>
      <c r="BC1714">
        <v>1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3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4</v>
      </c>
      <c r="BU1714">
        <v>37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C1714">
        <v>0</v>
      </c>
      <c r="DD1714">
        <v>0</v>
      </c>
      <c r="DE1714">
        <v>0</v>
      </c>
      <c r="DF1714">
        <v>0</v>
      </c>
      <c r="DH1714">
        <v>0</v>
      </c>
      <c r="DI1714">
        <v>0</v>
      </c>
    </row>
    <row r="1715" spans="1:113" ht="15" customHeight="1" x14ac:dyDescent="0.25">
      <c r="A1715" t="s">
        <v>7617</v>
      </c>
      <c r="B1715" t="s">
        <v>5324</v>
      </c>
      <c r="C1715" t="s">
        <v>649</v>
      </c>
      <c r="D1715" t="s">
        <v>10</v>
      </c>
      <c r="E1715" t="s">
        <v>10</v>
      </c>
      <c r="F1715" t="s">
        <v>7618</v>
      </c>
      <c r="G1715">
        <v>2025</v>
      </c>
      <c r="H1715" t="s">
        <v>1160</v>
      </c>
      <c r="I1715" t="s">
        <v>118</v>
      </c>
      <c r="J1715">
        <v>12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Y1715">
        <v>0</v>
      </c>
      <c r="AA1715">
        <v>11</v>
      </c>
      <c r="AB1715">
        <v>37</v>
      </c>
      <c r="AC1715">
        <v>0</v>
      </c>
      <c r="AD1715">
        <v>1</v>
      </c>
      <c r="AE1715">
        <v>1</v>
      </c>
      <c r="AF1715">
        <v>1</v>
      </c>
      <c r="AG1715">
        <v>-6.9932201252086097</v>
      </c>
      <c r="AH1715">
        <v>0</v>
      </c>
      <c r="AI1715">
        <v>10</v>
      </c>
      <c r="AJ1715">
        <v>10</v>
      </c>
      <c r="AK1715">
        <v>78</v>
      </c>
      <c r="AL1715">
        <v>1</v>
      </c>
      <c r="AM1715">
        <v>0</v>
      </c>
      <c r="AN1715">
        <v>0</v>
      </c>
      <c r="AO1715">
        <v>17</v>
      </c>
      <c r="AP1715">
        <v>61</v>
      </c>
      <c r="AQ1715">
        <v>3</v>
      </c>
      <c r="AR1715">
        <v>4.6250049642403601</v>
      </c>
      <c r="AS1715">
        <v>0</v>
      </c>
      <c r="AT1715">
        <v>4.5882352941176503</v>
      </c>
      <c r="AU1715">
        <v>2.1739130434782601E-2</v>
      </c>
      <c r="AV1715">
        <v>3.9691804809712803E-3</v>
      </c>
      <c r="AW1715">
        <v>3.5387121988853798E-2</v>
      </c>
      <c r="AX1715">
        <v>0</v>
      </c>
      <c r="AY1715">
        <v>0</v>
      </c>
      <c r="AZ1715">
        <v>0</v>
      </c>
      <c r="BA1715">
        <v>1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28</v>
      </c>
      <c r="BY1715">
        <v>717</v>
      </c>
      <c r="BZ1715">
        <v>0</v>
      </c>
      <c r="CA1715">
        <v>0</v>
      </c>
      <c r="CB1715">
        <v>0</v>
      </c>
      <c r="CC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C1715">
        <v>0</v>
      </c>
      <c r="DD1715">
        <v>0</v>
      </c>
      <c r="DE1715">
        <v>0</v>
      </c>
      <c r="DF1715">
        <v>0</v>
      </c>
      <c r="DH1715">
        <v>15.5</v>
      </c>
      <c r="DI1715">
        <v>25.5</v>
      </c>
    </row>
    <row r="1716" spans="1:113" ht="15" customHeight="1" x14ac:dyDescent="0.25">
      <c r="A1716" t="s">
        <v>7619</v>
      </c>
      <c r="B1716" t="s">
        <v>7620</v>
      </c>
      <c r="C1716" t="s">
        <v>7621</v>
      </c>
      <c r="D1716" t="s">
        <v>1189</v>
      </c>
      <c r="E1716" t="s">
        <v>1190</v>
      </c>
      <c r="F1716" t="s">
        <v>7622</v>
      </c>
      <c r="G1716">
        <v>2025</v>
      </c>
      <c r="H1716" t="s">
        <v>1160</v>
      </c>
      <c r="I1716" t="s">
        <v>118</v>
      </c>
      <c r="J1716">
        <v>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Y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S1716">
        <v>0</v>
      </c>
      <c r="AU1716">
        <v>0</v>
      </c>
      <c r="AV1716">
        <v>0</v>
      </c>
      <c r="AW1716">
        <v>0</v>
      </c>
      <c r="AX1716">
        <v>0</v>
      </c>
      <c r="AY1716">
        <v>7</v>
      </c>
      <c r="AZ1716">
        <v>0</v>
      </c>
      <c r="BA1716">
        <v>8</v>
      </c>
      <c r="BB1716">
        <v>1</v>
      </c>
      <c r="BC1716">
        <v>1</v>
      </c>
      <c r="BD1716">
        <v>0</v>
      </c>
      <c r="BE1716">
        <v>1.5</v>
      </c>
      <c r="BF1716">
        <v>1</v>
      </c>
      <c r="BG1716">
        <v>3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1</v>
      </c>
      <c r="BR1716">
        <v>1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C1716">
        <v>0</v>
      </c>
      <c r="DD1716">
        <v>0</v>
      </c>
      <c r="DE1716">
        <v>0</v>
      </c>
      <c r="DF1716">
        <v>0</v>
      </c>
      <c r="DH1716">
        <v>0</v>
      </c>
      <c r="DI1716">
        <v>0</v>
      </c>
    </row>
    <row r="1717" spans="1:113" ht="15" customHeight="1" x14ac:dyDescent="0.25">
      <c r="A1717" t="s">
        <v>7623</v>
      </c>
      <c r="B1717" t="s">
        <v>7624</v>
      </c>
      <c r="C1717" t="s">
        <v>7625</v>
      </c>
      <c r="D1717" t="s">
        <v>1234</v>
      </c>
      <c r="E1717" t="s">
        <v>1234</v>
      </c>
      <c r="F1717" t="s">
        <v>7626</v>
      </c>
      <c r="G1717">
        <v>2025</v>
      </c>
      <c r="H1717" t="s">
        <v>1160</v>
      </c>
      <c r="I1717" t="s">
        <v>112</v>
      </c>
      <c r="J1717">
        <v>14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Y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S1717">
        <v>0</v>
      </c>
      <c r="AU1717">
        <v>0</v>
      </c>
      <c r="AV1717">
        <v>0</v>
      </c>
      <c r="AW1717">
        <v>0</v>
      </c>
      <c r="AX1717">
        <v>0</v>
      </c>
      <c r="AY1717">
        <v>40</v>
      </c>
      <c r="AZ1717">
        <v>0</v>
      </c>
      <c r="BA1717">
        <v>51</v>
      </c>
      <c r="BB1717">
        <v>2</v>
      </c>
      <c r="BC1717">
        <v>5</v>
      </c>
      <c r="BD1717">
        <v>1</v>
      </c>
      <c r="BE1717">
        <v>1.5</v>
      </c>
      <c r="BF1717">
        <v>5</v>
      </c>
      <c r="BG1717">
        <v>5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2</v>
      </c>
      <c r="BU1717">
        <v>20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C1717">
        <v>0</v>
      </c>
      <c r="DD1717">
        <v>0</v>
      </c>
      <c r="DE1717">
        <v>0</v>
      </c>
      <c r="DF1717">
        <v>0</v>
      </c>
      <c r="DH1717">
        <v>0</v>
      </c>
      <c r="DI1717">
        <v>0</v>
      </c>
    </row>
    <row r="1718" spans="1:113" ht="15" customHeight="1" x14ac:dyDescent="0.25">
      <c r="A1718" t="s">
        <v>7627</v>
      </c>
      <c r="B1718" t="s">
        <v>7628</v>
      </c>
      <c r="C1718" t="s">
        <v>7629</v>
      </c>
      <c r="D1718" t="s">
        <v>1234</v>
      </c>
      <c r="E1718" t="s">
        <v>1234</v>
      </c>
      <c r="F1718" t="s">
        <v>7630</v>
      </c>
      <c r="G1718">
        <v>2025</v>
      </c>
      <c r="H1718" t="s">
        <v>1160</v>
      </c>
      <c r="I1718" t="s">
        <v>118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Y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S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</v>
      </c>
      <c r="BA1718">
        <v>0</v>
      </c>
      <c r="BB1718">
        <v>1</v>
      </c>
      <c r="BC1718">
        <v>2</v>
      </c>
      <c r="BD1718">
        <v>0</v>
      </c>
      <c r="BE1718">
        <v>0</v>
      </c>
      <c r="BF1718">
        <v>0</v>
      </c>
      <c r="BG1718">
        <v>2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C1718">
        <v>0</v>
      </c>
      <c r="DD1718">
        <v>0</v>
      </c>
      <c r="DE1718">
        <v>0</v>
      </c>
      <c r="DF1718">
        <v>0</v>
      </c>
      <c r="DH1718">
        <v>0</v>
      </c>
      <c r="DI1718">
        <v>0</v>
      </c>
    </row>
    <row r="1719" spans="1:113" ht="15" customHeight="1" x14ac:dyDescent="0.25">
      <c r="A1719" t="s">
        <v>7631</v>
      </c>
      <c r="B1719" t="s">
        <v>7632</v>
      </c>
      <c r="C1719" t="s">
        <v>7633</v>
      </c>
      <c r="D1719" t="s">
        <v>1234</v>
      </c>
      <c r="E1719" t="s">
        <v>1234</v>
      </c>
      <c r="F1719" t="s">
        <v>7634</v>
      </c>
      <c r="G1719">
        <v>2025</v>
      </c>
      <c r="H1719" t="s">
        <v>1160</v>
      </c>
      <c r="I1719" t="s">
        <v>120</v>
      </c>
      <c r="J1719">
        <v>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Y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S1719">
        <v>0</v>
      </c>
      <c r="AU1719">
        <v>0</v>
      </c>
      <c r="AV1719">
        <v>0</v>
      </c>
      <c r="AW1719">
        <v>0</v>
      </c>
      <c r="AX1719">
        <v>0</v>
      </c>
      <c r="AY1719">
        <v>4</v>
      </c>
      <c r="AZ1719">
        <v>0</v>
      </c>
      <c r="BA1719">
        <v>7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C1719">
        <v>0</v>
      </c>
      <c r="DD1719">
        <v>0</v>
      </c>
      <c r="DE1719">
        <v>0</v>
      </c>
      <c r="DF1719">
        <v>0</v>
      </c>
      <c r="DH1719">
        <v>0</v>
      </c>
      <c r="DI1719">
        <v>0</v>
      </c>
    </row>
    <row r="1720" spans="1:113" ht="15" customHeight="1" x14ac:dyDescent="0.25">
      <c r="A1720" t="s">
        <v>7635</v>
      </c>
      <c r="B1720" t="s">
        <v>7636</v>
      </c>
      <c r="C1720" t="s">
        <v>7637</v>
      </c>
      <c r="D1720" t="s">
        <v>1243</v>
      </c>
      <c r="E1720" t="s">
        <v>1190</v>
      </c>
      <c r="F1720" t="s">
        <v>7638</v>
      </c>
      <c r="G1720">
        <v>2025</v>
      </c>
      <c r="H1720" t="s">
        <v>1160</v>
      </c>
      <c r="I1720" t="s">
        <v>118</v>
      </c>
      <c r="J1720">
        <v>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Y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S1720">
        <v>0</v>
      </c>
      <c r="AU1720">
        <v>0</v>
      </c>
      <c r="AV1720">
        <v>0</v>
      </c>
      <c r="AW1720">
        <v>0</v>
      </c>
      <c r="AX1720">
        <v>0</v>
      </c>
      <c r="AY1720">
        <v>6</v>
      </c>
      <c r="AZ1720">
        <v>0</v>
      </c>
      <c r="BA1720">
        <v>7</v>
      </c>
      <c r="BB1720">
        <v>0</v>
      </c>
      <c r="BC1720">
        <v>0</v>
      </c>
      <c r="BD1720">
        <v>0</v>
      </c>
      <c r="BE1720">
        <v>0.5</v>
      </c>
      <c r="BF1720">
        <v>3.5</v>
      </c>
      <c r="BG1720">
        <v>3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2</v>
      </c>
      <c r="BU1720">
        <v>20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C1720">
        <v>0</v>
      </c>
      <c r="DD1720">
        <v>0</v>
      </c>
      <c r="DE1720">
        <v>0</v>
      </c>
      <c r="DF1720">
        <v>0</v>
      </c>
      <c r="DH1720">
        <v>0</v>
      </c>
      <c r="DI1720">
        <v>0</v>
      </c>
    </row>
    <row r="1721" spans="1:113" ht="15" customHeight="1" x14ac:dyDescent="0.25">
      <c r="A1721" t="s">
        <v>7639</v>
      </c>
      <c r="B1721" t="s">
        <v>7640</v>
      </c>
      <c r="C1721" t="s">
        <v>7641</v>
      </c>
      <c r="D1721" t="s">
        <v>1243</v>
      </c>
      <c r="E1721" t="s">
        <v>1190</v>
      </c>
      <c r="F1721" t="s">
        <v>7642</v>
      </c>
      <c r="G1721">
        <v>2025</v>
      </c>
      <c r="H1721" t="s">
        <v>1160</v>
      </c>
      <c r="I1721" t="s">
        <v>112</v>
      </c>
      <c r="J1721">
        <v>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Y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S1721">
        <v>0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2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1</v>
      </c>
      <c r="BU1721">
        <v>5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C1721">
        <v>0</v>
      </c>
      <c r="DD1721">
        <v>0</v>
      </c>
      <c r="DE1721">
        <v>0</v>
      </c>
      <c r="DF1721">
        <v>0</v>
      </c>
      <c r="DH1721">
        <v>0</v>
      </c>
      <c r="DI1721">
        <v>0</v>
      </c>
    </row>
    <row r="1722" spans="1:113" ht="15" customHeight="1" x14ac:dyDescent="0.25">
      <c r="A1722" t="s">
        <v>7643</v>
      </c>
      <c r="B1722" t="s">
        <v>5098</v>
      </c>
      <c r="C1722" t="s">
        <v>7644</v>
      </c>
      <c r="D1722" t="s">
        <v>1350</v>
      </c>
      <c r="E1722" t="s">
        <v>1307</v>
      </c>
      <c r="F1722" t="s">
        <v>7645</v>
      </c>
      <c r="G1722">
        <v>2025</v>
      </c>
      <c r="H1722" t="s">
        <v>1160</v>
      </c>
      <c r="I1722" t="s">
        <v>142</v>
      </c>
      <c r="J1722">
        <v>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Y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S1722">
        <v>0</v>
      </c>
      <c r="AU1722">
        <v>0</v>
      </c>
      <c r="AV1722">
        <v>0</v>
      </c>
      <c r="AW1722">
        <v>0</v>
      </c>
      <c r="AX1722">
        <v>0</v>
      </c>
      <c r="AY1722">
        <v>8</v>
      </c>
      <c r="AZ1722">
        <v>0</v>
      </c>
      <c r="BA1722">
        <v>6</v>
      </c>
      <c r="BB1722">
        <v>1</v>
      </c>
      <c r="BC1722">
        <v>2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2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C1722">
        <v>0</v>
      </c>
      <c r="DD1722">
        <v>0</v>
      </c>
      <c r="DE1722">
        <v>0</v>
      </c>
      <c r="DF1722">
        <v>0</v>
      </c>
      <c r="DH1722">
        <v>0</v>
      </c>
      <c r="DI1722">
        <v>0</v>
      </c>
    </row>
    <row r="1723" spans="1:113" ht="15" customHeight="1" x14ac:dyDescent="0.25">
      <c r="A1723" t="s">
        <v>7646</v>
      </c>
      <c r="B1723" t="s">
        <v>7647</v>
      </c>
      <c r="C1723" t="s">
        <v>585</v>
      </c>
      <c r="D1723" t="s">
        <v>431</v>
      </c>
      <c r="E1723" t="s">
        <v>431</v>
      </c>
      <c r="F1723" t="s">
        <v>7648</v>
      </c>
      <c r="G1723">
        <v>2025</v>
      </c>
      <c r="H1723" t="s">
        <v>1160</v>
      </c>
      <c r="I1723" t="s">
        <v>112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Y1723">
        <v>0</v>
      </c>
      <c r="AA1723">
        <v>5</v>
      </c>
      <c r="AB1723">
        <v>18</v>
      </c>
      <c r="AC1723">
        <v>1</v>
      </c>
      <c r="AD1723">
        <v>0</v>
      </c>
      <c r="AE1723">
        <v>0</v>
      </c>
      <c r="AF1723">
        <v>2</v>
      </c>
      <c r="AG1723">
        <v>1.0730276003014301</v>
      </c>
      <c r="AH1723">
        <v>0</v>
      </c>
      <c r="AI1723">
        <v>2</v>
      </c>
      <c r="AJ1723">
        <v>2</v>
      </c>
      <c r="AK1723">
        <v>11</v>
      </c>
      <c r="AL1723">
        <v>0</v>
      </c>
      <c r="AM1723">
        <v>0</v>
      </c>
      <c r="AN1723">
        <v>0</v>
      </c>
      <c r="AO1723">
        <v>-11</v>
      </c>
      <c r="AP1723">
        <v>22</v>
      </c>
      <c r="AQ1723">
        <v>1</v>
      </c>
      <c r="AR1723">
        <v>-0.13909286505077001</v>
      </c>
      <c r="AS1723">
        <v>0</v>
      </c>
      <c r="AT1723">
        <v>-1</v>
      </c>
      <c r="AU1723">
        <v>3.2948929159802298E-3</v>
      </c>
      <c r="AV1723">
        <v>-2.1700532649437799E-3</v>
      </c>
      <c r="AW1723">
        <v>3.4233020885097E-3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2</v>
      </c>
      <c r="BU1723">
        <v>20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C1723">
        <v>0</v>
      </c>
      <c r="DD1723">
        <v>0</v>
      </c>
      <c r="DE1723">
        <v>0</v>
      </c>
      <c r="DF1723">
        <v>0</v>
      </c>
      <c r="DH1723">
        <v>8.9</v>
      </c>
      <c r="DI1723">
        <v>10.9</v>
      </c>
    </row>
    <row r="1724" spans="1:113" ht="15" customHeight="1" x14ac:dyDescent="0.25">
      <c r="A1724" t="s">
        <v>7649</v>
      </c>
      <c r="B1724" t="s">
        <v>7650</v>
      </c>
      <c r="C1724" t="s">
        <v>905</v>
      </c>
      <c r="D1724" t="s">
        <v>10</v>
      </c>
      <c r="E1724" t="s">
        <v>10</v>
      </c>
      <c r="F1724" t="s">
        <v>7651</v>
      </c>
      <c r="G1724">
        <v>2025</v>
      </c>
      <c r="H1724" t="s">
        <v>1160</v>
      </c>
      <c r="I1724" t="s">
        <v>120</v>
      </c>
      <c r="J1724">
        <v>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Y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H1724">
        <v>0</v>
      </c>
      <c r="AI1724">
        <v>9</v>
      </c>
      <c r="AJ1724">
        <v>11</v>
      </c>
      <c r="AK1724">
        <v>92</v>
      </c>
      <c r="AL1724">
        <v>0</v>
      </c>
      <c r="AM1724">
        <v>0</v>
      </c>
      <c r="AN1724">
        <v>0</v>
      </c>
      <c r="AO1724">
        <v>109</v>
      </c>
      <c r="AP1724">
        <v>22</v>
      </c>
      <c r="AQ1724">
        <v>6</v>
      </c>
      <c r="AR1724">
        <v>3.88710941755562</v>
      </c>
      <c r="AS1724">
        <v>0</v>
      </c>
      <c r="AT1724">
        <v>0.84403669724770702</v>
      </c>
      <c r="AU1724">
        <v>2.3706896551724099E-2</v>
      </c>
      <c r="AV1724">
        <v>2.4314075395940202E-2</v>
      </c>
      <c r="AW1724">
        <v>5.2580197604744403E-2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2</v>
      </c>
      <c r="BU1724">
        <v>19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C1724">
        <v>0</v>
      </c>
      <c r="DD1724">
        <v>0</v>
      </c>
      <c r="DE1724">
        <v>0</v>
      </c>
      <c r="DF1724">
        <v>0</v>
      </c>
      <c r="DH1724">
        <v>9.1999999999999993</v>
      </c>
      <c r="DI1724">
        <v>18.2</v>
      </c>
    </row>
    <row r="1725" spans="1:113" ht="15" customHeight="1" x14ac:dyDescent="0.25">
      <c r="A1725" t="s">
        <v>7652</v>
      </c>
      <c r="B1725" t="s">
        <v>4368</v>
      </c>
      <c r="C1725" t="s">
        <v>7653</v>
      </c>
      <c r="D1725" t="s">
        <v>1350</v>
      </c>
      <c r="E1725" t="s">
        <v>1307</v>
      </c>
      <c r="G1725">
        <v>2025</v>
      </c>
      <c r="H1725" t="s">
        <v>1160</v>
      </c>
      <c r="I1725" t="s">
        <v>120</v>
      </c>
      <c r="J1725">
        <v>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Y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S1725">
        <v>0</v>
      </c>
      <c r="AU1725">
        <v>0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2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C1725">
        <v>0</v>
      </c>
      <c r="DD1725">
        <v>0</v>
      </c>
      <c r="DE1725">
        <v>0</v>
      </c>
      <c r="DF1725">
        <v>0</v>
      </c>
      <c r="DH1725">
        <v>0</v>
      </c>
      <c r="DI1725">
        <v>0</v>
      </c>
    </row>
    <row r="1726" spans="1:113" ht="15" customHeight="1" x14ac:dyDescent="0.25">
      <c r="A1726" t="s">
        <v>7654</v>
      </c>
      <c r="B1726" t="s">
        <v>7655</v>
      </c>
      <c r="C1726" t="s">
        <v>7656</v>
      </c>
      <c r="D1726" t="s">
        <v>1350</v>
      </c>
      <c r="E1726" t="s">
        <v>1307</v>
      </c>
      <c r="F1726" t="s">
        <v>7657</v>
      </c>
      <c r="G1726">
        <v>2025</v>
      </c>
      <c r="H1726" t="s">
        <v>1160</v>
      </c>
      <c r="I1726" t="s">
        <v>118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Y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S1726">
        <v>0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</v>
      </c>
      <c r="BA1726">
        <v>3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C1726">
        <v>0</v>
      </c>
      <c r="DD1726">
        <v>0</v>
      </c>
      <c r="DE1726">
        <v>0</v>
      </c>
      <c r="DF1726">
        <v>0</v>
      </c>
      <c r="DH1726">
        <v>0</v>
      </c>
      <c r="DI1726">
        <v>0</v>
      </c>
    </row>
    <row r="1727" spans="1:113" ht="15" customHeight="1" x14ac:dyDescent="0.25">
      <c r="A1727" t="s">
        <v>7658</v>
      </c>
      <c r="B1727" t="s">
        <v>1193</v>
      </c>
      <c r="C1727" t="s">
        <v>7659</v>
      </c>
      <c r="D1727" t="s">
        <v>1234</v>
      </c>
      <c r="E1727" t="s">
        <v>1234</v>
      </c>
      <c r="G1727">
        <v>2025</v>
      </c>
      <c r="H1727" t="s">
        <v>1160</v>
      </c>
      <c r="I1727" t="s">
        <v>118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Y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S1727">
        <v>0</v>
      </c>
      <c r="AU1727">
        <v>0</v>
      </c>
      <c r="AV1727">
        <v>0</v>
      </c>
      <c r="AW1727">
        <v>0</v>
      </c>
      <c r="AX1727">
        <v>0</v>
      </c>
      <c r="AY1727">
        <v>3</v>
      </c>
      <c r="AZ1727">
        <v>0</v>
      </c>
      <c r="BA1727">
        <v>7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C1727">
        <v>0</v>
      </c>
      <c r="DD1727">
        <v>0</v>
      </c>
      <c r="DE1727">
        <v>0</v>
      </c>
      <c r="DF1727">
        <v>0</v>
      </c>
      <c r="DH1727">
        <v>0</v>
      </c>
      <c r="DI1727">
        <v>0</v>
      </c>
    </row>
    <row r="1728" spans="1:113" ht="15" customHeight="1" x14ac:dyDescent="0.25">
      <c r="A1728" t="s">
        <v>7660</v>
      </c>
      <c r="B1728" t="s">
        <v>7661</v>
      </c>
      <c r="C1728" t="s">
        <v>731</v>
      </c>
      <c r="D1728" t="s">
        <v>431</v>
      </c>
      <c r="E1728" t="s">
        <v>431</v>
      </c>
      <c r="F1728" t="s">
        <v>7662</v>
      </c>
      <c r="G1728">
        <v>2025</v>
      </c>
      <c r="H1728" t="s">
        <v>1160</v>
      </c>
      <c r="I1728" t="s">
        <v>131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Y1728">
        <v>0</v>
      </c>
      <c r="AA1728">
        <v>2</v>
      </c>
      <c r="AB1728">
        <v>8</v>
      </c>
      <c r="AC1728">
        <v>0</v>
      </c>
      <c r="AD1728">
        <v>0</v>
      </c>
      <c r="AE1728">
        <v>0</v>
      </c>
      <c r="AF1728">
        <v>0</v>
      </c>
      <c r="AG1728">
        <v>-5.3274804027751102E-2</v>
      </c>
      <c r="AH1728">
        <v>0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-2</v>
      </c>
      <c r="AP1728">
        <v>0</v>
      </c>
      <c r="AQ1728">
        <v>0</v>
      </c>
      <c r="AR1728">
        <v>-0.74184756749309599</v>
      </c>
      <c r="AS1728">
        <v>0</v>
      </c>
      <c r="AT1728">
        <v>0</v>
      </c>
      <c r="AU1728">
        <v>1.8382352941176501E-3</v>
      </c>
      <c r="AV1728">
        <v>-4.3994720633524001E-4</v>
      </c>
      <c r="AW1728">
        <v>2.4493898967417999E-3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C1728">
        <v>0</v>
      </c>
      <c r="DD1728">
        <v>0</v>
      </c>
      <c r="DE1728">
        <v>0</v>
      </c>
      <c r="DF1728">
        <v>0</v>
      </c>
      <c r="DH1728">
        <v>0.8</v>
      </c>
      <c r="DI1728">
        <v>0.8</v>
      </c>
    </row>
    <row r="1729" spans="1:113" ht="15" customHeight="1" x14ac:dyDescent="0.25">
      <c r="A1729" t="s">
        <v>7663</v>
      </c>
      <c r="B1729" t="s">
        <v>7664</v>
      </c>
      <c r="C1729" t="s">
        <v>7665</v>
      </c>
      <c r="D1729" t="s">
        <v>1243</v>
      </c>
      <c r="E1729" t="s">
        <v>1190</v>
      </c>
      <c r="F1729" t="s">
        <v>7666</v>
      </c>
      <c r="G1729">
        <v>2025</v>
      </c>
      <c r="H1729" t="s">
        <v>1160</v>
      </c>
      <c r="I1729" t="s">
        <v>118</v>
      </c>
      <c r="J1729">
        <v>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Y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S1729">
        <v>0</v>
      </c>
      <c r="AU1729">
        <v>0</v>
      </c>
      <c r="AV1729">
        <v>0</v>
      </c>
      <c r="AW1729">
        <v>0</v>
      </c>
      <c r="AX1729">
        <v>0</v>
      </c>
      <c r="AY1729">
        <v>2</v>
      </c>
      <c r="AZ1729">
        <v>0</v>
      </c>
      <c r="BA1729">
        <v>10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C1729">
        <v>0</v>
      </c>
      <c r="DD1729">
        <v>0</v>
      </c>
      <c r="DE1729">
        <v>0</v>
      </c>
      <c r="DF1729">
        <v>0</v>
      </c>
      <c r="DH1729">
        <v>0</v>
      </c>
      <c r="DI1729">
        <v>0</v>
      </c>
    </row>
    <row r="1730" spans="1:113" ht="15" customHeight="1" x14ac:dyDescent="0.25">
      <c r="A1730" t="s">
        <v>7667</v>
      </c>
      <c r="B1730" t="s">
        <v>7668</v>
      </c>
      <c r="C1730" t="s">
        <v>7669</v>
      </c>
      <c r="D1730" t="s">
        <v>1350</v>
      </c>
      <c r="E1730" t="s">
        <v>1307</v>
      </c>
      <c r="F1730" t="s">
        <v>7670</v>
      </c>
      <c r="G1730">
        <v>2025</v>
      </c>
      <c r="H1730" t="s">
        <v>1160</v>
      </c>
      <c r="I1730" t="s">
        <v>112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Y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S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2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C1730">
        <v>0</v>
      </c>
      <c r="DD1730">
        <v>0</v>
      </c>
      <c r="DE1730">
        <v>0</v>
      </c>
      <c r="DF1730">
        <v>0</v>
      </c>
      <c r="DH1730">
        <v>0</v>
      </c>
      <c r="DI1730">
        <v>0</v>
      </c>
    </row>
    <row r="1731" spans="1:113" ht="15" customHeight="1" x14ac:dyDescent="0.25">
      <c r="A1731" t="s">
        <v>7671</v>
      </c>
      <c r="B1731" t="s">
        <v>7672</v>
      </c>
      <c r="C1731" t="s">
        <v>7673</v>
      </c>
      <c r="D1731" t="s">
        <v>1684</v>
      </c>
      <c r="E1731" t="s">
        <v>1307</v>
      </c>
      <c r="F1731" t="s">
        <v>7674</v>
      </c>
      <c r="G1731">
        <v>2025</v>
      </c>
      <c r="H1731" t="s">
        <v>1160</v>
      </c>
      <c r="I1731" t="s">
        <v>112</v>
      </c>
      <c r="J1731">
        <v>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Y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S1731">
        <v>0</v>
      </c>
      <c r="AU1731">
        <v>0</v>
      </c>
      <c r="AV1731">
        <v>0</v>
      </c>
      <c r="AW1731">
        <v>0</v>
      </c>
      <c r="AX1731">
        <v>0</v>
      </c>
      <c r="AY1731">
        <v>9</v>
      </c>
      <c r="AZ1731">
        <v>0</v>
      </c>
      <c r="BA1731">
        <v>9</v>
      </c>
      <c r="BB1731">
        <v>0</v>
      </c>
      <c r="BC1731">
        <v>0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2</v>
      </c>
      <c r="BU1731">
        <v>42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C1731">
        <v>0</v>
      </c>
      <c r="DD1731">
        <v>0</v>
      </c>
      <c r="DE1731">
        <v>0</v>
      </c>
      <c r="DF1731">
        <v>0</v>
      </c>
      <c r="DH1731">
        <v>0</v>
      </c>
      <c r="DI1731">
        <v>0</v>
      </c>
    </row>
    <row r="1732" spans="1:113" ht="15" customHeight="1" x14ac:dyDescent="0.25">
      <c r="A1732" t="s">
        <v>7675</v>
      </c>
      <c r="B1732" t="s">
        <v>7676</v>
      </c>
      <c r="C1732" t="s">
        <v>949</v>
      </c>
      <c r="D1732" t="s">
        <v>439</v>
      </c>
      <c r="E1732" t="s">
        <v>439</v>
      </c>
      <c r="F1732" t="s">
        <v>7677</v>
      </c>
      <c r="G1732">
        <v>2025</v>
      </c>
      <c r="H1732" t="s">
        <v>1160</v>
      </c>
      <c r="I1732" t="s">
        <v>140</v>
      </c>
      <c r="J1732">
        <v>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Y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8</v>
      </c>
      <c r="AP1732">
        <v>0</v>
      </c>
      <c r="AQ1732">
        <v>0</v>
      </c>
      <c r="AR1732">
        <v>-0.55543333699461095</v>
      </c>
      <c r="AS1732">
        <v>0</v>
      </c>
      <c r="AT1732">
        <v>0</v>
      </c>
      <c r="AU1732">
        <v>2.1978021978022E-3</v>
      </c>
      <c r="AV1732">
        <v>2.1287919105907401E-3</v>
      </c>
      <c r="AW1732">
        <v>4.7868576341168201E-3</v>
      </c>
      <c r="AX1732">
        <v>0</v>
      </c>
      <c r="AY1732">
        <v>2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2</v>
      </c>
      <c r="BU1732">
        <v>20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C1732">
        <v>0</v>
      </c>
      <c r="DD1732">
        <v>0</v>
      </c>
      <c r="DE1732">
        <v>0</v>
      </c>
      <c r="DF1732">
        <v>0</v>
      </c>
      <c r="DH1732">
        <v>0</v>
      </c>
      <c r="DI1732">
        <v>0</v>
      </c>
    </row>
    <row r="1733" spans="1:113" ht="15" customHeight="1" x14ac:dyDescent="0.25">
      <c r="A1733" t="s">
        <v>7678</v>
      </c>
      <c r="B1733" t="s">
        <v>7679</v>
      </c>
      <c r="C1733" t="s">
        <v>7680</v>
      </c>
      <c r="D1733" t="s">
        <v>1234</v>
      </c>
      <c r="E1733" t="s">
        <v>1234</v>
      </c>
      <c r="F1733" t="s">
        <v>7681</v>
      </c>
      <c r="G1733">
        <v>2025</v>
      </c>
      <c r="H1733" t="s">
        <v>1160</v>
      </c>
      <c r="I1733" t="s">
        <v>140</v>
      </c>
      <c r="J1733">
        <v>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Y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S1733">
        <v>0</v>
      </c>
      <c r="AU1733">
        <v>0</v>
      </c>
      <c r="AV1733">
        <v>0</v>
      </c>
      <c r="AW1733">
        <v>0</v>
      </c>
      <c r="AX1733">
        <v>0</v>
      </c>
      <c r="AY1733">
        <v>3</v>
      </c>
      <c r="AZ1733">
        <v>0</v>
      </c>
      <c r="BA1733">
        <v>2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1</v>
      </c>
      <c r="BR1733">
        <v>1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C1733">
        <v>0</v>
      </c>
      <c r="DD1733">
        <v>0</v>
      </c>
      <c r="DE1733">
        <v>0</v>
      </c>
      <c r="DF1733">
        <v>0</v>
      </c>
      <c r="DH1733">
        <v>0</v>
      </c>
      <c r="DI1733">
        <v>0</v>
      </c>
    </row>
    <row r="1734" spans="1:113" ht="15" customHeight="1" x14ac:dyDescent="0.25">
      <c r="A1734" t="s">
        <v>7682</v>
      </c>
      <c r="B1734" t="s">
        <v>7683</v>
      </c>
      <c r="C1734" t="s">
        <v>7684</v>
      </c>
      <c r="D1734" t="s">
        <v>1234</v>
      </c>
      <c r="E1734" t="s">
        <v>1234</v>
      </c>
      <c r="F1734" t="s">
        <v>7685</v>
      </c>
      <c r="G1734">
        <v>2025</v>
      </c>
      <c r="H1734" t="s">
        <v>1160</v>
      </c>
      <c r="I1734" t="s">
        <v>133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Y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S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1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C1734">
        <v>0</v>
      </c>
      <c r="DD1734">
        <v>0</v>
      </c>
      <c r="DE1734">
        <v>0</v>
      </c>
      <c r="DF1734">
        <v>0</v>
      </c>
      <c r="DH1734">
        <v>0</v>
      </c>
      <c r="DI1734">
        <v>0</v>
      </c>
    </row>
    <row r="1735" spans="1:113" ht="15" customHeight="1" x14ac:dyDescent="0.25">
      <c r="A1735" t="s">
        <v>7686</v>
      </c>
      <c r="B1735" t="s">
        <v>7457</v>
      </c>
      <c r="C1735" t="s">
        <v>958</v>
      </c>
      <c r="D1735" t="s">
        <v>431</v>
      </c>
      <c r="E1735" t="s">
        <v>431</v>
      </c>
      <c r="F1735" t="s">
        <v>7687</v>
      </c>
      <c r="G1735">
        <v>2025</v>
      </c>
      <c r="H1735" t="s">
        <v>1160</v>
      </c>
      <c r="I1735" t="s">
        <v>140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Y1735">
        <v>0</v>
      </c>
      <c r="AA1735">
        <v>5</v>
      </c>
      <c r="AB1735">
        <v>20</v>
      </c>
      <c r="AC1735">
        <v>0</v>
      </c>
      <c r="AD1735">
        <v>0</v>
      </c>
      <c r="AE1735">
        <v>0</v>
      </c>
      <c r="AF1735">
        <v>1</v>
      </c>
      <c r="AG1735">
        <v>4.4586292409803698E-2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S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C1735">
        <v>0</v>
      </c>
      <c r="DD1735">
        <v>0</v>
      </c>
      <c r="DE1735">
        <v>0</v>
      </c>
      <c r="DF1735">
        <v>0</v>
      </c>
      <c r="DH1735">
        <v>2</v>
      </c>
      <c r="DI1735">
        <v>2</v>
      </c>
    </row>
    <row r="1736" spans="1:113" ht="15" customHeight="1" x14ac:dyDescent="0.25">
      <c r="A1736" t="s">
        <v>7688</v>
      </c>
      <c r="B1736" t="s">
        <v>4650</v>
      </c>
      <c r="C1736" t="s">
        <v>7689</v>
      </c>
      <c r="D1736" t="s">
        <v>1219</v>
      </c>
      <c r="E1736" t="s">
        <v>1220</v>
      </c>
      <c r="F1736" t="s">
        <v>7690</v>
      </c>
      <c r="G1736">
        <v>2025</v>
      </c>
      <c r="H1736" t="s">
        <v>1160</v>
      </c>
      <c r="I1736" t="s">
        <v>97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Y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S1736">
        <v>0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</v>
      </c>
      <c r="BU1736">
        <v>10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C1736">
        <v>0</v>
      </c>
      <c r="DD1736">
        <v>0</v>
      </c>
      <c r="DE1736">
        <v>0</v>
      </c>
      <c r="DF1736">
        <v>0</v>
      </c>
      <c r="DH1736">
        <v>0</v>
      </c>
      <c r="DI1736">
        <v>0</v>
      </c>
    </row>
    <row r="1737" spans="1:113" ht="15" customHeight="1" x14ac:dyDescent="0.25">
      <c r="A1737" t="s">
        <v>7691</v>
      </c>
      <c r="B1737" t="s">
        <v>7692</v>
      </c>
      <c r="C1737" t="s">
        <v>7693</v>
      </c>
      <c r="D1737" t="s">
        <v>1234</v>
      </c>
      <c r="E1737" t="s">
        <v>1234</v>
      </c>
      <c r="F1737" t="s">
        <v>7694</v>
      </c>
      <c r="G1737">
        <v>2025</v>
      </c>
      <c r="H1737" t="s">
        <v>1160</v>
      </c>
      <c r="I1737" t="s">
        <v>97</v>
      </c>
      <c r="J1737">
        <v>14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Y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S1737">
        <v>0</v>
      </c>
      <c r="AU1737">
        <v>0</v>
      </c>
      <c r="AV1737">
        <v>0</v>
      </c>
      <c r="AW1737">
        <v>0</v>
      </c>
      <c r="AX1737">
        <v>0</v>
      </c>
      <c r="AY1737">
        <v>44</v>
      </c>
      <c r="AZ1737">
        <v>5</v>
      </c>
      <c r="BA1737">
        <v>44</v>
      </c>
      <c r="BB1737">
        <v>5</v>
      </c>
      <c r="BC1737">
        <v>16</v>
      </c>
      <c r="BD1737">
        <v>1</v>
      </c>
      <c r="BE1737">
        <v>0.5</v>
      </c>
      <c r="BF1737">
        <v>2.5</v>
      </c>
      <c r="BG1737">
        <v>2</v>
      </c>
      <c r="BH1737">
        <v>0</v>
      </c>
      <c r="BI1737">
        <v>0</v>
      </c>
      <c r="BJ1737">
        <v>1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C1737">
        <v>0</v>
      </c>
      <c r="DD1737">
        <v>0</v>
      </c>
      <c r="DE1737">
        <v>0</v>
      </c>
      <c r="DF1737">
        <v>0</v>
      </c>
      <c r="DH1737">
        <v>0</v>
      </c>
      <c r="DI1737">
        <v>0</v>
      </c>
    </row>
    <row r="1738" spans="1:113" ht="15" customHeight="1" x14ac:dyDescent="0.25">
      <c r="A1738" t="s">
        <v>7695</v>
      </c>
      <c r="B1738" t="s">
        <v>7696</v>
      </c>
      <c r="C1738" t="s">
        <v>7697</v>
      </c>
      <c r="D1738" t="s">
        <v>1350</v>
      </c>
      <c r="E1738" t="s">
        <v>1307</v>
      </c>
      <c r="F1738" t="s">
        <v>7698</v>
      </c>
      <c r="G1738">
        <v>2025</v>
      </c>
      <c r="H1738" t="s">
        <v>1160</v>
      </c>
      <c r="I1738" t="s">
        <v>120</v>
      </c>
      <c r="J1738">
        <v>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Y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S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</v>
      </c>
      <c r="BU1738">
        <v>29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C1738">
        <v>0</v>
      </c>
      <c r="DD1738">
        <v>0</v>
      </c>
      <c r="DE1738">
        <v>0</v>
      </c>
      <c r="DF1738">
        <v>0</v>
      </c>
      <c r="DH1738">
        <v>0</v>
      </c>
      <c r="DI1738">
        <v>0</v>
      </c>
    </row>
    <row r="1739" spans="1:113" ht="15" customHeight="1" x14ac:dyDescent="0.25">
      <c r="A1739" t="s">
        <v>7699</v>
      </c>
      <c r="B1739" t="s">
        <v>7700</v>
      </c>
      <c r="C1739" t="s">
        <v>7701</v>
      </c>
      <c r="D1739" t="s">
        <v>1234</v>
      </c>
      <c r="E1739" t="s">
        <v>1234</v>
      </c>
      <c r="F1739" t="s">
        <v>7702</v>
      </c>
      <c r="G1739">
        <v>2025</v>
      </c>
      <c r="H1739" t="s">
        <v>1160</v>
      </c>
      <c r="I1739" t="s">
        <v>123</v>
      </c>
      <c r="J1739">
        <v>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Y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S1739">
        <v>0</v>
      </c>
      <c r="AU1739">
        <v>0</v>
      </c>
      <c r="AV1739">
        <v>0</v>
      </c>
      <c r="AW1739">
        <v>0</v>
      </c>
      <c r="AX1739">
        <v>0</v>
      </c>
      <c r="AY1739">
        <v>6</v>
      </c>
      <c r="AZ1739">
        <v>0</v>
      </c>
      <c r="BA1739">
        <v>9</v>
      </c>
      <c r="BB1739">
        <v>0</v>
      </c>
      <c r="BC1739">
        <v>0</v>
      </c>
      <c r="BD1739">
        <v>1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1</v>
      </c>
      <c r="BU1739">
        <v>10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C1739">
        <v>0</v>
      </c>
      <c r="DD1739">
        <v>0</v>
      </c>
      <c r="DE1739">
        <v>0</v>
      </c>
      <c r="DF1739">
        <v>0</v>
      </c>
      <c r="DH1739">
        <v>0</v>
      </c>
      <c r="DI1739">
        <v>0</v>
      </c>
    </row>
    <row r="1740" spans="1:113" ht="15" customHeight="1" x14ac:dyDescent="0.25">
      <c r="A1740" t="s">
        <v>7703</v>
      </c>
      <c r="B1740" t="s">
        <v>7704</v>
      </c>
      <c r="C1740" t="s">
        <v>7705</v>
      </c>
      <c r="D1740" t="s">
        <v>1168</v>
      </c>
      <c r="E1740" t="s">
        <v>1169</v>
      </c>
      <c r="F1740" t="s">
        <v>7706</v>
      </c>
      <c r="G1740">
        <v>2025</v>
      </c>
      <c r="H1740" t="s">
        <v>1160</v>
      </c>
      <c r="I1740" t="s">
        <v>97</v>
      </c>
      <c r="J1740">
        <v>17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Y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S1740">
        <v>0</v>
      </c>
      <c r="AU1740">
        <v>0</v>
      </c>
      <c r="AV1740">
        <v>0</v>
      </c>
      <c r="AW1740">
        <v>0</v>
      </c>
      <c r="AX1740">
        <v>0</v>
      </c>
      <c r="AY1740">
        <v>2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8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30</v>
      </c>
      <c r="CA1740">
        <v>34</v>
      </c>
      <c r="CB1740">
        <v>4</v>
      </c>
      <c r="CC1740">
        <v>0</v>
      </c>
      <c r="CD1740">
        <v>52</v>
      </c>
      <c r="CE1740">
        <v>0.88235294117647101</v>
      </c>
      <c r="CF1740">
        <v>0</v>
      </c>
      <c r="CG1740">
        <v>10</v>
      </c>
      <c r="CH1740">
        <v>11</v>
      </c>
      <c r="CI1740">
        <v>8</v>
      </c>
      <c r="CJ1740">
        <v>1</v>
      </c>
      <c r="CK1740">
        <v>0</v>
      </c>
      <c r="CL1740">
        <v>0</v>
      </c>
      <c r="CM1740">
        <v>0</v>
      </c>
      <c r="CN1740">
        <v>0</v>
      </c>
      <c r="CO1740">
        <v>1</v>
      </c>
      <c r="CP1740">
        <v>3</v>
      </c>
      <c r="CQ1740">
        <v>0</v>
      </c>
      <c r="CR1740" t="s">
        <v>7707</v>
      </c>
      <c r="CS1740" t="s">
        <v>7708</v>
      </c>
      <c r="CU1740">
        <v>1027</v>
      </c>
      <c r="CV1740">
        <v>211</v>
      </c>
      <c r="CW1740">
        <v>0</v>
      </c>
      <c r="CX1740">
        <v>44</v>
      </c>
      <c r="CY1740">
        <v>46</v>
      </c>
      <c r="CZ1740">
        <v>2</v>
      </c>
      <c r="DA1740">
        <v>0</v>
      </c>
      <c r="DB1740">
        <v>0.95652173913043503</v>
      </c>
      <c r="DC1740">
        <v>0</v>
      </c>
      <c r="DD1740">
        <v>1</v>
      </c>
      <c r="DE1740">
        <v>1</v>
      </c>
      <c r="DF1740">
        <v>0</v>
      </c>
      <c r="DG1740">
        <v>44</v>
      </c>
      <c r="DH1740">
        <v>0</v>
      </c>
      <c r="DI1740">
        <v>0</v>
      </c>
    </row>
    <row r="1741" spans="1:113" ht="15" customHeight="1" x14ac:dyDescent="0.25">
      <c r="A1741" t="s">
        <v>7709</v>
      </c>
      <c r="B1741" t="s">
        <v>7710</v>
      </c>
      <c r="C1741" t="s">
        <v>481</v>
      </c>
      <c r="D1741" t="s">
        <v>10</v>
      </c>
      <c r="E1741" t="s">
        <v>10</v>
      </c>
      <c r="F1741" t="s">
        <v>7711</v>
      </c>
      <c r="G1741">
        <v>2025</v>
      </c>
      <c r="H1741" t="s">
        <v>1160</v>
      </c>
      <c r="I1741" t="s">
        <v>97</v>
      </c>
      <c r="J1741">
        <v>14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Y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S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16</v>
      </c>
      <c r="BW1741">
        <v>198</v>
      </c>
      <c r="BX1741">
        <v>10</v>
      </c>
      <c r="BY1741">
        <v>246</v>
      </c>
      <c r="BZ1741">
        <v>0</v>
      </c>
      <c r="CA1741">
        <v>0</v>
      </c>
      <c r="CB1741">
        <v>0</v>
      </c>
      <c r="CC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C1741">
        <v>0</v>
      </c>
      <c r="DD1741">
        <v>0</v>
      </c>
      <c r="DE1741">
        <v>0</v>
      </c>
      <c r="DF1741">
        <v>0</v>
      </c>
      <c r="DH1741">
        <v>0</v>
      </c>
      <c r="DI1741">
        <v>0</v>
      </c>
    </row>
    <row r="1742" spans="1:113" ht="15" customHeight="1" x14ac:dyDescent="0.25">
      <c r="A1742" t="s">
        <v>7712</v>
      </c>
      <c r="B1742" t="s">
        <v>7713</v>
      </c>
      <c r="C1742" t="s">
        <v>7714</v>
      </c>
      <c r="D1742" t="s">
        <v>1243</v>
      </c>
      <c r="E1742" t="s">
        <v>1190</v>
      </c>
      <c r="F1742" t="s">
        <v>7715</v>
      </c>
      <c r="G1742">
        <v>2025</v>
      </c>
      <c r="H1742" t="s">
        <v>1160</v>
      </c>
      <c r="I1742" t="s">
        <v>97</v>
      </c>
      <c r="J1742">
        <v>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Y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S1742">
        <v>0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</v>
      </c>
      <c r="BA1742">
        <v>1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0</v>
      </c>
      <c r="BI1742">
        <v>0</v>
      </c>
      <c r="BJ1742">
        <v>1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C1742">
        <v>0</v>
      </c>
      <c r="DD1742">
        <v>0</v>
      </c>
      <c r="DE1742">
        <v>0</v>
      </c>
      <c r="DF1742">
        <v>0</v>
      </c>
      <c r="DH1742">
        <v>0</v>
      </c>
      <c r="DI1742">
        <v>0</v>
      </c>
    </row>
    <row r="1743" spans="1:113" ht="15" customHeight="1" x14ac:dyDescent="0.25">
      <c r="A1743" t="s">
        <v>7716</v>
      </c>
      <c r="B1743" t="s">
        <v>2781</v>
      </c>
      <c r="C1743" t="s">
        <v>717</v>
      </c>
      <c r="D1743" t="s">
        <v>431</v>
      </c>
      <c r="E1743" t="s">
        <v>431</v>
      </c>
      <c r="F1743" t="s">
        <v>7717</v>
      </c>
      <c r="G1743">
        <v>2025</v>
      </c>
      <c r="H1743" t="s">
        <v>1160</v>
      </c>
      <c r="I1743" t="s">
        <v>123</v>
      </c>
      <c r="J1743">
        <v>17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Y1743">
        <v>0</v>
      </c>
      <c r="AA1743">
        <v>44</v>
      </c>
      <c r="AB1743">
        <v>151</v>
      </c>
      <c r="AC1743">
        <v>0</v>
      </c>
      <c r="AD1743">
        <v>1</v>
      </c>
      <c r="AE1743">
        <v>0</v>
      </c>
      <c r="AF1743">
        <v>6</v>
      </c>
      <c r="AG1743">
        <v>-9.7441629001405108</v>
      </c>
      <c r="AH1743">
        <v>0</v>
      </c>
      <c r="AI1743">
        <v>25</v>
      </c>
      <c r="AJ1743">
        <v>35</v>
      </c>
      <c r="AK1743">
        <v>172</v>
      </c>
      <c r="AL1743">
        <v>1</v>
      </c>
      <c r="AM1743">
        <v>0</v>
      </c>
      <c r="AN1743">
        <v>0</v>
      </c>
      <c r="AO1743">
        <v>-56</v>
      </c>
      <c r="AP1743">
        <v>232</v>
      </c>
      <c r="AQ1743">
        <v>7</v>
      </c>
      <c r="AR1743">
        <v>-0.61700354655179901</v>
      </c>
      <c r="AS1743">
        <v>0</v>
      </c>
      <c r="AT1743">
        <v>-3.0714285714285698</v>
      </c>
      <c r="AU1743">
        <v>6.3752276867030999E-2</v>
      </c>
      <c r="AV1743">
        <v>-1.2353849547760899E-2</v>
      </c>
      <c r="AW1743">
        <v>8.6980720617113899E-2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6</v>
      </c>
      <c r="BW1743">
        <v>68</v>
      </c>
      <c r="BX1743">
        <v>18</v>
      </c>
      <c r="BY1743">
        <v>481</v>
      </c>
      <c r="BZ1743">
        <v>0</v>
      </c>
      <c r="CA1743">
        <v>0</v>
      </c>
      <c r="CB1743">
        <v>0</v>
      </c>
      <c r="CC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C1743">
        <v>0</v>
      </c>
      <c r="DD1743">
        <v>0</v>
      </c>
      <c r="DE1743">
        <v>0</v>
      </c>
      <c r="DF1743">
        <v>0</v>
      </c>
      <c r="DH1743">
        <v>38.299999999999997</v>
      </c>
      <c r="DI1743">
        <v>63.3</v>
      </c>
    </row>
    <row r="1744" spans="1:113" ht="15" customHeight="1" x14ac:dyDescent="0.25">
      <c r="A1744" t="s">
        <v>7718</v>
      </c>
      <c r="B1744" t="s">
        <v>7719</v>
      </c>
      <c r="C1744" t="s">
        <v>7720</v>
      </c>
      <c r="D1744" t="s">
        <v>1307</v>
      </c>
      <c r="E1744" t="s">
        <v>1307</v>
      </c>
      <c r="F1744" t="s">
        <v>7721</v>
      </c>
      <c r="G1744">
        <v>2025</v>
      </c>
      <c r="H1744" t="s">
        <v>1160</v>
      </c>
      <c r="I1744" t="s">
        <v>123</v>
      </c>
      <c r="J1744">
        <v>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Y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S1744">
        <v>0</v>
      </c>
      <c r="AU1744">
        <v>0</v>
      </c>
      <c r="AV1744">
        <v>0</v>
      </c>
      <c r="AW1744">
        <v>0</v>
      </c>
      <c r="AX1744">
        <v>0</v>
      </c>
      <c r="AY1744">
        <v>10</v>
      </c>
      <c r="AZ1744">
        <v>0</v>
      </c>
      <c r="BA1744">
        <v>5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2</v>
      </c>
      <c r="BK1744">
        <v>0</v>
      </c>
      <c r="BL1744">
        <v>0</v>
      </c>
      <c r="BM1744">
        <v>0</v>
      </c>
      <c r="BN1744">
        <v>0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3</v>
      </c>
      <c r="BU1744">
        <v>25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C1744">
        <v>0</v>
      </c>
      <c r="DD1744">
        <v>0</v>
      </c>
      <c r="DE1744">
        <v>0</v>
      </c>
      <c r="DF1744">
        <v>0</v>
      </c>
      <c r="DH1744">
        <v>0</v>
      </c>
      <c r="DI1744">
        <v>0</v>
      </c>
    </row>
    <row r="1745" spans="1:113" ht="15" customHeight="1" x14ac:dyDescent="0.25">
      <c r="A1745" t="s">
        <v>7722</v>
      </c>
      <c r="B1745" t="s">
        <v>7723</v>
      </c>
      <c r="C1745" t="s">
        <v>7724</v>
      </c>
      <c r="D1745" t="s">
        <v>1219</v>
      </c>
      <c r="E1745" t="s">
        <v>1220</v>
      </c>
      <c r="F1745" t="s">
        <v>7725</v>
      </c>
      <c r="G1745">
        <v>2025</v>
      </c>
      <c r="H1745" t="s">
        <v>1160</v>
      </c>
      <c r="I1745" t="s">
        <v>123</v>
      </c>
      <c r="J1745">
        <v>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Y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S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3</v>
      </c>
      <c r="BU1745">
        <v>11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C1745">
        <v>0</v>
      </c>
      <c r="DD1745">
        <v>0</v>
      </c>
      <c r="DE1745">
        <v>0</v>
      </c>
      <c r="DF1745">
        <v>0</v>
      </c>
      <c r="DH1745">
        <v>0</v>
      </c>
      <c r="DI1745">
        <v>0</v>
      </c>
    </row>
    <row r="1746" spans="1:113" ht="15" customHeight="1" x14ac:dyDescent="0.25">
      <c r="A1746" t="s">
        <v>7726</v>
      </c>
      <c r="B1746" t="s">
        <v>7727</v>
      </c>
      <c r="C1746" t="s">
        <v>7728</v>
      </c>
      <c r="D1746" t="s">
        <v>1234</v>
      </c>
      <c r="E1746" t="s">
        <v>1234</v>
      </c>
      <c r="F1746" t="s">
        <v>7729</v>
      </c>
      <c r="G1746">
        <v>2025</v>
      </c>
      <c r="H1746" t="s">
        <v>1160</v>
      </c>
      <c r="I1746" t="s">
        <v>97</v>
      </c>
      <c r="J1746">
        <v>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Y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S1746">
        <v>0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</v>
      </c>
      <c r="BA1746">
        <v>7</v>
      </c>
      <c r="BB1746">
        <v>0</v>
      </c>
      <c r="BC1746">
        <v>0</v>
      </c>
      <c r="BD1746">
        <v>1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C1746">
        <v>0</v>
      </c>
      <c r="DD1746">
        <v>0</v>
      </c>
      <c r="DE1746">
        <v>0</v>
      </c>
      <c r="DF1746">
        <v>0</v>
      </c>
      <c r="DH1746">
        <v>0</v>
      </c>
      <c r="DI1746">
        <v>0</v>
      </c>
    </row>
    <row r="1747" spans="1:113" ht="15" customHeight="1" x14ac:dyDescent="0.25">
      <c r="A1747" t="s">
        <v>7730</v>
      </c>
      <c r="B1747" t="s">
        <v>7731</v>
      </c>
      <c r="C1747" t="s">
        <v>7732</v>
      </c>
      <c r="D1747" t="s">
        <v>1684</v>
      </c>
      <c r="E1747" t="s">
        <v>1307</v>
      </c>
      <c r="F1747" t="s">
        <v>7733</v>
      </c>
      <c r="G1747">
        <v>2025</v>
      </c>
      <c r="H1747" t="s">
        <v>1160</v>
      </c>
      <c r="I1747" t="s">
        <v>97</v>
      </c>
      <c r="J1747">
        <v>10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Y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S1747">
        <v>0</v>
      </c>
      <c r="AU1747">
        <v>0</v>
      </c>
      <c r="AV1747">
        <v>0</v>
      </c>
      <c r="AW1747">
        <v>0</v>
      </c>
      <c r="AX1747">
        <v>0</v>
      </c>
      <c r="AY1747">
        <v>10</v>
      </c>
      <c r="AZ1747">
        <v>0</v>
      </c>
      <c r="BA1747">
        <v>3</v>
      </c>
      <c r="BB1747">
        <v>0</v>
      </c>
      <c r="BC1747">
        <v>0</v>
      </c>
      <c r="BD1747">
        <v>1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1</v>
      </c>
      <c r="BR1747">
        <v>1</v>
      </c>
      <c r="BS1747">
        <v>0</v>
      </c>
      <c r="BT1747">
        <v>3</v>
      </c>
      <c r="BU1747">
        <v>30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C1747">
        <v>0</v>
      </c>
      <c r="DD1747">
        <v>0</v>
      </c>
      <c r="DE1747">
        <v>0</v>
      </c>
      <c r="DF1747">
        <v>0</v>
      </c>
      <c r="DH1747">
        <v>0</v>
      </c>
      <c r="DI1747">
        <v>0</v>
      </c>
    </row>
    <row r="1748" spans="1:113" ht="15" customHeight="1" x14ac:dyDescent="0.25">
      <c r="A1748" t="s">
        <v>7734</v>
      </c>
      <c r="B1748" t="s">
        <v>7735</v>
      </c>
      <c r="C1748" t="s">
        <v>7736</v>
      </c>
      <c r="D1748" t="s">
        <v>1684</v>
      </c>
      <c r="E1748" t="s">
        <v>1307</v>
      </c>
      <c r="F1748" t="s">
        <v>7737</v>
      </c>
      <c r="G1748">
        <v>2025</v>
      </c>
      <c r="H1748" t="s">
        <v>1160</v>
      </c>
      <c r="I1748" t="s">
        <v>97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Y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S1748">
        <v>0</v>
      </c>
      <c r="AU1748">
        <v>0</v>
      </c>
      <c r="AV1748">
        <v>0</v>
      </c>
      <c r="AW1748">
        <v>0</v>
      </c>
      <c r="AX1748">
        <v>0</v>
      </c>
      <c r="AY1748">
        <v>1</v>
      </c>
      <c r="AZ1748">
        <v>0</v>
      </c>
      <c r="BA1748">
        <v>4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C1748">
        <v>0</v>
      </c>
      <c r="DD1748">
        <v>0</v>
      </c>
      <c r="DE1748">
        <v>0</v>
      </c>
      <c r="DF1748">
        <v>0</v>
      </c>
      <c r="DH1748">
        <v>0</v>
      </c>
      <c r="DI1748">
        <v>0</v>
      </c>
    </row>
    <row r="1749" spans="1:113" ht="15" customHeight="1" x14ac:dyDescent="0.25">
      <c r="A1749" t="s">
        <v>7738</v>
      </c>
      <c r="B1749" t="s">
        <v>7739</v>
      </c>
      <c r="C1749" t="s">
        <v>7740</v>
      </c>
      <c r="D1749" t="s">
        <v>1234</v>
      </c>
      <c r="E1749" t="s">
        <v>1234</v>
      </c>
      <c r="F1749" t="s">
        <v>7741</v>
      </c>
      <c r="G1749">
        <v>2025</v>
      </c>
      <c r="H1749" t="s">
        <v>1160</v>
      </c>
      <c r="I1749" t="s">
        <v>97</v>
      </c>
      <c r="J1749">
        <v>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Y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S1749">
        <v>0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>
        <v>4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C1749">
        <v>0</v>
      </c>
      <c r="DD1749">
        <v>0</v>
      </c>
      <c r="DE1749">
        <v>0</v>
      </c>
      <c r="DF1749">
        <v>0</v>
      </c>
      <c r="DH1749">
        <v>0</v>
      </c>
      <c r="DI1749">
        <v>0</v>
      </c>
    </row>
    <row r="1750" spans="1:113" ht="15" customHeight="1" x14ac:dyDescent="0.25">
      <c r="A1750" t="s">
        <v>7742</v>
      </c>
      <c r="B1750" t="s">
        <v>3292</v>
      </c>
      <c r="C1750" t="s">
        <v>7743</v>
      </c>
      <c r="D1750" t="s">
        <v>1219</v>
      </c>
      <c r="E1750" t="s">
        <v>1220</v>
      </c>
      <c r="F1750" t="s">
        <v>7744</v>
      </c>
      <c r="G1750">
        <v>2025</v>
      </c>
      <c r="H1750" t="s">
        <v>1160</v>
      </c>
      <c r="I1750" t="s">
        <v>123</v>
      </c>
      <c r="J1750">
        <v>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Y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S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7</v>
      </c>
      <c r="BU1750">
        <v>55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C1750">
        <v>0</v>
      </c>
      <c r="DD1750">
        <v>0</v>
      </c>
      <c r="DE1750">
        <v>0</v>
      </c>
      <c r="DF1750">
        <v>0</v>
      </c>
      <c r="DH1750">
        <v>0</v>
      </c>
      <c r="DI1750">
        <v>0</v>
      </c>
    </row>
    <row r="1751" spans="1:113" ht="15" customHeight="1" x14ac:dyDescent="0.25">
      <c r="A1751" t="s">
        <v>7745</v>
      </c>
      <c r="B1751" t="s">
        <v>7746</v>
      </c>
      <c r="C1751" t="s">
        <v>7747</v>
      </c>
      <c r="D1751" t="s">
        <v>1234</v>
      </c>
      <c r="E1751" t="s">
        <v>1234</v>
      </c>
      <c r="F1751" t="s">
        <v>7748</v>
      </c>
      <c r="G1751">
        <v>2025</v>
      </c>
      <c r="H1751" t="s">
        <v>1160</v>
      </c>
      <c r="I1751" t="s">
        <v>123</v>
      </c>
      <c r="J1751">
        <v>11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Y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S1751">
        <v>0</v>
      </c>
      <c r="AU1751">
        <v>0</v>
      </c>
      <c r="AV1751">
        <v>0</v>
      </c>
      <c r="AW1751">
        <v>0</v>
      </c>
      <c r="AX1751">
        <v>0</v>
      </c>
      <c r="AY1751">
        <v>9</v>
      </c>
      <c r="AZ1751">
        <v>1</v>
      </c>
      <c r="BA1751">
        <v>15</v>
      </c>
      <c r="BB1751">
        <v>1</v>
      </c>
      <c r="BC1751">
        <v>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1</v>
      </c>
      <c r="BU1751">
        <v>4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C1751">
        <v>0</v>
      </c>
      <c r="DD1751">
        <v>0</v>
      </c>
      <c r="DE1751">
        <v>0</v>
      </c>
      <c r="DF1751">
        <v>0</v>
      </c>
      <c r="DH1751">
        <v>0</v>
      </c>
      <c r="DI1751">
        <v>0</v>
      </c>
    </row>
    <row r="1752" spans="1:113" ht="15" customHeight="1" x14ac:dyDescent="0.25">
      <c r="A1752" t="s">
        <v>7749</v>
      </c>
      <c r="B1752" t="s">
        <v>7750</v>
      </c>
      <c r="C1752" t="s">
        <v>766</v>
      </c>
      <c r="D1752" t="s">
        <v>431</v>
      </c>
      <c r="E1752" t="s">
        <v>431</v>
      </c>
      <c r="F1752" t="s">
        <v>7751</v>
      </c>
      <c r="G1752">
        <v>2025</v>
      </c>
      <c r="H1752" t="s">
        <v>1160</v>
      </c>
      <c r="I1752" t="s">
        <v>89</v>
      </c>
      <c r="J1752">
        <v>17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Y1752">
        <v>0</v>
      </c>
      <c r="AA1752">
        <v>266</v>
      </c>
      <c r="AB1752">
        <v>975</v>
      </c>
      <c r="AC1752">
        <v>5</v>
      </c>
      <c r="AD1752">
        <v>1</v>
      </c>
      <c r="AE1752">
        <v>1</v>
      </c>
      <c r="AF1752">
        <v>46</v>
      </c>
      <c r="AG1752">
        <v>-65.1810373724458</v>
      </c>
      <c r="AH1752">
        <v>0</v>
      </c>
      <c r="AI1752">
        <v>55</v>
      </c>
      <c r="AJ1752">
        <v>73</v>
      </c>
      <c r="AK1752">
        <v>346</v>
      </c>
      <c r="AL1752">
        <v>5</v>
      </c>
      <c r="AM1752">
        <v>1</v>
      </c>
      <c r="AN1752">
        <v>0</v>
      </c>
      <c r="AO1752">
        <v>-104</v>
      </c>
      <c r="AP1752">
        <v>452</v>
      </c>
      <c r="AQ1752">
        <v>14</v>
      </c>
      <c r="AR1752">
        <v>-11.8767157618217</v>
      </c>
      <c r="AS1752">
        <v>0</v>
      </c>
      <c r="AT1752">
        <v>-3.3269230769230802</v>
      </c>
      <c r="AU1752">
        <v>0.147773279352227</v>
      </c>
      <c r="AV1752">
        <v>-3.24189526184539E-2</v>
      </c>
      <c r="AW1752">
        <v>0.19896665219542201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1</v>
      </c>
      <c r="BU1752">
        <v>5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C1752">
        <v>0</v>
      </c>
      <c r="DD1752">
        <v>0</v>
      </c>
      <c r="DE1752">
        <v>0</v>
      </c>
      <c r="DF1752">
        <v>0</v>
      </c>
      <c r="DH1752">
        <v>190.1</v>
      </c>
      <c r="DI1752">
        <v>245.1</v>
      </c>
    </row>
    <row r="1753" spans="1:113" ht="15" customHeight="1" x14ac:dyDescent="0.25">
      <c r="A1753" t="s">
        <v>7752</v>
      </c>
      <c r="B1753" t="s">
        <v>7753</v>
      </c>
      <c r="C1753" t="s">
        <v>7754</v>
      </c>
      <c r="D1753" t="s">
        <v>1219</v>
      </c>
      <c r="E1753" t="s">
        <v>1220</v>
      </c>
      <c r="F1753" t="s">
        <v>7755</v>
      </c>
      <c r="G1753">
        <v>2025</v>
      </c>
      <c r="H1753" t="s">
        <v>1160</v>
      </c>
      <c r="I1753" t="s">
        <v>101</v>
      </c>
      <c r="J1753">
        <v>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Y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S1753">
        <v>0</v>
      </c>
      <c r="AU1753">
        <v>0</v>
      </c>
      <c r="AV1753">
        <v>0</v>
      </c>
      <c r="AW1753">
        <v>0</v>
      </c>
      <c r="AX1753">
        <v>0</v>
      </c>
      <c r="AY1753">
        <v>2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8</v>
      </c>
      <c r="BU1753">
        <v>45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C1753">
        <v>0</v>
      </c>
      <c r="DD1753">
        <v>0</v>
      </c>
      <c r="DE1753">
        <v>0</v>
      </c>
      <c r="DF1753">
        <v>0</v>
      </c>
      <c r="DH1753">
        <v>0</v>
      </c>
      <c r="DI1753">
        <v>0</v>
      </c>
    </row>
    <row r="1754" spans="1:113" ht="15" customHeight="1" x14ac:dyDescent="0.25">
      <c r="A1754" t="s">
        <v>7756</v>
      </c>
      <c r="B1754" t="s">
        <v>7757</v>
      </c>
      <c r="C1754" t="s">
        <v>509</v>
      </c>
      <c r="D1754" t="s">
        <v>10</v>
      </c>
      <c r="E1754" t="s">
        <v>10</v>
      </c>
      <c r="F1754" t="s">
        <v>7758</v>
      </c>
      <c r="G1754">
        <v>2025</v>
      </c>
      <c r="H1754" t="s">
        <v>1160</v>
      </c>
      <c r="I1754" t="s">
        <v>96</v>
      </c>
      <c r="J1754">
        <v>17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Y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H1754">
        <v>0</v>
      </c>
      <c r="AI1754">
        <v>70</v>
      </c>
      <c r="AJ1754">
        <v>122</v>
      </c>
      <c r="AK1754">
        <v>1014</v>
      </c>
      <c r="AL1754">
        <v>7</v>
      </c>
      <c r="AM1754">
        <v>0</v>
      </c>
      <c r="AN1754">
        <v>0</v>
      </c>
      <c r="AO1754">
        <v>1410</v>
      </c>
      <c r="AP1754">
        <v>269</v>
      </c>
      <c r="AQ1754">
        <v>55</v>
      </c>
      <c r="AR1754">
        <v>25.285096088212899</v>
      </c>
      <c r="AS1754">
        <v>0</v>
      </c>
      <c r="AT1754">
        <v>0.71914893617021303</v>
      </c>
      <c r="AU1754">
        <v>0.25416666666666698</v>
      </c>
      <c r="AV1754">
        <v>0.40869565217391302</v>
      </c>
      <c r="AW1754">
        <v>0.66733695652173897</v>
      </c>
      <c r="AX1754">
        <v>0</v>
      </c>
      <c r="AY1754">
        <v>3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10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C1754">
        <v>0</v>
      </c>
      <c r="DD1754">
        <v>0</v>
      </c>
      <c r="DE1754">
        <v>0</v>
      </c>
      <c r="DF1754">
        <v>0</v>
      </c>
      <c r="DH1754">
        <v>143.4</v>
      </c>
      <c r="DI1754">
        <v>213.4</v>
      </c>
    </row>
    <row r="1755" spans="1:113" ht="15" customHeight="1" x14ac:dyDescent="0.25">
      <c r="A1755" t="s">
        <v>7759</v>
      </c>
      <c r="B1755" t="s">
        <v>7760</v>
      </c>
      <c r="C1755" t="s">
        <v>7761</v>
      </c>
      <c r="D1755" t="s">
        <v>1219</v>
      </c>
      <c r="E1755" t="s">
        <v>1220</v>
      </c>
      <c r="F1755" t="s">
        <v>7762</v>
      </c>
      <c r="G1755">
        <v>2025</v>
      </c>
      <c r="H1755" t="s">
        <v>1160</v>
      </c>
      <c r="I1755" t="s">
        <v>138</v>
      </c>
      <c r="J1755">
        <v>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Y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S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9</v>
      </c>
      <c r="BU1755">
        <v>65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C1755">
        <v>0</v>
      </c>
      <c r="DD1755">
        <v>0</v>
      </c>
      <c r="DE1755">
        <v>0</v>
      </c>
      <c r="DF1755">
        <v>0</v>
      </c>
      <c r="DH1755">
        <v>0</v>
      </c>
      <c r="DI1755">
        <v>0</v>
      </c>
    </row>
    <row r="1756" spans="1:113" ht="15" customHeight="1" x14ac:dyDescent="0.25">
      <c r="A1756" t="s">
        <v>7763</v>
      </c>
      <c r="B1756" t="s">
        <v>7764</v>
      </c>
      <c r="C1756" t="s">
        <v>529</v>
      </c>
      <c r="D1756" t="s">
        <v>439</v>
      </c>
      <c r="E1756" t="s">
        <v>439</v>
      </c>
      <c r="F1756" t="s">
        <v>7765</v>
      </c>
      <c r="G1756">
        <v>2025</v>
      </c>
      <c r="H1756" t="s">
        <v>1160</v>
      </c>
      <c r="I1756" t="s">
        <v>104</v>
      </c>
      <c r="J1756">
        <v>16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Y1756">
        <v>0</v>
      </c>
      <c r="AA1756">
        <v>1</v>
      </c>
      <c r="AB1756">
        <v>-2</v>
      </c>
      <c r="AC1756">
        <v>0</v>
      </c>
      <c r="AD1756">
        <v>0</v>
      </c>
      <c r="AE1756">
        <v>0</v>
      </c>
      <c r="AF1756">
        <v>0</v>
      </c>
      <c r="AG1756">
        <v>-0.872515333816409</v>
      </c>
      <c r="AH1756">
        <v>0</v>
      </c>
      <c r="AI1756">
        <v>58</v>
      </c>
      <c r="AJ1756">
        <v>82</v>
      </c>
      <c r="AK1756">
        <v>713</v>
      </c>
      <c r="AL1756">
        <v>6</v>
      </c>
      <c r="AM1756">
        <v>0</v>
      </c>
      <c r="AN1756">
        <v>0</v>
      </c>
      <c r="AO1756">
        <v>746</v>
      </c>
      <c r="AP1756">
        <v>250</v>
      </c>
      <c r="AQ1756">
        <v>36</v>
      </c>
      <c r="AR1756">
        <v>47.506098716443603</v>
      </c>
      <c r="AS1756">
        <v>0</v>
      </c>
      <c r="AT1756">
        <v>0.95576407506702399</v>
      </c>
      <c r="AU1756">
        <v>0.15413533834586499</v>
      </c>
      <c r="AV1756">
        <v>0.15088996763754001</v>
      </c>
      <c r="AW1756">
        <v>0.33682598486507498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5</v>
      </c>
      <c r="BU1756">
        <v>35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C1756">
        <v>0</v>
      </c>
      <c r="DD1756">
        <v>0</v>
      </c>
      <c r="DE1756">
        <v>0</v>
      </c>
      <c r="DF1756">
        <v>0</v>
      </c>
      <c r="DH1756">
        <v>107.1</v>
      </c>
      <c r="DI1756">
        <v>165.1</v>
      </c>
    </row>
    <row r="1757" spans="1:113" ht="15" customHeight="1" x14ac:dyDescent="0.25">
      <c r="A1757" t="s">
        <v>7766</v>
      </c>
      <c r="B1757" t="s">
        <v>7767</v>
      </c>
      <c r="C1757" t="s">
        <v>7768</v>
      </c>
      <c r="D1757" t="s">
        <v>1243</v>
      </c>
      <c r="E1757" t="s">
        <v>1190</v>
      </c>
      <c r="F1757" t="s">
        <v>7769</v>
      </c>
      <c r="G1757">
        <v>2025</v>
      </c>
      <c r="H1757" t="s">
        <v>1160</v>
      </c>
      <c r="I1757" t="s">
        <v>133</v>
      </c>
      <c r="J1757">
        <v>17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Y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S1757">
        <v>0</v>
      </c>
      <c r="AU1757">
        <v>0</v>
      </c>
      <c r="AV1757">
        <v>0</v>
      </c>
      <c r="AW1757">
        <v>0</v>
      </c>
      <c r="AX1757">
        <v>0</v>
      </c>
      <c r="AY1757">
        <v>15</v>
      </c>
      <c r="AZ1757">
        <v>0</v>
      </c>
      <c r="BA1757">
        <v>18</v>
      </c>
      <c r="BB1757">
        <v>2</v>
      </c>
      <c r="BC1757">
        <v>3</v>
      </c>
      <c r="BD1757">
        <v>0</v>
      </c>
      <c r="BE1757">
        <v>2</v>
      </c>
      <c r="BF1757">
        <v>3</v>
      </c>
      <c r="BG1757">
        <v>5</v>
      </c>
      <c r="BH1757">
        <v>0</v>
      </c>
      <c r="BI1757">
        <v>0</v>
      </c>
      <c r="BJ1757">
        <v>1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C1757">
        <v>0</v>
      </c>
      <c r="DD1757">
        <v>0</v>
      </c>
      <c r="DE1757">
        <v>0</v>
      </c>
      <c r="DF1757">
        <v>0</v>
      </c>
      <c r="DH1757">
        <v>0</v>
      </c>
      <c r="DI1757">
        <v>0</v>
      </c>
    </row>
    <row r="1758" spans="1:113" ht="15" customHeight="1" x14ac:dyDescent="0.25">
      <c r="A1758" t="s">
        <v>7770</v>
      </c>
      <c r="B1758" t="s">
        <v>7771</v>
      </c>
      <c r="C1758" t="s">
        <v>686</v>
      </c>
      <c r="D1758" t="s">
        <v>439</v>
      </c>
      <c r="E1758" t="s">
        <v>439</v>
      </c>
      <c r="F1758" t="s">
        <v>7772</v>
      </c>
      <c r="G1758">
        <v>2025</v>
      </c>
      <c r="H1758" t="s">
        <v>1160</v>
      </c>
      <c r="I1758" t="s">
        <v>124</v>
      </c>
      <c r="J1758">
        <v>17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11</v>
      </c>
      <c r="U1758">
        <v>0</v>
      </c>
      <c r="V1758">
        <v>0</v>
      </c>
      <c r="W1758">
        <v>-0.465327389014419</v>
      </c>
      <c r="Y1758">
        <v>0</v>
      </c>
      <c r="Z1758">
        <v>0</v>
      </c>
      <c r="AA1758">
        <v>6</v>
      </c>
      <c r="AB1758">
        <v>8</v>
      </c>
      <c r="AC1758">
        <v>1</v>
      </c>
      <c r="AD1758">
        <v>1</v>
      </c>
      <c r="AE1758">
        <v>0</v>
      </c>
      <c r="AF1758">
        <v>4</v>
      </c>
      <c r="AG1758">
        <v>-4.3373547460942099</v>
      </c>
      <c r="AH1758">
        <v>0</v>
      </c>
      <c r="AI1758">
        <v>76</v>
      </c>
      <c r="AJ1758">
        <v>112</v>
      </c>
      <c r="AK1758">
        <v>817</v>
      </c>
      <c r="AL1758">
        <v>4</v>
      </c>
      <c r="AM1758">
        <v>0</v>
      </c>
      <c r="AN1758">
        <v>0</v>
      </c>
      <c r="AO1758">
        <v>602</v>
      </c>
      <c r="AP1758">
        <v>474</v>
      </c>
      <c r="AQ1758">
        <v>42</v>
      </c>
      <c r="AR1758">
        <v>15.770369196454499</v>
      </c>
      <c r="AS1758">
        <v>0</v>
      </c>
      <c r="AT1758">
        <v>1.3571428571428601</v>
      </c>
      <c r="AU1758">
        <v>0.211320754716981</v>
      </c>
      <c r="AV1758">
        <v>0.13744292237442901</v>
      </c>
      <c r="AW1758">
        <v>0.41319117773757202</v>
      </c>
      <c r="AX1758">
        <v>0</v>
      </c>
      <c r="AY1758">
        <v>1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1</v>
      </c>
      <c r="BP1758">
        <v>2</v>
      </c>
      <c r="BQ1758">
        <v>0</v>
      </c>
      <c r="BR1758">
        <v>0</v>
      </c>
      <c r="BS1758">
        <v>0</v>
      </c>
      <c r="BT1758">
        <v>3</v>
      </c>
      <c r="BU1758">
        <v>30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C1758">
        <v>0</v>
      </c>
      <c r="DD1758">
        <v>0</v>
      </c>
      <c r="DE1758">
        <v>0</v>
      </c>
      <c r="DF1758">
        <v>0</v>
      </c>
      <c r="DH1758">
        <v>112.5</v>
      </c>
      <c r="DI1758">
        <v>188.5</v>
      </c>
    </row>
    <row r="1759" spans="1:113" ht="15" customHeight="1" x14ac:dyDescent="0.25">
      <c r="A1759" t="s">
        <v>7773</v>
      </c>
      <c r="B1759" t="s">
        <v>7774</v>
      </c>
      <c r="C1759" t="s">
        <v>982</v>
      </c>
      <c r="D1759" t="s">
        <v>10</v>
      </c>
      <c r="E1759" t="s">
        <v>10</v>
      </c>
      <c r="F1759" t="s">
        <v>7775</v>
      </c>
      <c r="G1759">
        <v>2025</v>
      </c>
      <c r="H1759" t="s">
        <v>1160</v>
      </c>
      <c r="I1759" t="s">
        <v>126</v>
      </c>
      <c r="J1759">
        <v>17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Y1759">
        <v>0</v>
      </c>
      <c r="AA1759">
        <v>2</v>
      </c>
      <c r="AB1759">
        <v>9</v>
      </c>
      <c r="AC1759">
        <v>0</v>
      </c>
      <c r="AD1759">
        <v>0</v>
      </c>
      <c r="AE1759">
        <v>0</v>
      </c>
      <c r="AF1759">
        <v>0</v>
      </c>
      <c r="AG1759">
        <v>-1.6816435545477999</v>
      </c>
      <c r="AH1759">
        <v>0</v>
      </c>
      <c r="AI1759">
        <v>63</v>
      </c>
      <c r="AJ1759">
        <v>127</v>
      </c>
      <c r="AK1759">
        <v>938</v>
      </c>
      <c r="AL1759">
        <v>6</v>
      </c>
      <c r="AM1759">
        <v>0</v>
      </c>
      <c r="AN1759">
        <v>0</v>
      </c>
      <c r="AO1759">
        <v>1572</v>
      </c>
      <c r="AP1759">
        <v>335</v>
      </c>
      <c r="AQ1759">
        <v>34</v>
      </c>
      <c r="AR1759">
        <v>7.14314297718989</v>
      </c>
      <c r="AS1759">
        <v>1</v>
      </c>
      <c r="AT1759">
        <v>0.59669211195928795</v>
      </c>
      <c r="AU1759">
        <v>0.23475046210720901</v>
      </c>
      <c r="AV1759">
        <v>0.349023090586146</v>
      </c>
      <c r="AW1759">
        <v>0.59644185657111504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3</v>
      </c>
      <c r="BU1759">
        <v>20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C1759">
        <v>0</v>
      </c>
      <c r="DD1759">
        <v>0</v>
      </c>
      <c r="DE1759">
        <v>0</v>
      </c>
      <c r="DF1759">
        <v>0</v>
      </c>
      <c r="DH1759">
        <v>132.69999999999999</v>
      </c>
      <c r="DI1759">
        <v>195.7</v>
      </c>
    </row>
    <row r="1760" spans="1:113" ht="15" customHeight="1" x14ac:dyDescent="0.25">
      <c r="A1760" t="s">
        <v>7776</v>
      </c>
      <c r="B1760" t="s">
        <v>7727</v>
      </c>
      <c r="C1760" t="s">
        <v>653</v>
      </c>
      <c r="D1760" t="s">
        <v>10</v>
      </c>
      <c r="E1760" t="s">
        <v>10</v>
      </c>
      <c r="F1760" t="s">
        <v>7777</v>
      </c>
      <c r="G1760">
        <v>2025</v>
      </c>
      <c r="H1760" t="s">
        <v>1160</v>
      </c>
      <c r="I1760" t="s">
        <v>121</v>
      </c>
      <c r="J1760">
        <v>17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Y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H1760">
        <v>0</v>
      </c>
      <c r="AI1760">
        <v>41</v>
      </c>
      <c r="AJ1760">
        <v>68</v>
      </c>
      <c r="AK1760">
        <v>525</v>
      </c>
      <c r="AL1760">
        <v>6</v>
      </c>
      <c r="AM1760">
        <v>0</v>
      </c>
      <c r="AN1760">
        <v>0</v>
      </c>
      <c r="AO1760">
        <v>839</v>
      </c>
      <c r="AP1760">
        <v>123</v>
      </c>
      <c r="AQ1760">
        <v>28</v>
      </c>
      <c r="AR1760">
        <v>16.7576827847953</v>
      </c>
      <c r="AS1760">
        <v>0</v>
      </c>
      <c r="AT1760">
        <v>0.62574493444576895</v>
      </c>
      <c r="AU1760">
        <v>0.122965641952984</v>
      </c>
      <c r="AV1760">
        <v>0.17607555089192001</v>
      </c>
      <c r="AW1760">
        <v>0.30770134855381998</v>
      </c>
      <c r="AX1760">
        <v>0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3</v>
      </c>
      <c r="BU1760">
        <v>25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C1760">
        <v>0</v>
      </c>
      <c r="DD1760">
        <v>0</v>
      </c>
      <c r="DE1760">
        <v>0</v>
      </c>
      <c r="DF1760">
        <v>0</v>
      </c>
      <c r="DH1760">
        <v>88.5</v>
      </c>
      <c r="DI1760">
        <v>129.5</v>
      </c>
    </row>
    <row r="1761" spans="1:113" ht="15" customHeight="1" x14ac:dyDescent="0.25">
      <c r="A1761" t="s">
        <v>7778</v>
      </c>
      <c r="B1761" t="s">
        <v>5494</v>
      </c>
      <c r="C1761" t="s">
        <v>831</v>
      </c>
      <c r="D1761" t="s">
        <v>10</v>
      </c>
      <c r="E1761" t="s">
        <v>10</v>
      </c>
      <c r="F1761" t="s">
        <v>7779</v>
      </c>
      <c r="G1761">
        <v>2025</v>
      </c>
      <c r="H1761" t="s">
        <v>1160</v>
      </c>
      <c r="I1761" t="s">
        <v>114</v>
      </c>
      <c r="J1761">
        <v>14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Y1761">
        <v>0</v>
      </c>
      <c r="AA1761">
        <v>2</v>
      </c>
      <c r="AB1761">
        <v>3</v>
      </c>
      <c r="AC1761">
        <v>0</v>
      </c>
      <c r="AD1761">
        <v>0</v>
      </c>
      <c r="AE1761">
        <v>0</v>
      </c>
      <c r="AF1761">
        <v>0</v>
      </c>
      <c r="AG1761">
        <v>-0.62438404187560104</v>
      </c>
      <c r="AH1761">
        <v>0</v>
      </c>
      <c r="AI1761">
        <v>10</v>
      </c>
      <c r="AJ1761">
        <v>21</v>
      </c>
      <c r="AK1761">
        <v>209</v>
      </c>
      <c r="AL1761">
        <v>3</v>
      </c>
      <c r="AM1761">
        <v>0</v>
      </c>
      <c r="AN1761">
        <v>0</v>
      </c>
      <c r="AO1761">
        <v>400</v>
      </c>
      <c r="AP1761">
        <v>79</v>
      </c>
      <c r="AQ1761">
        <v>7</v>
      </c>
      <c r="AR1761">
        <v>9.8375975379446992</v>
      </c>
      <c r="AS1761">
        <v>0</v>
      </c>
      <c r="AT1761">
        <v>0.52249999999999996</v>
      </c>
      <c r="AU1761">
        <v>4.3568464730290503E-2</v>
      </c>
      <c r="AV1761">
        <v>8.6730268863833504E-2</v>
      </c>
      <c r="AW1761">
        <v>0.126063885300119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11</v>
      </c>
      <c r="BY1761">
        <v>290</v>
      </c>
      <c r="BZ1761">
        <v>0</v>
      </c>
      <c r="CA1761">
        <v>0</v>
      </c>
      <c r="CB1761">
        <v>0</v>
      </c>
      <c r="CC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C1761">
        <v>0</v>
      </c>
      <c r="DD1761">
        <v>0</v>
      </c>
      <c r="DE1761">
        <v>0</v>
      </c>
      <c r="DF1761">
        <v>0</v>
      </c>
      <c r="DH1761">
        <v>39.200000000000003</v>
      </c>
      <c r="DI1761">
        <v>49.2</v>
      </c>
    </row>
    <row r="1762" spans="1:113" ht="15" customHeight="1" x14ac:dyDescent="0.25">
      <c r="A1762" t="s">
        <v>7780</v>
      </c>
      <c r="B1762" t="s">
        <v>3937</v>
      </c>
      <c r="C1762" t="s">
        <v>7781</v>
      </c>
      <c r="D1762" t="s">
        <v>1350</v>
      </c>
      <c r="E1762" t="s">
        <v>1307</v>
      </c>
      <c r="F1762" t="s">
        <v>7782</v>
      </c>
      <c r="G1762">
        <v>2025</v>
      </c>
      <c r="H1762" t="s">
        <v>1160</v>
      </c>
      <c r="I1762" t="s">
        <v>101</v>
      </c>
      <c r="J1762">
        <v>8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Y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S1762">
        <v>0</v>
      </c>
      <c r="AU1762">
        <v>0</v>
      </c>
      <c r="AV1762">
        <v>0</v>
      </c>
      <c r="AW1762">
        <v>0</v>
      </c>
      <c r="AX1762">
        <v>0</v>
      </c>
      <c r="AY1762">
        <v>13</v>
      </c>
      <c r="AZ1762">
        <v>0</v>
      </c>
      <c r="BA1762">
        <v>9</v>
      </c>
      <c r="BB1762">
        <v>2</v>
      </c>
      <c r="BC1762">
        <v>3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7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3</v>
      </c>
      <c r="BU1762">
        <v>39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C1762">
        <v>0</v>
      </c>
      <c r="DD1762">
        <v>0</v>
      </c>
      <c r="DE1762">
        <v>0</v>
      </c>
      <c r="DF1762">
        <v>0</v>
      </c>
      <c r="DH1762">
        <v>0</v>
      </c>
      <c r="DI1762">
        <v>0</v>
      </c>
    </row>
    <row r="1763" spans="1:113" ht="15" customHeight="1" x14ac:dyDescent="0.25">
      <c r="A1763" t="s">
        <v>7783</v>
      </c>
      <c r="B1763" t="s">
        <v>7784</v>
      </c>
      <c r="C1763" t="s">
        <v>595</v>
      </c>
      <c r="D1763" t="s">
        <v>10</v>
      </c>
      <c r="E1763" t="s">
        <v>10</v>
      </c>
      <c r="F1763" t="s">
        <v>7785</v>
      </c>
      <c r="G1763">
        <v>2025</v>
      </c>
      <c r="H1763" t="s">
        <v>1160</v>
      </c>
      <c r="I1763" t="s">
        <v>115</v>
      </c>
      <c r="J1763">
        <v>13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Y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H1763">
        <v>0</v>
      </c>
      <c r="AI1763">
        <v>31</v>
      </c>
      <c r="AJ1763">
        <v>49</v>
      </c>
      <c r="AK1763">
        <v>378</v>
      </c>
      <c r="AL1763">
        <v>1</v>
      </c>
      <c r="AM1763">
        <v>0</v>
      </c>
      <c r="AN1763">
        <v>0</v>
      </c>
      <c r="AO1763">
        <v>410</v>
      </c>
      <c r="AP1763">
        <v>147</v>
      </c>
      <c r="AQ1763">
        <v>22</v>
      </c>
      <c r="AR1763">
        <v>14.2312536819045</v>
      </c>
      <c r="AS1763">
        <v>0</v>
      </c>
      <c r="AT1763">
        <v>0.92195121951219505</v>
      </c>
      <c r="AU1763">
        <v>8.3904109589041098E-2</v>
      </c>
      <c r="AV1763">
        <v>9.1354723707664898E-2</v>
      </c>
      <c r="AW1763">
        <v>0.189804470978927</v>
      </c>
      <c r="AX1763">
        <v>0</v>
      </c>
      <c r="AY1763">
        <v>3</v>
      </c>
      <c r="AZ1763">
        <v>0</v>
      </c>
      <c r="BA1763">
        <v>1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5</v>
      </c>
      <c r="BU1763">
        <v>42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C1763">
        <v>0</v>
      </c>
      <c r="DD1763">
        <v>0</v>
      </c>
      <c r="DE1763">
        <v>0</v>
      </c>
      <c r="DF1763">
        <v>0</v>
      </c>
      <c r="DH1763">
        <v>43.8</v>
      </c>
      <c r="DI1763">
        <v>74.8</v>
      </c>
    </row>
    <row r="1764" spans="1:113" ht="15" customHeight="1" x14ac:dyDescent="0.25">
      <c r="A1764" t="s">
        <v>7786</v>
      </c>
      <c r="B1764" t="s">
        <v>7787</v>
      </c>
      <c r="C1764" t="s">
        <v>7788</v>
      </c>
      <c r="D1764" t="s">
        <v>1234</v>
      </c>
      <c r="E1764" t="s">
        <v>1234</v>
      </c>
      <c r="F1764" t="s">
        <v>7789</v>
      </c>
      <c r="G1764">
        <v>2025</v>
      </c>
      <c r="H1764" t="s">
        <v>1160</v>
      </c>
      <c r="I1764" t="s">
        <v>141</v>
      </c>
      <c r="J1764">
        <v>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Y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S1764">
        <v>0</v>
      </c>
      <c r="AU1764">
        <v>0</v>
      </c>
      <c r="AV1764">
        <v>0</v>
      </c>
      <c r="AW1764">
        <v>0</v>
      </c>
      <c r="AX1764">
        <v>0</v>
      </c>
      <c r="AY1764">
        <v>8</v>
      </c>
      <c r="AZ1764">
        <v>0</v>
      </c>
      <c r="BA1764">
        <v>3</v>
      </c>
      <c r="BB1764">
        <v>0</v>
      </c>
      <c r="BC1764">
        <v>0</v>
      </c>
      <c r="BD1764">
        <v>1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C1764">
        <v>0</v>
      </c>
      <c r="DD1764">
        <v>0</v>
      </c>
      <c r="DE1764">
        <v>0</v>
      </c>
      <c r="DF1764">
        <v>0</v>
      </c>
      <c r="DH1764">
        <v>0</v>
      </c>
      <c r="DI1764">
        <v>0</v>
      </c>
    </row>
    <row r="1765" spans="1:113" ht="15" customHeight="1" x14ac:dyDescent="0.25">
      <c r="A1765" t="s">
        <v>7790</v>
      </c>
      <c r="B1765" t="s">
        <v>7791</v>
      </c>
      <c r="C1765" t="s">
        <v>7792</v>
      </c>
      <c r="D1765" t="s">
        <v>1234</v>
      </c>
      <c r="E1765" t="s">
        <v>1234</v>
      </c>
      <c r="F1765" t="s">
        <v>7793</v>
      </c>
      <c r="G1765">
        <v>2025</v>
      </c>
      <c r="H1765" t="s">
        <v>1160</v>
      </c>
      <c r="I1765" t="s">
        <v>96</v>
      </c>
      <c r="J1765">
        <v>14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Y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S1765">
        <v>0</v>
      </c>
      <c r="AU1765">
        <v>0</v>
      </c>
      <c r="AV1765">
        <v>0</v>
      </c>
      <c r="AW1765">
        <v>0</v>
      </c>
      <c r="AX1765">
        <v>0</v>
      </c>
      <c r="AY1765">
        <v>13</v>
      </c>
      <c r="AZ1765">
        <v>0</v>
      </c>
      <c r="BA1765">
        <v>11</v>
      </c>
      <c r="BB1765">
        <v>2</v>
      </c>
      <c r="BC1765">
        <v>13</v>
      </c>
      <c r="BD1765">
        <v>1</v>
      </c>
      <c r="BE1765">
        <v>1.5</v>
      </c>
      <c r="BF1765">
        <v>12.5</v>
      </c>
      <c r="BG1765">
        <v>4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1</v>
      </c>
      <c r="BR1765">
        <v>1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C1765">
        <v>0</v>
      </c>
      <c r="DD1765">
        <v>0</v>
      </c>
      <c r="DE1765">
        <v>0</v>
      </c>
      <c r="DF1765">
        <v>0</v>
      </c>
      <c r="DH1765">
        <v>0</v>
      </c>
      <c r="DI1765">
        <v>0</v>
      </c>
    </row>
    <row r="1766" spans="1:113" ht="15" customHeight="1" x14ac:dyDescent="0.25">
      <c r="A1766" t="s">
        <v>7794</v>
      </c>
      <c r="B1766" t="s">
        <v>7795</v>
      </c>
      <c r="C1766" t="s">
        <v>7796</v>
      </c>
      <c r="D1766" t="s">
        <v>1234</v>
      </c>
      <c r="E1766" t="s">
        <v>1234</v>
      </c>
      <c r="F1766" t="s">
        <v>7797</v>
      </c>
      <c r="G1766">
        <v>2025</v>
      </c>
      <c r="H1766" t="s">
        <v>1160</v>
      </c>
      <c r="I1766" t="s">
        <v>90</v>
      </c>
      <c r="J1766">
        <v>13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Y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S1766">
        <v>0</v>
      </c>
      <c r="AU1766">
        <v>0</v>
      </c>
      <c r="AV1766">
        <v>0</v>
      </c>
      <c r="AW1766">
        <v>0</v>
      </c>
      <c r="AX1766">
        <v>0</v>
      </c>
      <c r="AY1766">
        <v>5</v>
      </c>
      <c r="AZ1766">
        <v>0</v>
      </c>
      <c r="BA1766">
        <v>18</v>
      </c>
      <c r="BB1766">
        <v>1</v>
      </c>
      <c r="BC1766">
        <v>8</v>
      </c>
      <c r="BD1766">
        <v>0</v>
      </c>
      <c r="BE1766">
        <v>1</v>
      </c>
      <c r="BF1766">
        <v>8</v>
      </c>
      <c r="BG1766">
        <v>1</v>
      </c>
      <c r="BH1766">
        <v>0</v>
      </c>
      <c r="BI1766">
        <v>0</v>
      </c>
      <c r="BJ1766">
        <v>3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1</v>
      </c>
      <c r="BU1766">
        <v>7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C1766">
        <v>0</v>
      </c>
      <c r="DD1766">
        <v>0</v>
      </c>
      <c r="DE1766">
        <v>0</v>
      </c>
      <c r="DF1766">
        <v>0</v>
      </c>
      <c r="DH1766">
        <v>0</v>
      </c>
      <c r="DI1766">
        <v>0</v>
      </c>
    </row>
    <row r="1767" spans="1:113" ht="15" customHeight="1" x14ac:dyDescent="0.25">
      <c r="A1767" t="s">
        <v>7798</v>
      </c>
      <c r="B1767" t="s">
        <v>7799</v>
      </c>
      <c r="C1767" t="s">
        <v>662</v>
      </c>
      <c r="D1767" t="s">
        <v>10</v>
      </c>
      <c r="E1767" t="s">
        <v>10</v>
      </c>
      <c r="F1767" t="s">
        <v>7800</v>
      </c>
      <c r="G1767">
        <v>2025</v>
      </c>
      <c r="H1767" t="s">
        <v>1160</v>
      </c>
      <c r="I1767" t="s">
        <v>121</v>
      </c>
      <c r="J1767">
        <v>17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Y1767">
        <v>0</v>
      </c>
      <c r="AA1767">
        <v>6</v>
      </c>
      <c r="AB1767">
        <v>12</v>
      </c>
      <c r="AC1767">
        <v>0</v>
      </c>
      <c r="AD1767">
        <v>0</v>
      </c>
      <c r="AE1767">
        <v>0</v>
      </c>
      <c r="AF1767">
        <v>1</v>
      </c>
      <c r="AG1767">
        <v>-3.0501134131336598</v>
      </c>
      <c r="AH1767">
        <v>0</v>
      </c>
      <c r="AI1767">
        <v>26</v>
      </c>
      <c r="AJ1767">
        <v>35</v>
      </c>
      <c r="AK1767">
        <v>292</v>
      </c>
      <c r="AL1767">
        <v>2</v>
      </c>
      <c r="AM1767">
        <v>0</v>
      </c>
      <c r="AN1767">
        <v>0</v>
      </c>
      <c r="AO1767">
        <v>327</v>
      </c>
      <c r="AP1767">
        <v>99</v>
      </c>
      <c r="AQ1767">
        <v>13</v>
      </c>
      <c r="AR1767">
        <v>14.1749713203277</v>
      </c>
      <c r="AS1767">
        <v>0</v>
      </c>
      <c r="AT1767">
        <v>0.89296636085626901</v>
      </c>
      <c r="AU1767">
        <v>6.3291139240506306E-2</v>
      </c>
      <c r="AV1767">
        <v>6.8625393494228804E-2</v>
      </c>
      <c r="AW1767">
        <v>0.14297448430672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31</v>
      </c>
      <c r="BW1767">
        <v>335</v>
      </c>
      <c r="BX1767">
        <v>29</v>
      </c>
      <c r="BY1767">
        <v>799</v>
      </c>
      <c r="BZ1767">
        <v>0</v>
      </c>
      <c r="CA1767">
        <v>0</v>
      </c>
      <c r="CB1767">
        <v>0</v>
      </c>
      <c r="CC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C1767">
        <v>0</v>
      </c>
      <c r="DD1767">
        <v>0</v>
      </c>
      <c r="DE1767">
        <v>0</v>
      </c>
      <c r="DF1767">
        <v>0</v>
      </c>
      <c r="DH1767">
        <v>42.4</v>
      </c>
      <c r="DI1767">
        <v>68.400000000000006</v>
      </c>
    </row>
    <row r="1768" spans="1:113" ht="15" customHeight="1" x14ac:dyDescent="0.25">
      <c r="A1768" t="s">
        <v>7801</v>
      </c>
      <c r="B1768" t="s">
        <v>7802</v>
      </c>
      <c r="C1768" t="s">
        <v>7803</v>
      </c>
      <c r="D1768" t="s">
        <v>1297</v>
      </c>
      <c r="E1768" t="s">
        <v>1220</v>
      </c>
      <c r="F1768" t="s">
        <v>7804</v>
      </c>
      <c r="G1768">
        <v>2025</v>
      </c>
      <c r="H1768" t="s">
        <v>1160</v>
      </c>
      <c r="I1768" t="s">
        <v>107</v>
      </c>
      <c r="J1768">
        <v>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Y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S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6</v>
      </c>
      <c r="BU1768">
        <v>45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C1768">
        <v>0</v>
      </c>
      <c r="DD1768">
        <v>0</v>
      </c>
      <c r="DE1768">
        <v>0</v>
      </c>
      <c r="DF1768">
        <v>0</v>
      </c>
      <c r="DH1768">
        <v>0</v>
      </c>
      <c r="DI1768">
        <v>0</v>
      </c>
    </row>
    <row r="1769" spans="1:113" ht="15" customHeight="1" x14ac:dyDescent="0.25">
      <c r="A1769" t="s">
        <v>7805</v>
      </c>
      <c r="B1769" t="s">
        <v>7806</v>
      </c>
      <c r="C1769" t="s">
        <v>7807</v>
      </c>
      <c r="D1769" t="s">
        <v>1684</v>
      </c>
      <c r="E1769" t="s">
        <v>1307</v>
      </c>
      <c r="F1769" t="s">
        <v>7808</v>
      </c>
      <c r="G1769">
        <v>2025</v>
      </c>
      <c r="H1769" t="s">
        <v>1160</v>
      </c>
      <c r="I1769" t="s">
        <v>142</v>
      </c>
      <c r="J1769">
        <v>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Y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S1769">
        <v>0</v>
      </c>
      <c r="AU1769">
        <v>0</v>
      </c>
      <c r="AV1769">
        <v>0</v>
      </c>
      <c r="AW1769">
        <v>0</v>
      </c>
      <c r="AX1769">
        <v>0</v>
      </c>
      <c r="AY1769">
        <v>19</v>
      </c>
      <c r="AZ1769">
        <v>2</v>
      </c>
      <c r="BA1769">
        <v>13</v>
      </c>
      <c r="BB1769">
        <v>4</v>
      </c>
      <c r="BC1769">
        <v>19</v>
      </c>
      <c r="BD1769">
        <v>0</v>
      </c>
      <c r="BE1769">
        <v>1</v>
      </c>
      <c r="BF1769">
        <v>10</v>
      </c>
      <c r="BG1769">
        <v>4</v>
      </c>
      <c r="BH1769">
        <v>0</v>
      </c>
      <c r="BI1769">
        <v>0</v>
      </c>
      <c r="BJ1769">
        <v>2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C1769">
        <v>0</v>
      </c>
      <c r="DD1769">
        <v>0</v>
      </c>
      <c r="DE1769">
        <v>0</v>
      </c>
      <c r="DF1769">
        <v>0</v>
      </c>
      <c r="DH1769">
        <v>0</v>
      </c>
      <c r="DI1769">
        <v>0</v>
      </c>
    </row>
    <row r="1770" spans="1:113" ht="15" customHeight="1" x14ac:dyDescent="0.25">
      <c r="A1770" t="s">
        <v>7809</v>
      </c>
      <c r="B1770" t="s">
        <v>7079</v>
      </c>
      <c r="C1770" t="s">
        <v>925</v>
      </c>
      <c r="D1770" t="s">
        <v>431</v>
      </c>
      <c r="E1770" t="s">
        <v>431</v>
      </c>
      <c r="F1770" t="s">
        <v>7810</v>
      </c>
      <c r="G1770">
        <v>2025</v>
      </c>
      <c r="H1770" t="s">
        <v>1160</v>
      </c>
      <c r="I1770" t="s">
        <v>103</v>
      </c>
      <c r="J1770">
        <v>10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Y1770">
        <v>0</v>
      </c>
      <c r="AA1770">
        <v>28</v>
      </c>
      <c r="AB1770">
        <v>69</v>
      </c>
      <c r="AC1770">
        <v>0</v>
      </c>
      <c r="AD1770">
        <v>0</v>
      </c>
      <c r="AE1770">
        <v>0</v>
      </c>
      <c r="AF1770">
        <v>3</v>
      </c>
      <c r="AG1770">
        <v>-7.7174376882041704</v>
      </c>
      <c r="AH1770">
        <v>0</v>
      </c>
      <c r="AI1770">
        <v>1</v>
      </c>
      <c r="AJ1770">
        <v>2</v>
      </c>
      <c r="AK1770">
        <v>9</v>
      </c>
      <c r="AL1770">
        <v>0</v>
      </c>
      <c r="AM1770">
        <v>0</v>
      </c>
      <c r="AN1770">
        <v>0</v>
      </c>
      <c r="AO1770">
        <v>-8</v>
      </c>
      <c r="AP1770">
        <v>14</v>
      </c>
      <c r="AQ1770">
        <v>0</v>
      </c>
      <c r="AR1770">
        <v>0.244885928928852</v>
      </c>
      <c r="AS1770">
        <v>0</v>
      </c>
      <c r="AT1770">
        <v>-1.125</v>
      </c>
      <c r="AU1770">
        <v>3.83141762452107E-3</v>
      </c>
      <c r="AV1770">
        <v>-2.4390243902438998E-3</v>
      </c>
      <c r="AW1770">
        <v>4.0398093636108802E-3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1</v>
      </c>
      <c r="BU1770">
        <v>15</v>
      </c>
      <c r="BV1770">
        <v>0</v>
      </c>
      <c r="BW1770">
        <v>0</v>
      </c>
      <c r="BX1770">
        <v>8</v>
      </c>
      <c r="BY1770">
        <v>190</v>
      </c>
      <c r="BZ1770">
        <v>0</v>
      </c>
      <c r="CA1770">
        <v>0</v>
      </c>
      <c r="CB1770">
        <v>0</v>
      </c>
      <c r="CC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C1770">
        <v>0</v>
      </c>
      <c r="DD1770">
        <v>0</v>
      </c>
      <c r="DE1770">
        <v>0</v>
      </c>
      <c r="DF1770">
        <v>0</v>
      </c>
      <c r="DH1770">
        <v>7.8</v>
      </c>
      <c r="DI1770">
        <v>8.8000000000000007</v>
      </c>
    </row>
    <row r="1771" spans="1:113" ht="15" customHeight="1" x14ac:dyDescent="0.25">
      <c r="A1771" t="s">
        <v>7811</v>
      </c>
      <c r="B1771" t="s">
        <v>7812</v>
      </c>
      <c r="C1771" t="s">
        <v>7813</v>
      </c>
      <c r="D1771" t="s">
        <v>1350</v>
      </c>
      <c r="E1771" t="s">
        <v>1307</v>
      </c>
      <c r="F1771" t="s">
        <v>7814</v>
      </c>
      <c r="G1771">
        <v>2025</v>
      </c>
      <c r="H1771" t="s">
        <v>1160</v>
      </c>
      <c r="I1771" t="s">
        <v>126</v>
      </c>
      <c r="J1771">
        <v>16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Y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S1771">
        <v>0</v>
      </c>
      <c r="AU1771">
        <v>0</v>
      </c>
      <c r="AV1771">
        <v>0</v>
      </c>
      <c r="AW1771">
        <v>0</v>
      </c>
      <c r="AX1771">
        <v>0</v>
      </c>
      <c r="AY1771">
        <v>50</v>
      </c>
      <c r="AZ1771">
        <v>0</v>
      </c>
      <c r="BA1771">
        <v>26</v>
      </c>
      <c r="BB1771">
        <v>7</v>
      </c>
      <c r="BC1771">
        <v>29</v>
      </c>
      <c r="BD1771">
        <v>0</v>
      </c>
      <c r="BE1771">
        <v>2</v>
      </c>
      <c r="BF1771">
        <v>18</v>
      </c>
      <c r="BG1771">
        <v>3</v>
      </c>
      <c r="BH1771">
        <v>2</v>
      </c>
      <c r="BI1771">
        <v>3</v>
      </c>
      <c r="BJ1771">
        <v>7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1</v>
      </c>
      <c r="BR1771">
        <v>1</v>
      </c>
      <c r="BS1771">
        <v>0</v>
      </c>
      <c r="BT1771">
        <v>3</v>
      </c>
      <c r="BU1771">
        <v>32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C1771">
        <v>0</v>
      </c>
      <c r="DD1771">
        <v>0</v>
      </c>
      <c r="DE1771">
        <v>0</v>
      </c>
      <c r="DF1771">
        <v>0</v>
      </c>
      <c r="DH1771">
        <v>0</v>
      </c>
      <c r="DI1771">
        <v>0</v>
      </c>
    </row>
    <row r="1772" spans="1:113" ht="15" customHeight="1" x14ac:dyDescent="0.25">
      <c r="A1772" t="s">
        <v>7815</v>
      </c>
      <c r="B1772" t="s">
        <v>7816</v>
      </c>
      <c r="C1772" t="s">
        <v>7817</v>
      </c>
      <c r="D1772" t="s">
        <v>1243</v>
      </c>
      <c r="E1772" t="s">
        <v>1190</v>
      </c>
      <c r="F1772" t="s">
        <v>7818</v>
      </c>
      <c r="G1772">
        <v>2025</v>
      </c>
      <c r="H1772" t="s">
        <v>1160</v>
      </c>
      <c r="I1772" t="s">
        <v>131</v>
      </c>
      <c r="J1772">
        <v>13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Y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S1772">
        <v>0</v>
      </c>
      <c r="AU1772">
        <v>0</v>
      </c>
      <c r="AV1772">
        <v>0</v>
      </c>
      <c r="AW1772">
        <v>0</v>
      </c>
      <c r="AX1772">
        <v>0</v>
      </c>
      <c r="AY1772">
        <v>13</v>
      </c>
      <c r="AZ1772">
        <v>1</v>
      </c>
      <c r="BA1772">
        <v>17</v>
      </c>
      <c r="BB1772">
        <v>5</v>
      </c>
      <c r="BC1772">
        <v>15</v>
      </c>
      <c r="BD1772">
        <v>1</v>
      </c>
      <c r="BE1772">
        <v>1</v>
      </c>
      <c r="BF1772">
        <v>9</v>
      </c>
      <c r="BG1772">
        <v>1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1</v>
      </c>
      <c r="BU1772">
        <v>5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C1772">
        <v>0</v>
      </c>
      <c r="DD1772">
        <v>0</v>
      </c>
      <c r="DE1772">
        <v>0</v>
      </c>
      <c r="DF1772">
        <v>0</v>
      </c>
      <c r="DH1772">
        <v>0</v>
      </c>
      <c r="DI1772">
        <v>0</v>
      </c>
    </row>
    <row r="1773" spans="1:113" ht="15" customHeight="1" x14ac:dyDescent="0.25">
      <c r="A1773" t="s">
        <v>7819</v>
      </c>
      <c r="B1773" t="s">
        <v>7820</v>
      </c>
      <c r="C1773" t="s">
        <v>7821</v>
      </c>
      <c r="D1773" t="s">
        <v>1297</v>
      </c>
      <c r="E1773" t="s">
        <v>1220</v>
      </c>
      <c r="F1773" t="s">
        <v>7822</v>
      </c>
      <c r="G1773">
        <v>2025</v>
      </c>
      <c r="H1773" t="s">
        <v>1160</v>
      </c>
      <c r="I1773" t="s">
        <v>114</v>
      </c>
      <c r="J1773">
        <v>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Y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S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1</v>
      </c>
      <c r="BQ1773">
        <v>0</v>
      </c>
      <c r="BR1773">
        <v>0</v>
      </c>
      <c r="BS1773">
        <v>0</v>
      </c>
      <c r="BT1773">
        <v>3</v>
      </c>
      <c r="BU1773">
        <v>25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C1773">
        <v>0</v>
      </c>
      <c r="DD1773">
        <v>0</v>
      </c>
      <c r="DE1773">
        <v>0</v>
      </c>
      <c r="DF1773">
        <v>0</v>
      </c>
      <c r="DH1773">
        <v>0</v>
      </c>
      <c r="DI1773">
        <v>0</v>
      </c>
    </row>
    <row r="1774" spans="1:113" ht="15" customHeight="1" x14ac:dyDescent="0.25">
      <c r="A1774" t="s">
        <v>7823</v>
      </c>
      <c r="B1774" t="s">
        <v>7824</v>
      </c>
      <c r="C1774" t="s">
        <v>7825</v>
      </c>
      <c r="D1774" t="s">
        <v>1684</v>
      </c>
      <c r="E1774" t="s">
        <v>1307</v>
      </c>
      <c r="F1774" t="s">
        <v>7826</v>
      </c>
      <c r="G1774">
        <v>2025</v>
      </c>
      <c r="H1774" t="s">
        <v>1160</v>
      </c>
      <c r="I1774" t="s">
        <v>93</v>
      </c>
      <c r="J1774">
        <v>17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Y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S1774">
        <v>0</v>
      </c>
      <c r="AU1774">
        <v>0</v>
      </c>
      <c r="AV1774">
        <v>0</v>
      </c>
      <c r="AW1774">
        <v>0</v>
      </c>
      <c r="AX1774">
        <v>0</v>
      </c>
      <c r="AY1774">
        <v>57</v>
      </c>
      <c r="AZ1774">
        <v>2</v>
      </c>
      <c r="BA1774">
        <v>37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5</v>
      </c>
      <c r="BI1774">
        <v>32</v>
      </c>
      <c r="BJ1774">
        <v>11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1</v>
      </c>
      <c r="BR1774">
        <v>1</v>
      </c>
      <c r="BS1774">
        <v>0</v>
      </c>
      <c r="BT1774">
        <v>1</v>
      </c>
      <c r="BU1774">
        <v>12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C1774">
        <v>0</v>
      </c>
      <c r="DD1774">
        <v>0</v>
      </c>
      <c r="DE1774">
        <v>0</v>
      </c>
      <c r="DF1774">
        <v>0</v>
      </c>
      <c r="DH1774">
        <v>0</v>
      </c>
      <c r="DI1774">
        <v>0</v>
      </c>
    </row>
    <row r="1775" spans="1:113" ht="15" customHeight="1" x14ac:dyDescent="0.25">
      <c r="A1775" t="s">
        <v>7827</v>
      </c>
      <c r="B1775" t="s">
        <v>2119</v>
      </c>
      <c r="C1775" t="s">
        <v>7828</v>
      </c>
      <c r="D1775" t="s">
        <v>1350</v>
      </c>
      <c r="E1775" t="s">
        <v>1307</v>
      </c>
      <c r="F1775" t="s">
        <v>7829</v>
      </c>
      <c r="G1775">
        <v>2025</v>
      </c>
      <c r="H1775" t="s">
        <v>1160</v>
      </c>
      <c r="I1775" t="s">
        <v>121</v>
      </c>
      <c r="J1775">
        <v>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Y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S1775">
        <v>0</v>
      </c>
      <c r="AU1775">
        <v>0</v>
      </c>
      <c r="AV1775">
        <v>0</v>
      </c>
      <c r="AW1775">
        <v>0</v>
      </c>
      <c r="AX1775">
        <v>0</v>
      </c>
      <c r="AY1775">
        <v>3</v>
      </c>
      <c r="AZ1775">
        <v>0</v>
      </c>
      <c r="BA1775">
        <v>3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</v>
      </c>
      <c r="BR1775">
        <v>1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C1775">
        <v>0</v>
      </c>
      <c r="DD1775">
        <v>0</v>
      </c>
      <c r="DE1775">
        <v>0</v>
      </c>
      <c r="DF1775">
        <v>0</v>
      </c>
      <c r="DH1775">
        <v>0</v>
      </c>
      <c r="DI1775">
        <v>0</v>
      </c>
    </row>
    <row r="1776" spans="1:113" ht="15" customHeight="1" x14ac:dyDescent="0.25">
      <c r="A1776" t="s">
        <v>7830</v>
      </c>
      <c r="B1776" t="s">
        <v>7831</v>
      </c>
      <c r="C1776" t="s">
        <v>7832</v>
      </c>
      <c r="D1776" t="s">
        <v>1297</v>
      </c>
      <c r="E1776" t="s">
        <v>1220</v>
      </c>
      <c r="F1776" t="s">
        <v>7833</v>
      </c>
      <c r="G1776">
        <v>2025</v>
      </c>
      <c r="H1776" t="s">
        <v>1160</v>
      </c>
      <c r="I1776" t="s">
        <v>89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Y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S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1</v>
      </c>
      <c r="BU1776">
        <v>5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C1776">
        <v>0</v>
      </c>
      <c r="DD1776">
        <v>0</v>
      </c>
      <c r="DE1776">
        <v>0</v>
      </c>
      <c r="DF1776">
        <v>0</v>
      </c>
      <c r="DH1776">
        <v>0</v>
      </c>
      <c r="DI1776">
        <v>0</v>
      </c>
    </row>
    <row r="1777" spans="1:113" ht="15" customHeight="1" x14ac:dyDescent="0.25">
      <c r="A1777" t="s">
        <v>7834</v>
      </c>
      <c r="B1777" t="s">
        <v>7835</v>
      </c>
      <c r="C1777" t="s">
        <v>7836</v>
      </c>
      <c r="D1777" t="s">
        <v>1350</v>
      </c>
      <c r="E1777" t="s">
        <v>1307</v>
      </c>
      <c r="F1777" t="s">
        <v>7837</v>
      </c>
      <c r="G1777">
        <v>2025</v>
      </c>
      <c r="H1777" t="s">
        <v>1160</v>
      </c>
      <c r="I1777" t="s">
        <v>141</v>
      </c>
      <c r="J1777">
        <v>16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Y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S1777">
        <v>0</v>
      </c>
      <c r="AU1777">
        <v>0</v>
      </c>
      <c r="AV1777">
        <v>0</v>
      </c>
      <c r="AW1777">
        <v>0</v>
      </c>
      <c r="AX1777">
        <v>0</v>
      </c>
      <c r="AY1777">
        <v>43</v>
      </c>
      <c r="AZ1777">
        <v>0</v>
      </c>
      <c r="BA1777">
        <v>39</v>
      </c>
      <c r="BB1777">
        <v>4</v>
      </c>
      <c r="BC1777">
        <v>11</v>
      </c>
      <c r="BD1777">
        <v>1</v>
      </c>
      <c r="BE1777">
        <v>1</v>
      </c>
      <c r="BF1777">
        <v>7</v>
      </c>
      <c r="BG1777">
        <v>2</v>
      </c>
      <c r="BH1777">
        <v>0</v>
      </c>
      <c r="BI1777">
        <v>0</v>
      </c>
      <c r="BJ1777">
        <v>5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7</v>
      </c>
      <c r="BU1777">
        <v>37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C1777">
        <v>0</v>
      </c>
      <c r="DD1777">
        <v>0</v>
      </c>
      <c r="DE1777">
        <v>0</v>
      </c>
      <c r="DF1777">
        <v>0</v>
      </c>
      <c r="DH1777">
        <v>0</v>
      </c>
      <c r="DI1777">
        <v>0</v>
      </c>
    </row>
    <row r="1778" spans="1:113" ht="15" customHeight="1" x14ac:dyDescent="0.25">
      <c r="A1778" t="s">
        <v>7838</v>
      </c>
      <c r="B1778" t="s">
        <v>7839</v>
      </c>
      <c r="C1778" t="s">
        <v>7840</v>
      </c>
      <c r="D1778" t="s">
        <v>1189</v>
      </c>
      <c r="E1778" t="s">
        <v>1190</v>
      </c>
      <c r="F1778" t="s">
        <v>7841</v>
      </c>
      <c r="G1778">
        <v>2025</v>
      </c>
      <c r="H1778" t="s">
        <v>1160</v>
      </c>
      <c r="I1778" t="s">
        <v>115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Y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S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1</v>
      </c>
      <c r="BR1778">
        <v>1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C1778">
        <v>0</v>
      </c>
      <c r="DD1778">
        <v>0</v>
      </c>
      <c r="DE1778">
        <v>0</v>
      </c>
      <c r="DF1778">
        <v>0</v>
      </c>
      <c r="DH1778">
        <v>0</v>
      </c>
      <c r="DI1778">
        <v>0</v>
      </c>
    </row>
    <row r="1779" spans="1:113" ht="15" customHeight="1" x14ac:dyDescent="0.25">
      <c r="A1779" t="s">
        <v>7842</v>
      </c>
      <c r="B1779" t="s">
        <v>7843</v>
      </c>
      <c r="C1779" t="s">
        <v>800</v>
      </c>
      <c r="D1779" t="s">
        <v>10</v>
      </c>
      <c r="E1779" t="s">
        <v>10</v>
      </c>
      <c r="F1779" t="s">
        <v>7844</v>
      </c>
      <c r="G1779">
        <v>2025</v>
      </c>
      <c r="H1779" t="s">
        <v>1160</v>
      </c>
      <c r="I1779" t="s">
        <v>137</v>
      </c>
      <c r="J1779">
        <v>12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Y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H1779">
        <v>0</v>
      </c>
      <c r="AI1779">
        <v>3</v>
      </c>
      <c r="AJ1779">
        <v>3</v>
      </c>
      <c r="AK1779">
        <v>25</v>
      </c>
      <c r="AL1779">
        <v>0</v>
      </c>
      <c r="AM1779">
        <v>0</v>
      </c>
      <c r="AN1779">
        <v>0</v>
      </c>
      <c r="AO1779">
        <v>11</v>
      </c>
      <c r="AP1779">
        <v>14</v>
      </c>
      <c r="AQ1779">
        <v>2</v>
      </c>
      <c r="AR1779">
        <v>1.3819832485169199</v>
      </c>
      <c r="AS1779">
        <v>0</v>
      </c>
      <c r="AT1779">
        <v>2.2727272727272698</v>
      </c>
      <c r="AU1779">
        <v>6.41025641025641E-3</v>
      </c>
      <c r="AV1779">
        <v>2.92786797977109E-3</v>
      </c>
      <c r="AW1779">
        <v>1.16648922012244E-2</v>
      </c>
      <c r="AX1779">
        <v>0</v>
      </c>
      <c r="AY1779">
        <v>5</v>
      </c>
      <c r="AZ1779">
        <v>0</v>
      </c>
      <c r="BA1779">
        <v>4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2</v>
      </c>
      <c r="BU1779">
        <v>16</v>
      </c>
      <c r="BV1779">
        <v>0</v>
      </c>
      <c r="BW1779">
        <v>0</v>
      </c>
      <c r="BX1779">
        <v>7</v>
      </c>
      <c r="BY1779">
        <v>178</v>
      </c>
      <c r="BZ1779">
        <v>0</v>
      </c>
      <c r="CA1779">
        <v>0</v>
      </c>
      <c r="CB1779">
        <v>0</v>
      </c>
      <c r="CC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C1779">
        <v>0</v>
      </c>
      <c r="DD1779">
        <v>0</v>
      </c>
      <c r="DE1779">
        <v>0</v>
      </c>
      <c r="DF1779">
        <v>0</v>
      </c>
      <c r="DH1779">
        <v>2.5</v>
      </c>
      <c r="DI1779">
        <v>5.5</v>
      </c>
    </row>
    <row r="1780" spans="1:113" ht="15" customHeight="1" x14ac:dyDescent="0.25">
      <c r="A1780" t="s">
        <v>7845</v>
      </c>
      <c r="B1780" t="s">
        <v>7846</v>
      </c>
      <c r="C1780" t="s">
        <v>7847</v>
      </c>
      <c r="D1780" t="s">
        <v>1234</v>
      </c>
      <c r="E1780" t="s">
        <v>1234</v>
      </c>
      <c r="F1780" t="s">
        <v>7848</v>
      </c>
      <c r="G1780">
        <v>2025</v>
      </c>
      <c r="H1780" t="s">
        <v>1160</v>
      </c>
      <c r="I1780" t="s">
        <v>138</v>
      </c>
      <c r="J1780">
        <v>16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Y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S1780">
        <v>0</v>
      </c>
      <c r="AU1780">
        <v>0</v>
      </c>
      <c r="AV1780">
        <v>0</v>
      </c>
      <c r="AW1780">
        <v>0</v>
      </c>
      <c r="AX1780">
        <v>0</v>
      </c>
      <c r="AY1780">
        <v>25</v>
      </c>
      <c r="AZ1780">
        <v>0</v>
      </c>
      <c r="BA1780">
        <v>28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C1780">
        <v>0</v>
      </c>
      <c r="DD1780">
        <v>0</v>
      </c>
      <c r="DE1780">
        <v>0</v>
      </c>
      <c r="DF1780">
        <v>0</v>
      </c>
      <c r="DH1780">
        <v>0</v>
      </c>
      <c r="DI1780">
        <v>0</v>
      </c>
    </row>
    <row r="1781" spans="1:113" ht="15" customHeight="1" x14ac:dyDescent="0.25">
      <c r="A1781" t="s">
        <v>7849</v>
      </c>
      <c r="B1781" t="s">
        <v>7850</v>
      </c>
      <c r="C1781" t="s">
        <v>7851</v>
      </c>
      <c r="D1781" t="s">
        <v>1684</v>
      </c>
      <c r="E1781" t="s">
        <v>1307</v>
      </c>
      <c r="F1781" t="s">
        <v>7852</v>
      </c>
      <c r="G1781">
        <v>2025</v>
      </c>
      <c r="H1781" t="s">
        <v>1160</v>
      </c>
      <c r="I1781" t="s">
        <v>93</v>
      </c>
      <c r="J1781">
        <v>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Y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S1781">
        <v>0</v>
      </c>
      <c r="AU1781">
        <v>0</v>
      </c>
      <c r="AV1781">
        <v>0</v>
      </c>
      <c r="AW1781">
        <v>0</v>
      </c>
      <c r="AX1781">
        <v>0</v>
      </c>
      <c r="AY1781">
        <v>15</v>
      </c>
      <c r="AZ1781">
        <v>0</v>
      </c>
      <c r="BA1781">
        <v>11</v>
      </c>
      <c r="BB1781">
        <v>1</v>
      </c>
      <c r="BC1781">
        <v>8</v>
      </c>
      <c r="BD1781">
        <v>1</v>
      </c>
      <c r="BE1781">
        <v>1.5</v>
      </c>
      <c r="BF1781">
        <v>12</v>
      </c>
      <c r="BG1781">
        <v>2</v>
      </c>
      <c r="BH1781">
        <v>1</v>
      </c>
      <c r="BI1781">
        <v>0</v>
      </c>
      <c r="BJ1781">
        <v>2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1</v>
      </c>
      <c r="BU1781">
        <v>5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C1781">
        <v>0</v>
      </c>
      <c r="DD1781">
        <v>0</v>
      </c>
      <c r="DE1781">
        <v>0</v>
      </c>
      <c r="DF1781">
        <v>0</v>
      </c>
      <c r="DH1781">
        <v>0</v>
      </c>
      <c r="DI1781">
        <v>0</v>
      </c>
    </row>
    <row r="1782" spans="1:113" ht="15" customHeight="1" x14ac:dyDescent="0.25">
      <c r="A1782" t="s">
        <v>7853</v>
      </c>
      <c r="B1782" t="s">
        <v>7854</v>
      </c>
      <c r="C1782" t="s">
        <v>7855</v>
      </c>
      <c r="D1782" t="s">
        <v>1234</v>
      </c>
      <c r="E1782" t="s">
        <v>1234</v>
      </c>
      <c r="F1782" t="s">
        <v>7856</v>
      </c>
      <c r="G1782">
        <v>2025</v>
      </c>
      <c r="H1782" t="s">
        <v>1160</v>
      </c>
      <c r="I1782" t="s">
        <v>107</v>
      </c>
      <c r="J1782">
        <v>16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Y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S1782">
        <v>0</v>
      </c>
      <c r="AU1782">
        <v>0</v>
      </c>
      <c r="AV1782">
        <v>0</v>
      </c>
      <c r="AW1782">
        <v>0</v>
      </c>
      <c r="AX1782">
        <v>0</v>
      </c>
      <c r="AY1782">
        <v>51</v>
      </c>
      <c r="AZ1782">
        <v>2</v>
      </c>
      <c r="BA1782">
        <v>53</v>
      </c>
      <c r="BB1782">
        <v>1</v>
      </c>
      <c r="BC1782">
        <v>2</v>
      </c>
      <c r="BD1782">
        <v>0</v>
      </c>
      <c r="BE1782">
        <v>0</v>
      </c>
      <c r="BF1782">
        <v>0</v>
      </c>
      <c r="BG1782">
        <v>1</v>
      </c>
      <c r="BH1782">
        <v>1</v>
      </c>
      <c r="BI1782">
        <v>16</v>
      </c>
      <c r="BJ1782">
        <v>4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C1782">
        <v>0</v>
      </c>
      <c r="DD1782">
        <v>0</v>
      </c>
      <c r="DE1782">
        <v>0</v>
      </c>
      <c r="DF1782">
        <v>0</v>
      </c>
      <c r="DH1782">
        <v>0</v>
      </c>
      <c r="DI1782">
        <v>0</v>
      </c>
    </row>
    <row r="1783" spans="1:113" ht="15" customHeight="1" x14ac:dyDescent="0.25">
      <c r="A1783" t="s">
        <v>7857</v>
      </c>
      <c r="B1783" t="s">
        <v>7858</v>
      </c>
      <c r="C1783" t="s">
        <v>7859</v>
      </c>
      <c r="D1783" t="s">
        <v>1684</v>
      </c>
      <c r="E1783" t="s">
        <v>1307</v>
      </c>
      <c r="F1783" t="s">
        <v>7860</v>
      </c>
      <c r="G1783">
        <v>2025</v>
      </c>
      <c r="H1783" t="s">
        <v>1160</v>
      </c>
      <c r="I1783" t="s">
        <v>96</v>
      </c>
      <c r="J1783">
        <v>15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Y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S1783">
        <v>0</v>
      </c>
      <c r="AU1783">
        <v>0</v>
      </c>
      <c r="AV1783">
        <v>0</v>
      </c>
      <c r="AW1783">
        <v>0</v>
      </c>
      <c r="AX1783">
        <v>0</v>
      </c>
      <c r="AY1783">
        <v>21</v>
      </c>
      <c r="AZ1783">
        <v>0</v>
      </c>
      <c r="BA1783">
        <v>30</v>
      </c>
      <c r="BB1783">
        <v>2</v>
      </c>
      <c r="BC1783">
        <v>12</v>
      </c>
      <c r="BD1783">
        <v>1</v>
      </c>
      <c r="BE1783">
        <v>1</v>
      </c>
      <c r="BF1783">
        <v>8</v>
      </c>
      <c r="BG1783">
        <v>1</v>
      </c>
      <c r="BH1783">
        <v>1</v>
      </c>
      <c r="BI1783">
        <v>5</v>
      </c>
      <c r="BJ1783">
        <v>2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2</v>
      </c>
      <c r="BU1783">
        <v>22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C1783">
        <v>0</v>
      </c>
      <c r="DD1783">
        <v>0</v>
      </c>
      <c r="DE1783">
        <v>0</v>
      </c>
      <c r="DF1783">
        <v>0</v>
      </c>
      <c r="DH1783">
        <v>0</v>
      </c>
      <c r="DI1783">
        <v>0</v>
      </c>
    </row>
    <row r="1784" spans="1:113" ht="15" customHeight="1" x14ac:dyDescent="0.25">
      <c r="A1784" t="s">
        <v>7861</v>
      </c>
      <c r="B1784" t="s">
        <v>7862</v>
      </c>
      <c r="C1784" t="s">
        <v>7863</v>
      </c>
      <c r="D1784" t="s">
        <v>1234</v>
      </c>
      <c r="E1784" t="s">
        <v>1234</v>
      </c>
      <c r="F1784" t="s">
        <v>7864</v>
      </c>
      <c r="G1784">
        <v>2025</v>
      </c>
      <c r="H1784" t="s">
        <v>1160</v>
      </c>
      <c r="I1784" t="s">
        <v>103</v>
      </c>
      <c r="J1784">
        <v>16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Y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S1784">
        <v>0</v>
      </c>
      <c r="AU1784">
        <v>0</v>
      </c>
      <c r="AV1784">
        <v>0</v>
      </c>
      <c r="AW1784">
        <v>0</v>
      </c>
      <c r="AX1784">
        <v>0</v>
      </c>
      <c r="AY1784">
        <v>15</v>
      </c>
      <c r="AZ1784">
        <v>1</v>
      </c>
      <c r="BA1784">
        <v>18</v>
      </c>
      <c r="BB1784">
        <v>3</v>
      </c>
      <c r="BC1784">
        <v>14</v>
      </c>
      <c r="BD1784">
        <v>0</v>
      </c>
      <c r="BE1784">
        <v>1</v>
      </c>
      <c r="BF1784">
        <v>9</v>
      </c>
      <c r="BG1784">
        <v>6</v>
      </c>
      <c r="BH1784">
        <v>2</v>
      </c>
      <c r="BI1784">
        <v>31</v>
      </c>
      <c r="BJ1784">
        <v>4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1</v>
      </c>
      <c r="BU1784">
        <v>5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C1784">
        <v>0</v>
      </c>
      <c r="DD1784">
        <v>0</v>
      </c>
      <c r="DE1784">
        <v>0</v>
      </c>
      <c r="DF1784">
        <v>0</v>
      </c>
      <c r="DH1784">
        <v>0</v>
      </c>
      <c r="DI1784">
        <v>0</v>
      </c>
    </row>
    <row r="1785" spans="1:113" ht="15" customHeight="1" x14ac:dyDescent="0.25">
      <c r="A1785" t="s">
        <v>7865</v>
      </c>
      <c r="B1785" t="s">
        <v>7866</v>
      </c>
      <c r="C1785" t="s">
        <v>7867</v>
      </c>
      <c r="D1785" t="s">
        <v>1234</v>
      </c>
      <c r="E1785" t="s">
        <v>1234</v>
      </c>
      <c r="F1785" t="s">
        <v>7868</v>
      </c>
      <c r="G1785">
        <v>2025</v>
      </c>
      <c r="H1785" t="s">
        <v>1160</v>
      </c>
      <c r="I1785" t="s">
        <v>131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Y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S1785">
        <v>0</v>
      </c>
      <c r="AU1785">
        <v>0</v>
      </c>
      <c r="AV1785">
        <v>0</v>
      </c>
      <c r="AW1785">
        <v>0</v>
      </c>
      <c r="AX1785">
        <v>0</v>
      </c>
      <c r="AY1785">
        <v>1</v>
      </c>
      <c r="AZ1785">
        <v>0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C1785">
        <v>0</v>
      </c>
      <c r="DD1785">
        <v>0</v>
      </c>
      <c r="DE1785">
        <v>0</v>
      </c>
      <c r="DF1785">
        <v>0</v>
      </c>
      <c r="DH1785">
        <v>0</v>
      </c>
      <c r="DI1785">
        <v>0</v>
      </c>
    </row>
    <row r="1786" spans="1:113" ht="15" customHeight="1" x14ac:dyDescent="0.25">
      <c r="A1786" t="s">
        <v>7869</v>
      </c>
      <c r="B1786" t="s">
        <v>7870</v>
      </c>
      <c r="C1786" t="s">
        <v>567</v>
      </c>
      <c r="D1786" t="s">
        <v>431</v>
      </c>
      <c r="E1786" t="s">
        <v>431</v>
      </c>
      <c r="F1786" t="s">
        <v>7871</v>
      </c>
      <c r="G1786">
        <v>2025</v>
      </c>
      <c r="H1786" t="s">
        <v>1160</v>
      </c>
      <c r="I1786" t="s">
        <v>109</v>
      </c>
      <c r="J1786">
        <v>15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Y1786">
        <v>0</v>
      </c>
      <c r="AA1786">
        <v>65</v>
      </c>
      <c r="AB1786">
        <v>175</v>
      </c>
      <c r="AC1786">
        <v>0</v>
      </c>
      <c r="AD1786">
        <v>0</v>
      </c>
      <c r="AE1786">
        <v>0</v>
      </c>
      <c r="AF1786">
        <v>13</v>
      </c>
      <c r="AG1786">
        <v>-16.822647194060501</v>
      </c>
      <c r="AH1786">
        <v>0</v>
      </c>
      <c r="AI1786">
        <v>33</v>
      </c>
      <c r="AJ1786">
        <v>40</v>
      </c>
      <c r="AK1786">
        <v>271</v>
      </c>
      <c r="AL1786">
        <v>2</v>
      </c>
      <c r="AM1786">
        <v>1</v>
      </c>
      <c r="AN1786">
        <v>1</v>
      </c>
      <c r="AO1786">
        <v>-62</v>
      </c>
      <c r="AP1786">
        <v>318</v>
      </c>
      <c r="AQ1786">
        <v>8</v>
      </c>
      <c r="AR1786">
        <v>6.8993136598437603</v>
      </c>
      <c r="AS1786">
        <v>0</v>
      </c>
      <c r="AT1786">
        <v>-4.3709677419354804</v>
      </c>
      <c r="AU1786">
        <v>7.6628352490421506E-2</v>
      </c>
      <c r="AV1786">
        <v>-1.6380449141347401E-2</v>
      </c>
      <c r="AW1786">
        <v>0.10347621433668901</v>
      </c>
      <c r="AX1786">
        <v>0</v>
      </c>
      <c r="AY1786">
        <v>1</v>
      </c>
      <c r="AZ1786">
        <v>0</v>
      </c>
      <c r="BA1786">
        <v>1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15</v>
      </c>
      <c r="BY1786">
        <v>360</v>
      </c>
      <c r="BZ1786">
        <v>0</v>
      </c>
      <c r="CA1786">
        <v>0</v>
      </c>
      <c r="CB1786">
        <v>0</v>
      </c>
      <c r="CC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C1786">
        <v>0</v>
      </c>
      <c r="DD1786">
        <v>0</v>
      </c>
      <c r="DE1786">
        <v>0</v>
      </c>
      <c r="DF1786">
        <v>0</v>
      </c>
      <c r="DH1786">
        <v>54.6</v>
      </c>
      <c r="DI1786">
        <v>87.6</v>
      </c>
    </row>
    <row r="1787" spans="1:113" ht="15" customHeight="1" x14ac:dyDescent="0.25">
      <c r="A1787" t="s">
        <v>7872</v>
      </c>
      <c r="B1787" t="s">
        <v>7873</v>
      </c>
      <c r="C1787" t="s">
        <v>7874</v>
      </c>
      <c r="D1787" t="s">
        <v>1219</v>
      </c>
      <c r="E1787" t="s">
        <v>1220</v>
      </c>
      <c r="F1787" t="s">
        <v>7875</v>
      </c>
      <c r="G1787">
        <v>2025</v>
      </c>
      <c r="H1787" t="s">
        <v>1160</v>
      </c>
      <c r="I1787" t="s">
        <v>124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Y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S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2</v>
      </c>
      <c r="BU1787">
        <v>10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C1787">
        <v>0</v>
      </c>
      <c r="DD1787">
        <v>0</v>
      </c>
      <c r="DE1787">
        <v>0</v>
      </c>
      <c r="DF1787">
        <v>0</v>
      </c>
      <c r="DH1787">
        <v>0</v>
      </c>
      <c r="DI1787">
        <v>0</v>
      </c>
    </row>
    <row r="1788" spans="1:113" ht="15" customHeight="1" x14ac:dyDescent="0.25">
      <c r="A1788" t="s">
        <v>7876</v>
      </c>
      <c r="B1788" t="s">
        <v>7877</v>
      </c>
      <c r="C1788" t="s">
        <v>1032</v>
      </c>
      <c r="D1788" t="s">
        <v>10</v>
      </c>
      <c r="E1788" t="s">
        <v>10</v>
      </c>
      <c r="F1788" t="s">
        <v>7878</v>
      </c>
      <c r="G1788">
        <v>2025</v>
      </c>
      <c r="H1788" t="s">
        <v>1160</v>
      </c>
      <c r="I1788" t="s">
        <v>143</v>
      </c>
      <c r="J1788">
        <v>15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Y1788">
        <v>0</v>
      </c>
      <c r="AA1788">
        <v>1</v>
      </c>
      <c r="AB1788">
        <v>7</v>
      </c>
      <c r="AC1788">
        <v>0</v>
      </c>
      <c r="AD1788">
        <v>0</v>
      </c>
      <c r="AE1788">
        <v>0</v>
      </c>
      <c r="AF1788">
        <v>0</v>
      </c>
      <c r="AG1788">
        <v>0.26102899201214302</v>
      </c>
      <c r="AH1788">
        <v>0</v>
      </c>
      <c r="AI1788">
        <v>16</v>
      </c>
      <c r="AJ1788">
        <v>32</v>
      </c>
      <c r="AK1788">
        <v>225</v>
      </c>
      <c r="AL1788">
        <v>0</v>
      </c>
      <c r="AM1788">
        <v>0</v>
      </c>
      <c r="AN1788">
        <v>0</v>
      </c>
      <c r="AO1788">
        <v>427</v>
      </c>
      <c r="AP1788">
        <v>39</v>
      </c>
      <c r="AQ1788">
        <v>10</v>
      </c>
      <c r="AR1788">
        <v>-5.6516878356671896</v>
      </c>
      <c r="AS1788">
        <v>0</v>
      </c>
      <c r="AT1788">
        <v>0.52693208430913396</v>
      </c>
      <c r="AU1788">
        <v>7.4074074074074098E-2</v>
      </c>
      <c r="AV1788">
        <v>0.10680340170085</v>
      </c>
      <c r="AW1788">
        <v>0.18587349230170599</v>
      </c>
      <c r="AX1788">
        <v>2</v>
      </c>
      <c r="AY1788">
        <v>1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2</v>
      </c>
      <c r="BM1788">
        <v>0</v>
      </c>
      <c r="BN1788">
        <v>0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23</v>
      </c>
      <c r="BW1788">
        <v>314</v>
      </c>
      <c r="BX1788">
        <v>3</v>
      </c>
      <c r="BY1788">
        <v>56</v>
      </c>
      <c r="BZ1788">
        <v>0</v>
      </c>
      <c r="CA1788">
        <v>0</v>
      </c>
      <c r="CB1788">
        <v>0</v>
      </c>
      <c r="CC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C1788">
        <v>0</v>
      </c>
      <c r="DD1788">
        <v>0</v>
      </c>
      <c r="DE1788">
        <v>0</v>
      </c>
      <c r="DF1788">
        <v>0</v>
      </c>
      <c r="DH1788">
        <v>35.200000000000003</v>
      </c>
      <c r="DI1788">
        <v>51.2</v>
      </c>
    </row>
    <row r="1789" spans="1:113" ht="15" customHeight="1" x14ac:dyDescent="0.25">
      <c r="A1789" t="s">
        <v>7879</v>
      </c>
      <c r="B1789" t="s">
        <v>7880</v>
      </c>
      <c r="C1789" t="s">
        <v>7881</v>
      </c>
      <c r="D1789" t="s">
        <v>1684</v>
      </c>
      <c r="E1789" t="s">
        <v>1307</v>
      </c>
      <c r="F1789" t="s">
        <v>7882</v>
      </c>
      <c r="G1789">
        <v>2025</v>
      </c>
      <c r="H1789" t="s">
        <v>1160</v>
      </c>
      <c r="I1789" t="s">
        <v>101</v>
      </c>
      <c r="J1789">
        <v>17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Y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H1789">
        <v>0</v>
      </c>
      <c r="AI1789">
        <v>1</v>
      </c>
      <c r="AJ1789">
        <v>1</v>
      </c>
      <c r="AK1789">
        <v>3</v>
      </c>
      <c r="AL1789">
        <v>0</v>
      </c>
      <c r="AM1789">
        <v>0</v>
      </c>
      <c r="AN1789">
        <v>0</v>
      </c>
      <c r="AO1789">
        <v>3</v>
      </c>
      <c r="AP1789">
        <v>0</v>
      </c>
      <c r="AQ1789">
        <v>1</v>
      </c>
      <c r="AR1789">
        <v>2.8565037888474798</v>
      </c>
      <c r="AS1789">
        <v>0</v>
      </c>
      <c r="AT1789">
        <v>1</v>
      </c>
      <c r="AU1789">
        <v>2.1186440677966102E-3</v>
      </c>
      <c r="AV1789">
        <v>8.8131609870740297E-4</v>
      </c>
      <c r="AW1789">
        <v>3.7948873707900998E-3</v>
      </c>
      <c r="AX1789">
        <v>0</v>
      </c>
      <c r="AY1789">
        <v>56</v>
      </c>
      <c r="AZ1789">
        <v>0</v>
      </c>
      <c r="BA1789">
        <v>45</v>
      </c>
      <c r="BB1789">
        <v>3</v>
      </c>
      <c r="BC1789">
        <v>6</v>
      </c>
      <c r="BD1789">
        <v>1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3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1</v>
      </c>
      <c r="BR1789">
        <v>1</v>
      </c>
      <c r="BS1789">
        <v>0</v>
      </c>
      <c r="BT1789">
        <v>1</v>
      </c>
      <c r="BU1789">
        <v>5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C1789">
        <v>0</v>
      </c>
      <c r="DD1789">
        <v>0</v>
      </c>
      <c r="DE1789">
        <v>0</v>
      </c>
      <c r="DF1789">
        <v>0</v>
      </c>
      <c r="DH1789">
        <v>0.3</v>
      </c>
      <c r="DI1789">
        <v>1.3</v>
      </c>
    </row>
    <row r="1790" spans="1:113" ht="15" customHeight="1" x14ac:dyDescent="0.25">
      <c r="A1790" t="s">
        <v>7883</v>
      </c>
      <c r="B1790" t="s">
        <v>7884</v>
      </c>
      <c r="C1790" t="s">
        <v>7885</v>
      </c>
      <c r="D1790" t="s">
        <v>1350</v>
      </c>
      <c r="E1790" t="s">
        <v>1307</v>
      </c>
      <c r="F1790" t="s">
        <v>7886</v>
      </c>
      <c r="G1790">
        <v>2025</v>
      </c>
      <c r="H1790" t="s">
        <v>1160</v>
      </c>
      <c r="I1790" t="s">
        <v>138</v>
      </c>
      <c r="J1790">
        <v>16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Y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S1790">
        <v>0</v>
      </c>
      <c r="AU1790">
        <v>0</v>
      </c>
      <c r="AV1790">
        <v>0</v>
      </c>
      <c r="AW1790">
        <v>0</v>
      </c>
      <c r="AX1790">
        <v>0</v>
      </c>
      <c r="AY1790">
        <v>29</v>
      </c>
      <c r="AZ1790">
        <v>0</v>
      </c>
      <c r="BA1790">
        <v>6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0</v>
      </c>
      <c r="BH1790">
        <v>1</v>
      </c>
      <c r="BI1790">
        <v>0</v>
      </c>
      <c r="BJ1790">
        <v>10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2</v>
      </c>
      <c r="BU1790">
        <v>26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C1790">
        <v>0</v>
      </c>
      <c r="DD1790">
        <v>0</v>
      </c>
      <c r="DE1790">
        <v>0</v>
      </c>
      <c r="DF1790">
        <v>0</v>
      </c>
      <c r="DH1790">
        <v>0</v>
      </c>
      <c r="DI1790">
        <v>0</v>
      </c>
    </row>
    <row r="1791" spans="1:113" ht="15" customHeight="1" x14ac:dyDescent="0.25">
      <c r="A1791" t="s">
        <v>7887</v>
      </c>
      <c r="B1791" t="s">
        <v>7888</v>
      </c>
      <c r="C1791" t="s">
        <v>7889</v>
      </c>
      <c r="D1791" t="s">
        <v>1234</v>
      </c>
      <c r="E1791" t="s">
        <v>1234</v>
      </c>
      <c r="F1791" t="s">
        <v>7890</v>
      </c>
      <c r="G1791">
        <v>2025</v>
      </c>
      <c r="H1791" t="s">
        <v>1160</v>
      </c>
      <c r="I1791" t="s">
        <v>104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Y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S1791">
        <v>0</v>
      </c>
      <c r="AU1791">
        <v>0</v>
      </c>
      <c r="AV1791">
        <v>0</v>
      </c>
      <c r="AW1791">
        <v>0</v>
      </c>
      <c r="AX1791">
        <v>0</v>
      </c>
      <c r="AY1791">
        <v>3</v>
      </c>
      <c r="AZ1791">
        <v>0</v>
      </c>
      <c r="BA1791">
        <v>3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2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C1791">
        <v>0</v>
      </c>
      <c r="DD1791">
        <v>0</v>
      </c>
      <c r="DE1791">
        <v>0</v>
      </c>
      <c r="DF1791">
        <v>0</v>
      </c>
      <c r="DH1791">
        <v>0</v>
      </c>
      <c r="DI1791">
        <v>0</v>
      </c>
    </row>
    <row r="1792" spans="1:113" ht="15" customHeight="1" x14ac:dyDescent="0.25">
      <c r="A1792" t="s">
        <v>7891</v>
      </c>
      <c r="B1792" t="s">
        <v>7892</v>
      </c>
      <c r="C1792" t="s">
        <v>7893</v>
      </c>
      <c r="D1792" t="s">
        <v>1234</v>
      </c>
      <c r="E1792" t="s">
        <v>1234</v>
      </c>
      <c r="F1792" t="s">
        <v>7894</v>
      </c>
      <c r="G1792">
        <v>2025</v>
      </c>
      <c r="H1792" t="s">
        <v>1160</v>
      </c>
      <c r="I1792" t="s">
        <v>115</v>
      </c>
      <c r="J1792">
        <v>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Y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S1792">
        <v>0</v>
      </c>
      <c r="AU1792">
        <v>0</v>
      </c>
      <c r="AV1792">
        <v>0</v>
      </c>
      <c r="AW1792">
        <v>0</v>
      </c>
      <c r="AX1792">
        <v>0</v>
      </c>
      <c r="AY1792">
        <v>5</v>
      </c>
      <c r="AZ1792">
        <v>1</v>
      </c>
      <c r="BA1792">
        <v>6</v>
      </c>
      <c r="BB1792">
        <v>3</v>
      </c>
      <c r="BC1792">
        <v>9</v>
      </c>
      <c r="BD1792">
        <v>0</v>
      </c>
      <c r="BE1792">
        <v>0.5</v>
      </c>
      <c r="BF1792">
        <v>0</v>
      </c>
      <c r="BG1792">
        <v>3</v>
      </c>
      <c r="BH1792">
        <v>0</v>
      </c>
      <c r="BI1792">
        <v>0</v>
      </c>
      <c r="BJ1792">
        <v>1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1</v>
      </c>
      <c r="BU1792">
        <v>10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C1792">
        <v>0</v>
      </c>
      <c r="DD1792">
        <v>0</v>
      </c>
      <c r="DE1792">
        <v>0</v>
      </c>
      <c r="DF1792">
        <v>0</v>
      </c>
      <c r="DH1792">
        <v>0</v>
      </c>
      <c r="DI1792">
        <v>0</v>
      </c>
    </row>
    <row r="1793" spans="1:113" ht="15" customHeight="1" x14ac:dyDescent="0.25">
      <c r="A1793" t="s">
        <v>7895</v>
      </c>
      <c r="B1793" t="s">
        <v>7896</v>
      </c>
      <c r="C1793" t="s">
        <v>7897</v>
      </c>
      <c r="D1793" t="s">
        <v>1243</v>
      </c>
      <c r="E1793" t="s">
        <v>1190</v>
      </c>
      <c r="F1793" t="s">
        <v>7898</v>
      </c>
      <c r="G1793">
        <v>2025</v>
      </c>
      <c r="H1793" t="s">
        <v>1160</v>
      </c>
      <c r="I1793" t="s">
        <v>89</v>
      </c>
      <c r="J1793">
        <v>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Y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S1793">
        <v>0</v>
      </c>
      <c r="AU1793">
        <v>0</v>
      </c>
      <c r="AV1793">
        <v>0</v>
      </c>
      <c r="AW1793">
        <v>0</v>
      </c>
      <c r="AX1793">
        <v>0</v>
      </c>
      <c r="AY1793">
        <v>8</v>
      </c>
      <c r="AZ1793">
        <v>0</v>
      </c>
      <c r="BA1793">
        <v>1</v>
      </c>
      <c r="BB1793">
        <v>5</v>
      </c>
      <c r="BC1793">
        <v>34</v>
      </c>
      <c r="BD1793">
        <v>0</v>
      </c>
      <c r="BE1793">
        <v>4</v>
      </c>
      <c r="BF1793">
        <v>30</v>
      </c>
      <c r="BG1793">
        <v>6</v>
      </c>
      <c r="BH1793">
        <v>0</v>
      </c>
      <c r="BI1793">
        <v>0</v>
      </c>
      <c r="BJ1793">
        <v>1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1</v>
      </c>
      <c r="BR1793">
        <v>1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C1793">
        <v>0</v>
      </c>
      <c r="DD1793">
        <v>0</v>
      </c>
      <c r="DE1793">
        <v>0</v>
      </c>
      <c r="DF1793">
        <v>0</v>
      </c>
      <c r="DH1793">
        <v>0</v>
      </c>
      <c r="DI1793">
        <v>0</v>
      </c>
    </row>
    <row r="1794" spans="1:113" ht="15" customHeight="1" x14ac:dyDescent="0.25">
      <c r="A1794" t="s">
        <v>7899</v>
      </c>
      <c r="B1794" t="s">
        <v>7900</v>
      </c>
      <c r="C1794" t="s">
        <v>999</v>
      </c>
      <c r="D1794" t="s">
        <v>10</v>
      </c>
      <c r="E1794" t="s">
        <v>10</v>
      </c>
      <c r="F1794" t="s">
        <v>7901</v>
      </c>
      <c r="G1794">
        <v>2025</v>
      </c>
      <c r="H1794" t="s">
        <v>1160</v>
      </c>
      <c r="I1794" t="s">
        <v>142</v>
      </c>
      <c r="J1794">
        <v>16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Y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H1794">
        <v>0</v>
      </c>
      <c r="AI1794">
        <v>41</v>
      </c>
      <c r="AJ1794">
        <v>89</v>
      </c>
      <c r="AK1794">
        <v>515</v>
      </c>
      <c r="AL1794">
        <v>4</v>
      </c>
      <c r="AM1794">
        <v>0</v>
      </c>
      <c r="AN1794">
        <v>0</v>
      </c>
      <c r="AO1794">
        <v>1126</v>
      </c>
      <c r="AP1794">
        <v>115</v>
      </c>
      <c r="AQ1794">
        <v>30</v>
      </c>
      <c r="AR1794">
        <v>-9.5957034964560304</v>
      </c>
      <c r="AS1794">
        <v>0</v>
      </c>
      <c r="AT1794">
        <v>0.45737122557726501</v>
      </c>
      <c r="AU1794">
        <v>0.167924528301887</v>
      </c>
      <c r="AV1794">
        <v>0.28051818634778303</v>
      </c>
      <c r="AW1794">
        <v>0.44824952289627801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2</v>
      </c>
      <c r="BU1794">
        <v>20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C1794">
        <v>0</v>
      </c>
      <c r="DD1794">
        <v>0</v>
      </c>
      <c r="DE1794">
        <v>0</v>
      </c>
      <c r="DF1794">
        <v>0</v>
      </c>
      <c r="DH1794">
        <v>75.5</v>
      </c>
      <c r="DI1794">
        <v>116.5</v>
      </c>
    </row>
    <row r="1795" spans="1:113" ht="15" customHeight="1" x14ac:dyDescent="0.25">
      <c r="A1795" t="s">
        <v>7902</v>
      </c>
      <c r="B1795" t="s">
        <v>7903</v>
      </c>
      <c r="C1795" t="s">
        <v>7904</v>
      </c>
      <c r="D1795" t="s">
        <v>1243</v>
      </c>
      <c r="E1795" t="s">
        <v>1190</v>
      </c>
      <c r="F1795" t="s">
        <v>7905</v>
      </c>
      <c r="G1795">
        <v>2025</v>
      </c>
      <c r="H1795" t="s">
        <v>1160</v>
      </c>
      <c r="I1795" t="s">
        <v>114</v>
      </c>
      <c r="J1795">
        <v>11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Y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S1795">
        <v>0</v>
      </c>
      <c r="AU1795">
        <v>0</v>
      </c>
      <c r="AV1795">
        <v>0</v>
      </c>
      <c r="AW1795">
        <v>0</v>
      </c>
      <c r="AX1795">
        <v>0</v>
      </c>
      <c r="AY1795">
        <v>6</v>
      </c>
      <c r="AZ1795">
        <v>1</v>
      </c>
      <c r="BA1795">
        <v>8</v>
      </c>
      <c r="BB1795">
        <v>1</v>
      </c>
      <c r="BC1795">
        <v>2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1</v>
      </c>
      <c r="BR1795">
        <v>1</v>
      </c>
      <c r="BS1795">
        <v>0</v>
      </c>
      <c r="BT1795">
        <v>1</v>
      </c>
      <c r="BU1795">
        <v>15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C1795">
        <v>0</v>
      </c>
      <c r="DD1795">
        <v>0</v>
      </c>
      <c r="DE1795">
        <v>0</v>
      </c>
      <c r="DF1795">
        <v>0</v>
      </c>
      <c r="DH1795">
        <v>0</v>
      </c>
      <c r="DI1795">
        <v>0</v>
      </c>
    </row>
    <row r="1796" spans="1:113" ht="15" customHeight="1" x14ac:dyDescent="0.25">
      <c r="A1796" t="s">
        <v>7906</v>
      </c>
      <c r="B1796" t="s">
        <v>7907</v>
      </c>
      <c r="C1796" t="s">
        <v>978</v>
      </c>
      <c r="D1796" t="s">
        <v>10</v>
      </c>
      <c r="E1796" t="s">
        <v>10</v>
      </c>
      <c r="F1796" t="s">
        <v>7908</v>
      </c>
      <c r="G1796">
        <v>2025</v>
      </c>
      <c r="H1796" t="s">
        <v>1160</v>
      </c>
      <c r="I1796" t="s">
        <v>141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Y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H1796">
        <v>0</v>
      </c>
      <c r="AI1796">
        <v>2</v>
      </c>
      <c r="AJ1796">
        <v>3</v>
      </c>
      <c r="AK1796">
        <v>26</v>
      </c>
      <c r="AL1796">
        <v>0</v>
      </c>
      <c r="AM1796">
        <v>0</v>
      </c>
      <c r="AN1796">
        <v>0</v>
      </c>
      <c r="AO1796">
        <v>43</v>
      </c>
      <c r="AP1796">
        <v>1</v>
      </c>
      <c r="AQ1796">
        <v>1</v>
      </c>
      <c r="AR1796">
        <v>0.99223971337778505</v>
      </c>
      <c r="AS1796">
        <v>0</v>
      </c>
      <c r="AT1796">
        <v>0.60465116279069797</v>
      </c>
      <c r="AU1796">
        <v>5.4545454545454602E-3</v>
      </c>
      <c r="AV1796">
        <v>1.0009310986964601E-2</v>
      </c>
      <c r="AW1796">
        <v>1.5188335872693399E-2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C1796">
        <v>0</v>
      </c>
      <c r="DD1796">
        <v>0</v>
      </c>
      <c r="DE1796">
        <v>0</v>
      </c>
      <c r="DF1796">
        <v>0</v>
      </c>
      <c r="DH1796">
        <v>2.6</v>
      </c>
      <c r="DI1796">
        <v>4.5999999999999996</v>
      </c>
    </row>
    <row r="1797" spans="1:113" ht="15" customHeight="1" x14ac:dyDescent="0.25">
      <c r="A1797" t="s">
        <v>7909</v>
      </c>
      <c r="B1797" t="s">
        <v>7910</v>
      </c>
      <c r="C1797" t="s">
        <v>7911</v>
      </c>
      <c r="D1797" t="s">
        <v>1243</v>
      </c>
      <c r="E1797" t="s">
        <v>1190</v>
      </c>
      <c r="F1797" t="s">
        <v>7912</v>
      </c>
      <c r="G1797">
        <v>2025</v>
      </c>
      <c r="H1797" t="s">
        <v>1160</v>
      </c>
      <c r="I1797" t="s">
        <v>137</v>
      </c>
      <c r="J1797">
        <v>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Y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S1797">
        <v>0</v>
      </c>
      <c r="AU1797">
        <v>0</v>
      </c>
      <c r="AV1797">
        <v>0</v>
      </c>
      <c r="AW1797">
        <v>0</v>
      </c>
      <c r="AX1797">
        <v>0</v>
      </c>
      <c r="AY1797">
        <v>6</v>
      </c>
      <c r="AZ1797">
        <v>0</v>
      </c>
      <c r="BA1797">
        <v>6</v>
      </c>
      <c r="BB1797">
        <v>2</v>
      </c>
      <c r="BC1797">
        <v>8</v>
      </c>
      <c r="BD1797">
        <v>0</v>
      </c>
      <c r="BE1797">
        <v>1</v>
      </c>
      <c r="BF1797">
        <v>6</v>
      </c>
      <c r="BG1797">
        <v>1</v>
      </c>
      <c r="BH1797">
        <v>0</v>
      </c>
      <c r="BI1797">
        <v>0</v>
      </c>
      <c r="BJ1797">
        <v>1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1</v>
      </c>
      <c r="BU1797">
        <v>5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C1797">
        <v>0</v>
      </c>
      <c r="DD1797">
        <v>0</v>
      </c>
      <c r="DE1797">
        <v>0</v>
      </c>
      <c r="DF1797">
        <v>0</v>
      </c>
      <c r="DH1797">
        <v>0</v>
      </c>
      <c r="DI1797">
        <v>0</v>
      </c>
    </row>
    <row r="1798" spans="1:113" ht="15" customHeight="1" x14ac:dyDescent="0.25">
      <c r="A1798" t="s">
        <v>7913</v>
      </c>
      <c r="B1798" t="s">
        <v>7914</v>
      </c>
      <c r="C1798" t="s">
        <v>7915</v>
      </c>
      <c r="D1798" t="s">
        <v>1243</v>
      </c>
      <c r="E1798" t="s">
        <v>1190</v>
      </c>
      <c r="F1798" t="s">
        <v>7916</v>
      </c>
      <c r="G1798">
        <v>2025</v>
      </c>
      <c r="H1798" t="s">
        <v>1160</v>
      </c>
      <c r="I1798" t="s">
        <v>96</v>
      </c>
      <c r="J1798">
        <v>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Y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S1798">
        <v>0</v>
      </c>
      <c r="AU1798">
        <v>0</v>
      </c>
      <c r="AV1798">
        <v>0</v>
      </c>
      <c r="AW1798">
        <v>0</v>
      </c>
      <c r="AX1798">
        <v>0</v>
      </c>
      <c r="AY1798">
        <v>2</v>
      </c>
      <c r="AZ1798">
        <v>0</v>
      </c>
      <c r="BA1798">
        <v>7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C1798">
        <v>0</v>
      </c>
      <c r="DD1798">
        <v>0</v>
      </c>
      <c r="DE1798">
        <v>0</v>
      </c>
      <c r="DF1798">
        <v>0</v>
      </c>
      <c r="DH1798">
        <v>0</v>
      </c>
      <c r="DI1798">
        <v>0</v>
      </c>
    </row>
    <row r="1799" spans="1:113" ht="15" customHeight="1" x14ac:dyDescent="0.25">
      <c r="A1799" t="s">
        <v>7917</v>
      </c>
      <c r="B1799" t="s">
        <v>7918</v>
      </c>
      <c r="C1799" t="s">
        <v>1519</v>
      </c>
      <c r="D1799" t="s">
        <v>1243</v>
      </c>
      <c r="E1799" t="s">
        <v>1190</v>
      </c>
      <c r="F1799" t="s">
        <v>7919</v>
      </c>
      <c r="G1799">
        <v>2025</v>
      </c>
      <c r="H1799" t="s">
        <v>1160</v>
      </c>
      <c r="I1799" t="s">
        <v>133</v>
      </c>
      <c r="J1799">
        <v>14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Y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S1799">
        <v>0</v>
      </c>
      <c r="AU1799">
        <v>0</v>
      </c>
      <c r="AV1799">
        <v>0</v>
      </c>
      <c r="AW1799">
        <v>0</v>
      </c>
      <c r="AX1799">
        <v>0</v>
      </c>
      <c r="AY1799">
        <v>7</v>
      </c>
      <c r="AZ1799">
        <v>1</v>
      </c>
      <c r="BA1799">
        <v>26</v>
      </c>
      <c r="BB1799">
        <v>1</v>
      </c>
      <c r="BC1799">
        <v>1</v>
      </c>
      <c r="BD1799">
        <v>0</v>
      </c>
      <c r="BE1799">
        <v>0</v>
      </c>
      <c r="BF1799">
        <v>0</v>
      </c>
      <c r="BG1799">
        <v>1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C1799">
        <v>0</v>
      </c>
      <c r="DD1799">
        <v>0</v>
      </c>
      <c r="DE1799">
        <v>0</v>
      </c>
      <c r="DF1799">
        <v>0</v>
      </c>
      <c r="DH1799">
        <v>0</v>
      </c>
      <c r="DI1799">
        <v>0</v>
      </c>
    </row>
    <row r="1800" spans="1:113" ht="15" customHeight="1" x14ac:dyDescent="0.25">
      <c r="A1800" t="s">
        <v>7920</v>
      </c>
      <c r="B1800" t="s">
        <v>7921</v>
      </c>
      <c r="C1800" t="s">
        <v>7922</v>
      </c>
      <c r="D1800" t="s">
        <v>1234</v>
      </c>
      <c r="E1800" t="s">
        <v>1234</v>
      </c>
      <c r="F1800" t="s">
        <v>7923</v>
      </c>
      <c r="G1800">
        <v>2025</v>
      </c>
      <c r="H1800" t="s">
        <v>1160</v>
      </c>
      <c r="I1800" t="s">
        <v>114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Y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S1800">
        <v>0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C1800">
        <v>0</v>
      </c>
      <c r="DD1800">
        <v>0</v>
      </c>
      <c r="DE1800">
        <v>0</v>
      </c>
      <c r="DF1800">
        <v>0</v>
      </c>
      <c r="DH1800">
        <v>0</v>
      </c>
      <c r="DI1800">
        <v>0</v>
      </c>
    </row>
    <row r="1801" spans="1:113" ht="15" customHeight="1" x14ac:dyDescent="0.25">
      <c r="A1801" t="s">
        <v>7924</v>
      </c>
      <c r="B1801" t="s">
        <v>7925</v>
      </c>
      <c r="C1801" t="s">
        <v>7926</v>
      </c>
      <c r="D1801" t="s">
        <v>1350</v>
      </c>
      <c r="E1801" t="s">
        <v>1307</v>
      </c>
      <c r="F1801" t="s">
        <v>7927</v>
      </c>
      <c r="G1801">
        <v>2025</v>
      </c>
      <c r="H1801" t="s">
        <v>1160</v>
      </c>
      <c r="I1801" t="s">
        <v>133</v>
      </c>
      <c r="J1801">
        <v>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Y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S1801">
        <v>0</v>
      </c>
      <c r="AU1801">
        <v>0</v>
      </c>
      <c r="AV1801">
        <v>0</v>
      </c>
      <c r="AW1801">
        <v>0</v>
      </c>
      <c r="AX1801">
        <v>0</v>
      </c>
      <c r="AY1801">
        <v>13</v>
      </c>
      <c r="AZ1801">
        <v>1</v>
      </c>
      <c r="BA1801">
        <v>9</v>
      </c>
      <c r="BB1801">
        <v>1</v>
      </c>
      <c r="BC1801">
        <v>1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24</v>
      </c>
      <c r="BJ1801">
        <v>4</v>
      </c>
      <c r="BK1801">
        <v>0</v>
      </c>
      <c r="BL1801">
        <v>0</v>
      </c>
      <c r="BM1801">
        <v>0</v>
      </c>
      <c r="BN1801">
        <v>10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1</v>
      </c>
      <c r="BU1801">
        <v>5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C1801">
        <v>0</v>
      </c>
      <c r="DD1801">
        <v>0</v>
      </c>
      <c r="DE1801">
        <v>0</v>
      </c>
      <c r="DF1801">
        <v>0</v>
      </c>
      <c r="DH1801">
        <v>0</v>
      </c>
      <c r="DI1801">
        <v>0</v>
      </c>
    </row>
    <row r="1802" spans="1:113" ht="15" customHeight="1" x14ac:dyDescent="0.25">
      <c r="A1802" t="s">
        <v>7928</v>
      </c>
      <c r="B1802" t="s">
        <v>7929</v>
      </c>
      <c r="C1802" t="s">
        <v>673</v>
      </c>
      <c r="D1802" t="s">
        <v>431</v>
      </c>
      <c r="E1802" t="s">
        <v>431</v>
      </c>
      <c r="F1802" t="s">
        <v>7930</v>
      </c>
      <c r="G1802">
        <v>2025</v>
      </c>
      <c r="H1802" t="s">
        <v>1160</v>
      </c>
      <c r="I1802" t="s">
        <v>124</v>
      </c>
      <c r="J1802">
        <v>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Y1802">
        <v>0</v>
      </c>
      <c r="AA1802">
        <v>26</v>
      </c>
      <c r="AB1802">
        <v>96</v>
      </c>
      <c r="AC1802">
        <v>0</v>
      </c>
      <c r="AD1802">
        <v>0</v>
      </c>
      <c r="AE1802">
        <v>0</v>
      </c>
      <c r="AF1802">
        <v>5</v>
      </c>
      <c r="AG1802">
        <v>2.0433476078323999E-2</v>
      </c>
      <c r="AH1802">
        <v>0</v>
      </c>
      <c r="AI1802">
        <v>0</v>
      </c>
      <c r="AJ1802">
        <v>2</v>
      </c>
      <c r="AK1802">
        <v>0</v>
      </c>
      <c r="AL1802">
        <v>0</v>
      </c>
      <c r="AM1802">
        <v>0</v>
      </c>
      <c r="AN1802">
        <v>0</v>
      </c>
      <c r="AO1802">
        <v>-6</v>
      </c>
      <c r="AP1802">
        <v>0</v>
      </c>
      <c r="AQ1802">
        <v>0</v>
      </c>
      <c r="AR1802">
        <v>-1.65773248531269</v>
      </c>
      <c r="AS1802">
        <v>0</v>
      </c>
      <c r="AT1802">
        <v>0</v>
      </c>
      <c r="AU1802">
        <v>3.77358490566038E-3</v>
      </c>
      <c r="AV1802">
        <v>-1.3698630136986299E-3</v>
      </c>
      <c r="AW1802">
        <v>4.7014732489015299E-3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C1802">
        <v>0</v>
      </c>
      <c r="DD1802">
        <v>0</v>
      </c>
      <c r="DE1802">
        <v>0</v>
      </c>
      <c r="DF1802">
        <v>0</v>
      </c>
      <c r="DH1802">
        <v>9.6</v>
      </c>
      <c r="DI1802">
        <v>9.6</v>
      </c>
    </row>
    <row r="1803" spans="1:113" ht="15" customHeight="1" x14ac:dyDescent="0.25">
      <c r="A1803" t="s">
        <v>7931</v>
      </c>
      <c r="B1803" t="s">
        <v>7932</v>
      </c>
      <c r="C1803" t="s">
        <v>7933</v>
      </c>
      <c r="D1803" t="s">
        <v>1219</v>
      </c>
      <c r="E1803" t="s">
        <v>1220</v>
      </c>
      <c r="F1803" t="s">
        <v>7934</v>
      </c>
      <c r="G1803">
        <v>2025</v>
      </c>
      <c r="H1803" t="s">
        <v>1160</v>
      </c>
      <c r="I1803" t="s">
        <v>107</v>
      </c>
      <c r="J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Y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S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1</v>
      </c>
      <c r="BU1803">
        <v>10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C1803">
        <v>0</v>
      </c>
      <c r="DD1803">
        <v>0</v>
      </c>
      <c r="DE1803">
        <v>0</v>
      </c>
      <c r="DF1803">
        <v>0</v>
      </c>
      <c r="DH1803">
        <v>0</v>
      </c>
      <c r="DI1803">
        <v>0</v>
      </c>
    </row>
    <row r="1804" spans="1:113" ht="15" customHeight="1" x14ac:dyDescent="0.25">
      <c r="A1804" t="s">
        <v>7935</v>
      </c>
      <c r="B1804" t="s">
        <v>7936</v>
      </c>
      <c r="C1804" t="s">
        <v>7937</v>
      </c>
      <c r="D1804" t="s">
        <v>1297</v>
      </c>
      <c r="E1804" t="s">
        <v>1220</v>
      </c>
      <c r="F1804" t="s">
        <v>7938</v>
      </c>
      <c r="G1804">
        <v>2025</v>
      </c>
      <c r="H1804" t="s">
        <v>1160</v>
      </c>
      <c r="I1804" t="s">
        <v>139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Y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S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3</v>
      </c>
      <c r="BU1804">
        <v>30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C1804">
        <v>0</v>
      </c>
      <c r="DD1804">
        <v>0</v>
      </c>
      <c r="DE1804">
        <v>0</v>
      </c>
      <c r="DF1804">
        <v>0</v>
      </c>
      <c r="DH1804">
        <v>0</v>
      </c>
      <c r="DI1804">
        <v>0</v>
      </c>
    </row>
    <row r="1805" spans="1:113" ht="15" customHeight="1" x14ac:dyDescent="0.25">
      <c r="A1805" t="s">
        <v>7939</v>
      </c>
      <c r="B1805" t="s">
        <v>7940</v>
      </c>
      <c r="C1805" t="s">
        <v>7941</v>
      </c>
      <c r="D1805" t="s">
        <v>1684</v>
      </c>
      <c r="E1805" t="s">
        <v>1307</v>
      </c>
      <c r="F1805" t="s">
        <v>7942</v>
      </c>
      <c r="G1805">
        <v>2025</v>
      </c>
      <c r="H1805" t="s">
        <v>1160</v>
      </c>
      <c r="I1805" t="s">
        <v>133</v>
      </c>
      <c r="J1805">
        <v>15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Y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S1805">
        <v>0</v>
      </c>
      <c r="AU1805">
        <v>0</v>
      </c>
      <c r="AV1805">
        <v>0</v>
      </c>
      <c r="AW1805">
        <v>0</v>
      </c>
      <c r="AX1805">
        <v>0</v>
      </c>
      <c r="AY1805">
        <v>28</v>
      </c>
      <c r="AZ1805">
        <v>1</v>
      </c>
      <c r="BA1805">
        <v>26</v>
      </c>
      <c r="BB1805">
        <v>0</v>
      </c>
      <c r="BC1805">
        <v>0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1</v>
      </c>
      <c r="BR1805">
        <v>1</v>
      </c>
      <c r="BS1805">
        <v>0</v>
      </c>
      <c r="BT1805">
        <v>1</v>
      </c>
      <c r="BU1805">
        <v>5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C1805">
        <v>0</v>
      </c>
      <c r="DD1805">
        <v>0</v>
      </c>
      <c r="DE1805">
        <v>0</v>
      </c>
      <c r="DF1805">
        <v>0</v>
      </c>
      <c r="DH1805">
        <v>0</v>
      </c>
      <c r="DI1805">
        <v>0</v>
      </c>
    </row>
    <row r="1806" spans="1:113" ht="15" customHeight="1" x14ac:dyDescent="0.25">
      <c r="A1806" t="s">
        <v>7943</v>
      </c>
      <c r="B1806" t="s">
        <v>1699</v>
      </c>
      <c r="C1806" t="s">
        <v>7944</v>
      </c>
      <c r="D1806" t="s">
        <v>1189</v>
      </c>
      <c r="E1806" t="s">
        <v>1190</v>
      </c>
      <c r="F1806" t="s">
        <v>7945</v>
      </c>
      <c r="G1806">
        <v>2025</v>
      </c>
      <c r="H1806" t="s">
        <v>1160</v>
      </c>
      <c r="I1806" t="s">
        <v>126</v>
      </c>
      <c r="J1806">
        <v>12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Y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S1806">
        <v>0</v>
      </c>
      <c r="AU1806">
        <v>0</v>
      </c>
      <c r="AV1806">
        <v>0</v>
      </c>
      <c r="AW1806">
        <v>0</v>
      </c>
      <c r="AX1806">
        <v>0</v>
      </c>
      <c r="AY1806">
        <v>9</v>
      </c>
      <c r="AZ1806">
        <v>1</v>
      </c>
      <c r="BA1806">
        <v>4</v>
      </c>
      <c r="BB1806">
        <v>2</v>
      </c>
      <c r="BC1806">
        <v>3</v>
      </c>
      <c r="BD1806">
        <v>0</v>
      </c>
      <c r="BE1806">
        <v>2</v>
      </c>
      <c r="BF1806">
        <v>10</v>
      </c>
      <c r="BG1806">
        <v>5</v>
      </c>
      <c r="BH1806">
        <v>0</v>
      </c>
      <c r="BI1806">
        <v>0</v>
      </c>
      <c r="BJ1806">
        <v>3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1</v>
      </c>
      <c r="BR1806">
        <v>1</v>
      </c>
      <c r="BS1806">
        <v>0</v>
      </c>
      <c r="BT1806">
        <v>1</v>
      </c>
      <c r="BU1806">
        <v>15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C1806">
        <v>0</v>
      </c>
      <c r="DD1806">
        <v>0</v>
      </c>
      <c r="DE1806">
        <v>0</v>
      </c>
      <c r="DF1806">
        <v>0</v>
      </c>
      <c r="DH1806">
        <v>0</v>
      </c>
      <c r="DI1806">
        <v>0</v>
      </c>
    </row>
    <row r="1807" spans="1:113" ht="15" customHeight="1" x14ac:dyDescent="0.25">
      <c r="A1807" t="s">
        <v>7946</v>
      </c>
      <c r="B1807" t="s">
        <v>7947</v>
      </c>
      <c r="C1807" t="s">
        <v>734</v>
      </c>
      <c r="D1807" t="s">
        <v>10</v>
      </c>
      <c r="E1807" t="s">
        <v>10</v>
      </c>
      <c r="F1807" t="s">
        <v>7948</v>
      </c>
      <c r="G1807">
        <v>2025</v>
      </c>
      <c r="H1807" t="s">
        <v>1160</v>
      </c>
      <c r="I1807" t="s">
        <v>131</v>
      </c>
      <c r="J1807">
        <v>10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Y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H1807">
        <v>0</v>
      </c>
      <c r="AI1807">
        <v>5</v>
      </c>
      <c r="AJ1807">
        <v>12</v>
      </c>
      <c r="AK1807">
        <v>51</v>
      </c>
      <c r="AL1807">
        <v>1</v>
      </c>
      <c r="AM1807">
        <v>0</v>
      </c>
      <c r="AN1807">
        <v>0</v>
      </c>
      <c r="AO1807">
        <v>211</v>
      </c>
      <c r="AP1807">
        <v>21</v>
      </c>
      <c r="AQ1807">
        <v>3</v>
      </c>
      <c r="AR1807">
        <v>-4.91588680870729</v>
      </c>
      <c r="AS1807">
        <v>0</v>
      </c>
      <c r="AT1807">
        <v>0.24170616113744101</v>
      </c>
      <c r="AU1807">
        <v>2.2058823529411801E-2</v>
      </c>
      <c r="AV1807">
        <v>4.64144302683678E-2</v>
      </c>
      <c r="AW1807">
        <v>6.55783364819751E-2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3</v>
      </c>
      <c r="BU1807">
        <v>15</v>
      </c>
      <c r="BV1807">
        <v>0</v>
      </c>
      <c r="BW1807">
        <v>0</v>
      </c>
      <c r="BX1807">
        <v>18</v>
      </c>
      <c r="BY1807">
        <v>418</v>
      </c>
      <c r="BZ1807">
        <v>0</v>
      </c>
      <c r="CA1807">
        <v>0</v>
      </c>
      <c r="CB1807">
        <v>0</v>
      </c>
      <c r="CC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C1807">
        <v>0</v>
      </c>
      <c r="DD1807">
        <v>0</v>
      </c>
      <c r="DE1807">
        <v>0</v>
      </c>
      <c r="DF1807">
        <v>0</v>
      </c>
      <c r="DH1807">
        <v>11.1</v>
      </c>
      <c r="DI1807">
        <v>16.100000000000001</v>
      </c>
    </row>
    <row r="1808" spans="1:113" ht="15" customHeight="1" x14ac:dyDescent="0.25">
      <c r="A1808" t="s">
        <v>7949</v>
      </c>
      <c r="B1808" t="s">
        <v>7950</v>
      </c>
      <c r="C1808" t="s">
        <v>7951</v>
      </c>
      <c r="D1808" t="s">
        <v>1684</v>
      </c>
      <c r="E1808" t="s">
        <v>1307</v>
      </c>
      <c r="F1808" t="s">
        <v>7952</v>
      </c>
      <c r="G1808">
        <v>2025</v>
      </c>
      <c r="H1808" t="s">
        <v>1160</v>
      </c>
      <c r="I1808" t="s">
        <v>141</v>
      </c>
      <c r="J1808">
        <v>13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Y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S1808">
        <v>0</v>
      </c>
      <c r="AU1808">
        <v>0</v>
      </c>
      <c r="AV1808">
        <v>0</v>
      </c>
      <c r="AW1808">
        <v>0</v>
      </c>
      <c r="AX1808">
        <v>0</v>
      </c>
      <c r="AY1808">
        <v>28</v>
      </c>
      <c r="AZ1808">
        <v>0</v>
      </c>
      <c r="BA1808">
        <v>24</v>
      </c>
      <c r="BB1808">
        <v>1</v>
      </c>
      <c r="BC1808">
        <v>1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2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1</v>
      </c>
      <c r="BR1808">
        <v>1</v>
      </c>
      <c r="BS1808">
        <v>0</v>
      </c>
      <c r="BT1808">
        <v>2</v>
      </c>
      <c r="BU1808">
        <v>10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C1808">
        <v>0</v>
      </c>
      <c r="DD1808">
        <v>0</v>
      </c>
      <c r="DE1808">
        <v>0</v>
      </c>
      <c r="DF1808">
        <v>0</v>
      </c>
      <c r="DH1808">
        <v>0</v>
      </c>
      <c r="DI1808">
        <v>0</v>
      </c>
    </row>
    <row r="1809" spans="1:113" ht="15" customHeight="1" x14ac:dyDescent="0.25">
      <c r="A1809" t="s">
        <v>7953</v>
      </c>
      <c r="B1809" t="s">
        <v>7954</v>
      </c>
      <c r="C1809" t="s">
        <v>7955</v>
      </c>
      <c r="D1809" t="s">
        <v>1234</v>
      </c>
      <c r="E1809" t="s">
        <v>1234</v>
      </c>
      <c r="F1809" t="s">
        <v>7956</v>
      </c>
      <c r="G1809">
        <v>2025</v>
      </c>
      <c r="H1809" t="s">
        <v>1160</v>
      </c>
      <c r="I1809" t="s">
        <v>101</v>
      </c>
      <c r="J1809">
        <v>12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Y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S1809">
        <v>0</v>
      </c>
      <c r="AU1809">
        <v>0</v>
      </c>
      <c r="AV1809">
        <v>0</v>
      </c>
      <c r="AW1809">
        <v>0</v>
      </c>
      <c r="AX1809">
        <v>0</v>
      </c>
      <c r="AY1809">
        <v>16</v>
      </c>
      <c r="AZ1809">
        <v>0</v>
      </c>
      <c r="BA1809">
        <v>29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1</v>
      </c>
      <c r="BU1809">
        <v>15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C1809">
        <v>0</v>
      </c>
      <c r="DD1809">
        <v>0</v>
      </c>
      <c r="DE1809">
        <v>0</v>
      </c>
      <c r="DF1809">
        <v>0</v>
      </c>
      <c r="DH1809">
        <v>0</v>
      </c>
      <c r="DI1809">
        <v>0</v>
      </c>
    </row>
    <row r="1810" spans="1:113" ht="15" customHeight="1" x14ac:dyDescent="0.25">
      <c r="A1810" t="s">
        <v>7957</v>
      </c>
      <c r="B1810" t="s">
        <v>1480</v>
      </c>
      <c r="C1810" t="s">
        <v>503</v>
      </c>
      <c r="D1810" t="s">
        <v>439</v>
      </c>
      <c r="E1810" t="s">
        <v>439</v>
      </c>
      <c r="F1810" t="s">
        <v>7958</v>
      </c>
      <c r="G1810">
        <v>2025</v>
      </c>
      <c r="H1810" t="s">
        <v>1160</v>
      </c>
      <c r="I1810" t="s">
        <v>96</v>
      </c>
      <c r="J1810">
        <v>14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Y1810">
        <v>0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1.78429224726278</v>
      </c>
      <c r="AH1810">
        <v>0</v>
      </c>
      <c r="AI1810">
        <v>19</v>
      </c>
      <c r="AJ1810">
        <v>25</v>
      </c>
      <c r="AK1810">
        <v>171</v>
      </c>
      <c r="AL1810">
        <v>2</v>
      </c>
      <c r="AM1810">
        <v>0</v>
      </c>
      <c r="AN1810">
        <v>0</v>
      </c>
      <c r="AO1810">
        <v>91</v>
      </c>
      <c r="AP1810">
        <v>108</v>
      </c>
      <c r="AQ1810">
        <v>9</v>
      </c>
      <c r="AR1810">
        <v>3.1915485067002001</v>
      </c>
      <c r="AS1810">
        <v>0</v>
      </c>
      <c r="AT1810">
        <v>1.87912087912088</v>
      </c>
      <c r="AU1810">
        <v>5.2083333333333301E-2</v>
      </c>
      <c r="AV1810">
        <v>2.6376811594202899E-2</v>
      </c>
      <c r="AW1810">
        <v>9.6588768115941998E-2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3</v>
      </c>
      <c r="BU1810">
        <v>25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C1810">
        <v>0</v>
      </c>
      <c r="DD1810">
        <v>0</v>
      </c>
      <c r="DE1810">
        <v>0</v>
      </c>
      <c r="DF1810">
        <v>0</v>
      </c>
      <c r="DH1810">
        <v>29.2</v>
      </c>
      <c r="DI1810">
        <v>48.2</v>
      </c>
    </row>
    <row r="1811" spans="1:113" ht="15" customHeight="1" x14ac:dyDescent="0.25">
      <c r="A1811" t="s">
        <v>7959</v>
      </c>
      <c r="B1811" t="s">
        <v>7960</v>
      </c>
      <c r="C1811" t="s">
        <v>7961</v>
      </c>
      <c r="D1811" t="s">
        <v>1189</v>
      </c>
      <c r="E1811" t="s">
        <v>1190</v>
      </c>
      <c r="F1811" t="s">
        <v>7962</v>
      </c>
      <c r="G1811">
        <v>2025</v>
      </c>
      <c r="H1811" t="s">
        <v>1160</v>
      </c>
      <c r="I1811" t="s">
        <v>103</v>
      </c>
      <c r="J1811">
        <v>12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Y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S1811">
        <v>0</v>
      </c>
      <c r="AU1811">
        <v>0</v>
      </c>
      <c r="AV1811">
        <v>0</v>
      </c>
      <c r="AW1811">
        <v>0</v>
      </c>
      <c r="AX1811">
        <v>0</v>
      </c>
      <c r="AY1811">
        <v>10</v>
      </c>
      <c r="AZ1811">
        <v>0</v>
      </c>
      <c r="BA1811">
        <v>18</v>
      </c>
      <c r="BB1811">
        <v>0</v>
      </c>
      <c r="BC1811">
        <v>0</v>
      </c>
      <c r="BD1811">
        <v>2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1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1</v>
      </c>
      <c r="BR1811">
        <v>1</v>
      </c>
      <c r="BS1811">
        <v>0</v>
      </c>
      <c r="BT1811">
        <v>2</v>
      </c>
      <c r="BU1811">
        <v>16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C1811">
        <v>0</v>
      </c>
      <c r="DD1811">
        <v>0</v>
      </c>
      <c r="DE1811">
        <v>0</v>
      </c>
      <c r="DF1811">
        <v>0</v>
      </c>
      <c r="DH1811">
        <v>0</v>
      </c>
      <c r="DI1811">
        <v>0</v>
      </c>
    </row>
    <row r="1812" spans="1:113" ht="15" customHeight="1" x14ac:dyDescent="0.25">
      <c r="A1812" t="s">
        <v>7963</v>
      </c>
      <c r="B1812" t="s">
        <v>7964</v>
      </c>
      <c r="C1812" t="s">
        <v>7965</v>
      </c>
      <c r="D1812" t="s">
        <v>439</v>
      </c>
      <c r="E1812" t="s">
        <v>439</v>
      </c>
      <c r="F1812" t="s">
        <v>7966</v>
      </c>
      <c r="G1812">
        <v>2025</v>
      </c>
      <c r="H1812" t="s">
        <v>1160</v>
      </c>
      <c r="I1812" t="s">
        <v>131</v>
      </c>
      <c r="J1812">
        <v>15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Y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H1812">
        <v>0</v>
      </c>
      <c r="AI1812">
        <v>49</v>
      </c>
      <c r="AJ1812">
        <v>69</v>
      </c>
      <c r="AK1812">
        <v>664</v>
      </c>
      <c r="AL1812">
        <v>3</v>
      </c>
      <c r="AM1812">
        <v>1</v>
      </c>
      <c r="AN1812">
        <v>1</v>
      </c>
      <c r="AO1812">
        <v>624</v>
      </c>
      <c r="AP1812">
        <v>221</v>
      </c>
      <c r="AQ1812">
        <v>28</v>
      </c>
      <c r="AR1812">
        <v>16.5150553240987</v>
      </c>
      <c r="AS1812">
        <v>0</v>
      </c>
      <c r="AT1812">
        <v>1.0641025641025601</v>
      </c>
      <c r="AU1812">
        <v>0.126838235294118</v>
      </c>
      <c r="AV1812">
        <v>0.137263528376595</v>
      </c>
      <c r="AW1812">
        <v>0.28634182280479298</v>
      </c>
      <c r="AX1812">
        <v>0</v>
      </c>
      <c r="AY1812">
        <v>0</v>
      </c>
      <c r="AZ1812">
        <v>0</v>
      </c>
      <c r="BA1812">
        <v>1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2</v>
      </c>
      <c r="BU1812">
        <v>20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C1812">
        <v>0</v>
      </c>
      <c r="DD1812">
        <v>0</v>
      </c>
      <c r="DE1812">
        <v>0</v>
      </c>
      <c r="DF1812">
        <v>0</v>
      </c>
      <c r="DH1812">
        <v>82.4</v>
      </c>
      <c r="DI1812">
        <v>131.4</v>
      </c>
    </row>
    <row r="1813" spans="1:113" ht="15" customHeight="1" x14ac:dyDescent="0.25">
      <c r="A1813" t="s">
        <v>7967</v>
      </c>
      <c r="B1813" t="s">
        <v>7968</v>
      </c>
      <c r="C1813" t="s">
        <v>7969</v>
      </c>
      <c r="D1813" t="s">
        <v>1350</v>
      </c>
      <c r="E1813" t="s">
        <v>1307</v>
      </c>
      <c r="F1813" t="s">
        <v>7970</v>
      </c>
      <c r="G1813">
        <v>2025</v>
      </c>
      <c r="H1813" t="s">
        <v>1160</v>
      </c>
      <c r="I1813" t="s">
        <v>99</v>
      </c>
      <c r="J1813">
        <v>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Y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S1813">
        <v>0</v>
      </c>
      <c r="AU1813">
        <v>0</v>
      </c>
      <c r="AV1813">
        <v>0</v>
      </c>
      <c r="AW1813">
        <v>0</v>
      </c>
      <c r="AX1813">
        <v>0</v>
      </c>
      <c r="AY1813">
        <v>9</v>
      </c>
      <c r="AZ1813">
        <v>0</v>
      </c>
      <c r="BA1813">
        <v>13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2</v>
      </c>
      <c r="BU1813">
        <v>25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C1813">
        <v>0</v>
      </c>
      <c r="DD1813">
        <v>0</v>
      </c>
      <c r="DE1813">
        <v>0</v>
      </c>
      <c r="DF1813">
        <v>0</v>
      </c>
      <c r="DH1813">
        <v>0</v>
      </c>
      <c r="DI1813">
        <v>0</v>
      </c>
    </row>
    <row r="1814" spans="1:113" ht="15" customHeight="1" x14ac:dyDescent="0.25">
      <c r="A1814" t="s">
        <v>7971</v>
      </c>
      <c r="B1814" t="s">
        <v>7972</v>
      </c>
      <c r="C1814" t="s">
        <v>7973</v>
      </c>
      <c r="D1814" t="s">
        <v>1297</v>
      </c>
      <c r="E1814" t="s">
        <v>1220</v>
      </c>
      <c r="F1814" t="s">
        <v>7974</v>
      </c>
      <c r="G1814">
        <v>2025</v>
      </c>
      <c r="H1814" t="s">
        <v>1160</v>
      </c>
      <c r="I1814" t="s">
        <v>111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Y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S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2</v>
      </c>
      <c r="BU1814">
        <v>10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C1814">
        <v>0</v>
      </c>
      <c r="DD1814">
        <v>0</v>
      </c>
      <c r="DE1814">
        <v>0</v>
      </c>
      <c r="DF1814">
        <v>0</v>
      </c>
      <c r="DH1814">
        <v>0</v>
      </c>
      <c r="DI1814">
        <v>0</v>
      </c>
    </row>
    <row r="1815" spans="1:113" ht="15" customHeight="1" x14ac:dyDescent="0.25">
      <c r="A1815" t="s">
        <v>7975</v>
      </c>
      <c r="B1815" t="s">
        <v>7976</v>
      </c>
      <c r="C1815" t="s">
        <v>488</v>
      </c>
      <c r="D1815" t="s">
        <v>439</v>
      </c>
      <c r="E1815" t="s">
        <v>439</v>
      </c>
      <c r="F1815" t="s">
        <v>7977</v>
      </c>
      <c r="G1815">
        <v>2025</v>
      </c>
      <c r="H1815" t="s">
        <v>1160</v>
      </c>
      <c r="I1815" t="s">
        <v>99</v>
      </c>
      <c r="J1815">
        <v>13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Y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H1815">
        <v>0</v>
      </c>
      <c r="AI1815">
        <v>16</v>
      </c>
      <c r="AJ1815">
        <v>19</v>
      </c>
      <c r="AK1815">
        <v>187</v>
      </c>
      <c r="AL1815">
        <v>3</v>
      </c>
      <c r="AM1815">
        <v>0</v>
      </c>
      <c r="AN1815">
        <v>0</v>
      </c>
      <c r="AO1815">
        <v>139</v>
      </c>
      <c r="AP1815">
        <v>91</v>
      </c>
      <c r="AQ1815">
        <v>13</v>
      </c>
      <c r="AR1815">
        <v>14.8332592858933</v>
      </c>
      <c r="AS1815">
        <v>0</v>
      </c>
      <c r="AT1815">
        <v>1.3453237410071901</v>
      </c>
      <c r="AU1815">
        <v>3.9665970772442598E-2</v>
      </c>
      <c r="AV1815">
        <v>3.8461538461538498E-2</v>
      </c>
      <c r="AW1815">
        <v>8.6422033081740804E-2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3</v>
      </c>
      <c r="BU1815">
        <v>25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C1815">
        <v>0</v>
      </c>
      <c r="DD1815">
        <v>0</v>
      </c>
      <c r="DE1815">
        <v>0</v>
      </c>
      <c r="DF1815">
        <v>0</v>
      </c>
      <c r="DH1815">
        <v>36.700000000000003</v>
      </c>
      <c r="DI1815">
        <v>52.7</v>
      </c>
    </row>
    <row r="1816" spans="1:113" ht="15" customHeight="1" x14ac:dyDescent="0.25">
      <c r="A1816" t="s">
        <v>7978</v>
      </c>
      <c r="B1816" t="s">
        <v>7979</v>
      </c>
      <c r="C1816" t="s">
        <v>7980</v>
      </c>
      <c r="D1816" t="s">
        <v>1350</v>
      </c>
      <c r="E1816" t="s">
        <v>1307</v>
      </c>
      <c r="F1816" t="s">
        <v>7981</v>
      </c>
      <c r="G1816">
        <v>2025</v>
      </c>
      <c r="H1816" t="s">
        <v>1160</v>
      </c>
      <c r="I1816" t="s">
        <v>90</v>
      </c>
      <c r="J1816">
        <v>14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Y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S1816">
        <v>0</v>
      </c>
      <c r="AU1816">
        <v>0</v>
      </c>
      <c r="AV1816">
        <v>0</v>
      </c>
      <c r="AW1816">
        <v>0</v>
      </c>
      <c r="AX1816">
        <v>0</v>
      </c>
      <c r="AY1816">
        <v>33</v>
      </c>
      <c r="AZ1816">
        <v>1</v>
      </c>
      <c r="BA1816">
        <v>15</v>
      </c>
      <c r="BB1816">
        <v>2</v>
      </c>
      <c r="BC1816">
        <v>2</v>
      </c>
      <c r="BD1816">
        <v>0</v>
      </c>
      <c r="BE1816">
        <v>0</v>
      </c>
      <c r="BF1816">
        <v>0</v>
      </c>
      <c r="BG1816">
        <v>0</v>
      </c>
      <c r="BH1816">
        <v>3</v>
      </c>
      <c r="BI1816">
        <v>20</v>
      </c>
      <c r="BJ1816">
        <v>11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5</v>
      </c>
      <c r="BU1816">
        <v>18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C1816">
        <v>0</v>
      </c>
      <c r="DD1816">
        <v>0</v>
      </c>
      <c r="DE1816">
        <v>0</v>
      </c>
      <c r="DF1816">
        <v>0</v>
      </c>
      <c r="DH1816">
        <v>0</v>
      </c>
      <c r="DI1816">
        <v>0</v>
      </c>
    </row>
    <row r="1817" spans="1:113" ht="15" customHeight="1" x14ac:dyDescent="0.25">
      <c r="A1817" t="s">
        <v>7982</v>
      </c>
      <c r="B1817" t="s">
        <v>7983</v>
      </c>
      <c r="C1817" t="s">
        <v>7984</v>
      </c>
      <c r="D1817" t="s">
        <v>1189</v>
      </c>
      <c r="E1817" t="s">
        <v>1190</v>
      </c>
      <c r="F1817" t="s">
        <v>7985</v>
      </c>
      <c r="G1817">
        <v>2025</v>
      </c>
      <c r="H1817" t="s">
        <v>1160</v>
      </c>
      <c r="I1817" t="s">
        <v>101</v>
      </c>
      <c r="J1817">
        <v>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Y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S1817">
        <v>0</v>
      </c>
      <c r="AU1817">
        <v>0</v>
      </c>
      <c r="AV1817">
        <v>0</v>
      </c>
      <c r="AW1817">
        <v>0</v>
      </c>
      <c r="AX1817">
        <v>0</v>
      </c>
      <c r="AY1817">
        <v>4</v>
      </c>
      <c r="AZ1817">
        <v>1</v>
      </c>
      <c r="BA1817">
        <v>4</v>
      </c>
      <c r="BB1817">
        <v>1</v>
      </c>
      <c r="BC1817">
        <v>5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C1817">
        <v>0</v>
      </c>
      <c r="DD1817">
        <v>0</v>
      </c>
      <c r="DE1817">
        <v>0</v>
      </c>
      <c r="DF1817">
        <v>0</v>
      </c>
      <c r="DH1817">
        <v>0</v>
      </c>
      <c r="DI1817">
        <v>0</v>
      </c>
    </row>
    <row r="1818" spans="1:113" ht="15" customHeight="1" x14ac:dyDescent="0.25">
      <c r="A1818" t="s">
        <v>7986</v>
      </c>
      <c r="B1818" t="s">
        <v>7987</v>
      </c>
      <c r="C1818" t="s">
        <v>7988</v>
      </c>
      <c r="D1818" t="s">
        <v>1350</v>
      </c>
      <c r="E1818" t="s">
        <v>1307</v>
      </c>
      <c r="F1818" t="s">
        <v>7989</v>
      </c>
      <c r="G1818">
        <v>2025</v>
      </c>
      <c r="H1818" t="s">
        <v>1160</v>
      </c>
      <c r="I1818" t="s">
        <v>99</v>
      </c>
      <c r="J1818">
        <v>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Y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S1818">
        <v>0</v>
      </c>
      <c r="AU1818">
        <v>0</v>
      </c>
      <c r="AV1818">
        <v>0</v>
      </c>
      <c r="AW1818">
        <v>0</v>
      </c>
      <c r="AX1818">
        <v>0</v>
      </c>
      <c r="AY1818">
        <v>9</v>
      </c>
      <c r="AZ1818">
        <v>0</v>
      </c>
      <c r="BA1818">
        <v>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1</v>
      </c>
      <c r="BU1818">
        <v>5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C1818">
        <v>0</v>
      </c>
      <c r="DD1818">
        <v>0</v>
      </c>
      <c r="DE1818">
        <v>0</v>
      </c>
      <c r="DF1818">
        <v>0</v>
      </c>
      <c r="DH1818">
        <v>0</v>
      </c>
      <c r="DI1818">
        <v>0</v>
      </c>
    </row>
    <row r="1819" spans="1:113" ht="15" customHeight="1" x14ac:dyDescent="0.25">
      <c r="A1819" t="s">
        <v>7990</v>
      </c>
      <c r="B1819" t="s">
        <v>7991</v>
      </c>
      <c r="C1819" t="s">
        <v>783</v>
      </c>
      <c r="D1819" t="s">
        <v>431</v>
      </c>
      <c r="E1819" t="s">
        <v>431</v>
      </c>
      <c r="F1819" t="s">
        <v>7992</v>
      </c>
      <c r="G1819">
        <v>2025</v>
      </c>
      <c r="H1819" t="s">
        <v>1160</v>
      </c>
      <c r="I1819" t="s">
        <v>133</v>
      </c>
      <c r="J1819">
        <v>17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Y1819">
        <v>0</v>
      </c>
      <c r="AA1819">
        <v>70</v>
      </c>
      <c r="AB1819">
        <v>199</v>
      </c>
      <c r="AC1819">
        <v>3</v>
      </c>
      <c r="AD1819">
        <v>0</v>
      </c>
      <c r="AE1819">
        <v>0</v>
      </c>
      <c r="AF1819">
        <v>21</v>
      </c>
      <c r="AG1819">
        <v>-9.5711837996514397</v>
      </c>
      <c r="AH1819">
        <v>0</v>
      </c>
      <c r="AI1819">
        <v>7</v>
      </c>
      <c r="AJ1819">
        <v>9</v>
      </c>
      <c r="AK1819">
        <v>32</v>
      </c>
      <c r="AL1819">
        <v>1</v>
      </c>
      <c r="AM1819">
        <v>0</v>
      </c>
      <c r="AN1819">
        <v>0</v>
      </c>
      <c r="AO1819">
        <v>-25</v>
      </c>
      <c r="AP1819">
        <v>57</v>
      </c>
      <c r="AQ1819">
        <v>1</v>
      </c>
      <c r="AR1819">
        <v>-3.44637874682667</v>
      </c>
      <c r="AS1819">
        <v>0</v>
      </c>
      <c r="AT1819">
        <v>-1.28</v>
      </c>
      <c r="AU1819">
        <v>1.9480519480519501E-2</v>
      </c>
      <c r="AV1819">
        <v>-7.4360499702558003E-3</v>
      </c>
      <c r="AW1819">
        <v>2.4015544241600201E-2</v>
      </c>
      <c r="AX1819">
        <v>0</v>
      </c>
      <c r="AY1819">
        <v>2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2</v>
      </c>
      <c r="BP1819">
        <v>2</v>
      </c>
      <c r="BQ1819">
        <v>0</v>
      </c>
      <c r="BR1819">
        <v>0</v>
      </c>
      <c r="BS1819">
        <v>0</v>
      </c>
      <c r="BT1819">
        <v>1</v>
      </c>
      <c r="BU1819">
        <v>15</v>
      </c>
      <c r="BV1819">
        <v>0</v>
      </c>
      <c r="BW1819">
        <v>0</v>
      </c>
      <c r="BX1819">
        <v>1</v>
      </c>
      <c r="BY1819">
        <v>25</v>
      </c>
      <c r="BZ1819">
        <v>0</v>
      </c>
      <c r="CA1819">
        <v>0</v>
      </c>
      <c r="CB1819">
        <v>0</v>
      </c>
      <c r="CC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C1819">
        <v>0</v>
      </c>
      <c r="DD1819">
        <v>0</v>
      </c>
      <c r="DE1819">
        <v>0</v>
      </c>
      <c r="DF1819">
        <v>0</v>
      </c>
      <c r="DH1819">
        <v>47.1</v>
      </c>
      <c r="DI1819">
        <v>54.1</v>
      </c>
    </row>
    <row r="1820" spans="1:113" ht="15" customHeight="1" x14ac:dyDescent="0.25">
      <c r="A1820" t="s">
        <v>7993</v>
      </c>
      <c r="B1820" t="s">
        <v>7994</v>
      </c>
      <c r="C1820" t="s">
        <v>7995</v>
      </c>
      <c r="D1820" t="s">
        <v>1243</v>
      </c>
      <c r="E1820" t="s">
        <v>1190</v>
      </c>
      <c r="F1820" t="s">
        <v>7996</v>
      </c>
      <c r="G1820">
        <v>2025</v>
      </c>
      <c r="H1820" t="s">
        <v>1160</v>
      </c>
      <c r="I1820" t="s">
        <v>89</v>
      </c>
      <c r="J1820">
        <v>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Y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S1820">
        <v>0</v>
      </c>
      <c r="AU1820">
        <v>0</v>
      </c>
      <c r="AV1820">
        <v>0</v>
      </c>
      <c r="AW1820">
        <v>0</v>
      </c>
      <c r="AX1820">
        <v>0</v>
      </c>
      <c r="AY1820">
        <v>3</v>
      </c>
      <c r="AZ1820">
        <v>1</v>
      </c>
      <c r="BA1820">
        <v>7</v>
      </c>
      <c r="BB1820">
        <v>1</v>
      </c>
      <c r="BC1820">
        <v>1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1</v>
      </c>
      <c r="BR1820">
        <v>1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C1820">
        <v>0</v>
      </c>
      <c r="DD1820">
        <v>0</v>
      </c>
      <c r="DE1820">
        <v>0</v>
      </c>
      <c r="DF1820">
        <v>0</v>
      </c>
      <c r="DH1820">
        <v>0</v>
      </c>
      <c r="DI1820">
        <v>0</v>
      </c>
    </row>
    <row r="1821" spans="1:113" ht="15" customHeight="1" x14ac:dyDescent="0.25">
      <c r="A1821" t="s">
        <v>7997</v>
      </c>
      <c r="B1821" t="s">
        <v>7998</v>
      </c>
      <c r="C1821" t="s">
        <v>7999</v>
      </c>
      <c r="D1821" t="s">
        <v>1168</v>
      </c>
      <c r="E1821" t="s">
        <v>1169</v>
      </c>
      <c r="F1821" t="s">
        <v>8000</v>
      </c>
      <c r="G1821">
        <v>2025</v>
      </c>
      <c r="H1821" t="s">
        <v>1160</v>
      </c>
      <c r="I1821" t="s">
        <v>114</v>
      </c>
      <c r="J1821">
        <v>17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Y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S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27</v>
      </c>
      <c r="CA1821">
        <v>32</v>
      </c>
      <c r="CB1821">
        <v>4</v>
      </c>
      <c r="CC1821">
        <v>1</v>
      </c>
      <c r="CD1821">
        <v>59</v>
      </c>
      <c r="CE1821">
        <v>0.84375</v>
      </c>
      <c r="CF1821">
        <v>2</v>
      </c>
      <c r="CG1821">
        <v>6</v>
      </c>
      <c r="CH1821">
        <v>8</v>
      </c>
      <c r="CI1821">
        <v>7</v>
      </c>
      <c r="CJ1821">
        <v>4</v>
      </c>
      <c r="CK1821">
        <v>0</v>
      </c>
      <c r="CL1821">
        <v>0</v>
      </c>
      <c r="CM1821">
        <v>0</v>
      </c>
      <c r="CN1821">
        <v>0</v>
      </c>
      <c r="CO1821">
        <v>4</v>
      </c>
      <c r="CP1821">
        <v>0</v>
      </c>
      <c r="CQ1821">
        <v>0</v>
      </c>
      <c r="CR1821" t="s">
        <v>8001</v>
      </c>
      <c r="CS1821" t="s">
        <v>8002</v>
      </c>
      <c r="CT1821">
        <v>38</v>
      </c>
      <c r="CU1821">
        <v>968</v>
      </c>
      <c r="CV1821">
        <v>171</v>
      </c>
      <c r="CW1821">
        <v>38</v>
      </c>
      <c r="CX1821">
        <v>53</v>
      </c>
      <c r="CY1821">
        <v>55</v>
      </c>
      <c r="CZ1821">
        <v>2</v>
      </c>
      <c r="DA1821">
        <v>0</v>
      </c>
      <c r="DB1821">
        <v>0.96363636363636396</v>
      </c>
      <c r="DC1821">
        <v>1</v>
      </c>
      <c r="DD1821">
        <v>1</v>
      </c>
      <c r="DE1821">
        <v>0</v>
      </c>
      <c r="DF1821">
        <v>0</v>
      </c>
      <c r="DG1821">
        <v>52</v>
      </c>
      <c r="DH1821">
        <v>0</v>
      </c>
      <c r="DI1821">
        <v>0</v>
      </c>
    </row>
    <row r="1822" spans="1:113" ht="15" customHeight="1" x14ac:dyDescent="0.25">
      <c r="A1822" t="s">
        <v>8003</v>
      </c>
      <c r="B1822" t="s">
        <v>8004</v>
      </c>
      <c r="C1822" t="s">
        <v>8005</v>
      </c>
      <c r="D1822" t="s">
        <v>1350</v>
      </c>
      <c r="E1822" t="s">
        <v>1307</v>
      </c>
      <c r="F1822" t="s">
        <v>8006</v>
      </c>
      <c r="G1822">
        <v>2025</v>
      </c>
      <c r="H1822" t="s">
        <v>1160</v>
      </c>
      <c r="I1822" t="s">
        <v>142</v>
      </c>
      <c r="J1822">
        <v>11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Y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S1822">
        <v>0</v>
      </c>
      <c r="AU1822">
        <v>0</v>
      </c>
      <c r="AV1822">
        <v>0</v>
      </c>
      <c r="AW1822">
        <v>0</v>
      </c>
      <c r="AX1822">
        <v>0</v>
      </c>
      <c r="AY1822">
        <v>17</v>
      </c>
      <c r="AZ1822">
        <v>1</v>
      </c>
      <c r="BA1822">
        <v>10</v>
      </c>
      <c r="BB1822">
        <v>1</v>
      </c>
      <c r="BC1822">
        <v>1</v>
      </c>
      <c r="BD1822">
        <v>1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5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3</v>
      </c>
      <c r="BU1822">
        <v>31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C1822">
        <v>0</v>
      </c>
      <c r="DD1822">
        <v>0</v>
      </c>
      <c r="DE1822">
        <v>0</v>
      </c>
      <c r="DF1822">
        <v>0</v>
      </c>
      <c r="DH1822">
        <v>0</v>
      </c>
      <c r="DI1822">
        <v>0</v>
      </c>
    </row>
    <row r="1823" spans="1:113" ht="15" customHeight="1" x14ac:dyDescent="0.25">
      <c r="A1823" t="s">
        <v>8007</v>
      </c>
      <c r="B1823" t="s">
        <v>8008</v>
      </c>
      <c r="C1823" t="s">
        <v>847</v>
      </c>
      <c r="D1823" t="s">
        <v>431</v>
      </c>
      <c r="E1823" t="s">
        <v>431</v>
      </c>
      <c r="F1823" t="s">
        <v>8009</v>
      </c>
      <c r="G1823">
        <v>2025</v>
      </c>
      <c r="H1823" t="s">
        <v>1160</v>
      </c>
      <c r="I1823" t="s">
        <v>138</v>
      </c>
      <c r="J1823">
        <v>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Y1823">
        <v>0</v>
      </c>
      <c r="AA1823">
        <v>57</v>
      </c>
      <c r="AB1823">
        <v>206</v>
      </c>
      <c r="AC1823">
        <v>2</v>
      </c>
      <c r="AD1823">
        <v>0</v>
      </c>
      <c r="AE1823">
        <v>0</v>
      </c>
      <c r="AF1823">
        <v>11</v>
      </c>
      <c r="AG1823">
        <v>-7.8683911637926904</v>
      </c>
      <c r="AH1823">
        <v>0</v>
      </c>
      <c r="AI1823">
        <v>17</v>
      </c>
      <c r="AJ1823">
        <v>19</v>
      </c>
      <c r="AK1823">
        <v>104</v>
      </c>
      <c r="AL1823">
        <v>0</v>
      </c>
      <c r="AM1823">
        <v>0</v>
      </c>
      <c r="AN1823">
        <v>0</v>
      </c>
      <c r="AO1823">
        <v>-38</v>
      </c>
      <c r="AP1823">
        <v>138</v>
      </c>
      <c r="AQ1823">
        <v>4</v>
      </c>
      <c r="AR1823">
        <v>-2.227445090147</v>
      </c>
      <c r="AS1823">
        <v>0</v>
      </c>
      <c r="AT1823">
        <v>-2.7368421052631602</v>
      </c>
      <c r="AU1823">
        <v>3.3628318584070803E-2</v>
      </c>
      <c r="AV1823">
        <v>-7.9381658658867794E-3</v>
      </c>
      <c r="AW1823">
        <v>4.4885761769985502E-2</v>
      </c>
      <c r="AX1823">
        <v>0</v>
      </c>
      <c r="AY1823">
        <v>1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7</v>
      </c>
      <c r="BY1823">
        <v>152</v>
      </c>
      <c r="BZ1823">
        <v>0</v>
      </c>
      <c r="CA1823">
        <v>0</v>
      </c>
      <c r="CB1823">
        <v>0</v>
      </c>
      <c r="CC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C1823">
        <v>0</v>
      </c>
      <c r="DD1823">
        <v>0</v>
      </c>
      <c r="DE1823">
        <v>0</v>
      </c>
      <c r="DF1823">
        <v>0</v>
      </c>
      <c r="DH1823">
        <v>43</v>
      </c>
      <c r="DI1823">
        <v>60</v>
      </c>
    </row>
    <row r="1824" spans="1:113" ht="15" customHeight="1" x14ac:dyDescent="0.25">
      <c r="A1824" t="s">
        <v>8010</v>
      </c>
      <c r="B1824" t="s">
        <v>1661</v>
      </c>
      <c r="C1824" t="s">
        <v>8011</v>
      </c>
      <c r="D1824" t="s">
        <v>1684</v>
      </c>
      <c r="E1824" t="s">
        <v>1307</v>
      </c>
      <c r="F1824" t="s">
        <v>8012</v>
      </c>
      <c r="G1824">
        <v>2025</v>
      </c>
      <c r="H1824" t="s">
        <v>1160</v>
      </c>
      <c r="I1824" t="s">
        <v>121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Y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S1824">
        <v>0</v>
      </c>
      <c r="AU1824">
        <v>0</v>
      </c>
      <c r="AV1824">
        <v>0</v>
      </c>
      <c r="AW1824">
        <v>0</v>
      </c>
      <c r="AX1824">
        <v>0</v>
      </c>
      <c r="AY1824">
        <v>9</v>
      </c>
      <c r="AZ1824">
        <v>0</v>
      </c>
      <c r="BA1824">
        <v>5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1</v>
      </c>
      <c r="BR1824">
        <v>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C1824">
        <v>0</v>
      </c>
      <c r="DD1824">
        <v>0</v>
      </c>
      <c r="DE1824">
        <v>0</v>
      </c>
      <c r="DF1824">
        <v>0</v>
      </c>
      <c r="DH1824">
        <v>0</v>
      </c>
      <c r="DI1824">
        <v>0</v>
      </c>
    </row>
    <row r="1825" spans="1:113" ht="15" customHeight="1" x14ac:dyDescent="0.25">
      <c r="A1825" t="s">
        <v>8013</v>
      </c>
      <c r="B1825" t="s">
        <v>8014</v>
      </c>
      <c r="C1825" t="s">
        <v>1007</v>
      </c>
      <c r="D1825" t="s">
        <v>431</v>
      </c>
      <c r="E1825" t="s">
        <v>431</v>
      </c>
      <c r="F1825" t="s">
        <v>8015</v>
      </c>
      <c r="G1825">
        <v>2025</v>
      </c>
      <c r="H1825" t="s">
        <v>1160</v>
      </c>
      <c r="I1825" t="s">
        <v>142</v>
      </c>
      <c r="J1825">
        <v>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Y1825">
        <v>0</v>
      </c>
      <c r="AA1825">
        <v>3</v>
      </c>
      <c r="AB1825">
        <v>7</v>
      </c>
      <c r="AC1825">
        <v>0</v>
      </c>
      <c r="AD1825">
        <v>0</v>
      </c>
      <c r="AE1825">
        <v>0</v>
      </c>
      <c r="AF1825">
        <v>2</v>
      </c>
      <c r="AG1825">
        <v>-0.53810284915380202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S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0</v>
      </c>
      <c r="BA1825">
        <v>2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2</v>
      </c>
      <c r="BU1825">
        <v>15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C1825">
        <v>0</v>
      </c>
      <c r="DD1825">
        <v>0</v>
      </c>
      <c r="DE1825">
        <v>0</v>
      </c>
      <c r="DF1825">
        <v>0</v>
      </c>
      <c r="DH1825">
        <v>0.7</v>
      </c>
      <c r="DI1825">
        <v>0.7</v>
      </c>
    </row>
    <row r="1826" spans="1:113" ht="15" customHeight="1" x14ac:dyDescent="0.25">
      <c r="A1826" t="s">
        <v>8016</v>
      </c>
      <c r="B1826" t="s">
        <v>8017</v>
      </c>
      <c r="C1826" t="s">
        <v>8018</v>
      </c>
      <c r="D1826" t="s">
        <v>1158</v>
      </c>
      <c r="E1826" t="s">
        <v>1158</v>
      </c>
      <c r="F1826" t="s">
        <v>8019</v>
      </c>
      <c r="G1826">
        <v>2025</v>
      </c>
      <c r="H1826" t="s">
        <v>1160</v>
      </c>
      <c r="I1826" t="s">
        <v>124</v>
      </c>
      <c r="J1826">
        <v>5</v>
      </c>
      <c r="K1826">
        <v>39</v>
      </c>
      <c r="L1826">
        <v>67</v>
      </c>
      <c r="M1826">
        <v>415</v>
      </c>
      <c r="N1826">
        <v>2</v>
      </c>
      <c r="O1826">
        <v>3</v>
      </c>
      <c r="P1826">
        <v>2</v>
      </c>
      <c r="Q1826">
        <v>-17</v>
      </c>
      <c r="R1826">
        <v>1</v>
      </c>
      <c r="S1826">
        <v>1</v>
      </c>
      <c r="T1826">
        <v>537</v>
      </c>
      <c r="U1826">
        <v>168</v>
      </c>
      <c r="V1826">
        <v>18</v>
      </c>
      <c r="W1826">
        <v>-8.2261485023266498</v>
      </c>
      <c r="X1826">
        <v>-3.8708565291017298</v>
      </c>
      <c r="Y1826">
        <v>0</v>
      </c>
      <c r="Z1826">
        <v>0.77281191806331495</v>
      </c>
      <c r="AA1826">
        <v>6</v>
      </c>
      <c r="AB1826">
        <v>27</v>
      </c>
      <c r="AC1826">
        <v>2</v>
      </c>
      <c r="AD1826">
        <v>0</v>
      </c>
      <c r="AE1826">
        <v>0</v>
      </c>
      <c r="AF1826">
        <v>4</v>
      </c>
      <c r="AG1826">
        <v>5.2600765595852899</v>
      </c>
      <c r="AH1826">
        <v>0</v>
      </c>
      <c r="AI1826">
        <v>0</v>
      </c>
      <c r="AJ1826">
        <v>0</v>
      </c>
      <c r="AK1826">
        <v>-3</v>
      </c>
      <c r="AL1826">
        <v>0</v>
      </c>
      <c r="AM1826">
        <v>0</v>
      </c>
      <c r="AN1826">
        <v>0</v>
      </c>
      <c r="AO1826">
        <v>0</v>
      </c>
      <c r="AP1826">
        <v>-3</v>
      </c>
      <c r="AQ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C1826">
        <v>0</v>
      </c>
      <c r="DD1826">
        <v>0</v>
      </c>
      <c r="DE1826">
        <v>0</v>
      </c>
      <c r="DF1826">
        <v>0</v>
      </c>
      <c r="DH1826">
        <v>31</v>
      </c>
      <c r="DI1826">
        <v>31</v>
      </c>
    </row>
    <row r="1827" spans="1:113" ht="15" customHeight="1" x14ac:dyDescent="0.25">
      <c r="A1827" t="s">
        <v>8020</v>
      </c>
      <c r="B1827" t="s">
        <v>8021</v>
      </c>
      <c r="C1827" t="s">
        <v>538</v>
      </c>
      <c r="D1827" t="s">
        <v>431</v>
      </c>
      <c r="E1827" t="s">
        <v>431</v>
      </c>
      <c r="F1827" t="s">
        <v>8022</v>
      </c>
      <c r="G1827">
        <v>2025</v>
      </c>
      <c r="H1827" t="s">
        <v>1160</v>
      </c>
      <c r="I1827" t="s">
        <v>107</v>
      </c>
      <c r="J1827">
        <v>12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Y1827">
        <v>0</v>
      </c>
      <c r="AA1827">
        <v>16</v>
      </c>
      <c r="AB1827">
        <v>45</v>
      </c>
      <c r="AC1827">
        <v>0</v>
      </c>
      <c r="AD1827">
        <v>0</v>
      </c>
      <c r="AE1827">
        <v>0</v>
      </c>
      <c r="AF1827">
        <v>1</v>
      </c>
      <c r="AG1827">
        <v>-4.0711828637868201</v>
      </c>
      <c r="AH1827">
        <v>0</v>
      </c>
      <c r="AI1827">
        <v>1</v>
      </c>
      <c r="AJ1827">
        <v>2</v>
      </c>
      <c r="AK1827">
        <v>9</v>
      </c>
      <c r="AL1827">
        <v>0</v>
      </c>
      <c r="AM1827">
        <v>0</v>
      </c>
      <c r="AN1827">
        <v>0</v>
      </c>
      <c r="AO1827">
        <v>-5</v>
      </c>
      <c r="AP1827">
        <v>11</v>
      </c>
      <c r="AQ1827">
        <v>0</v>
      </c>
      <c r="AR1827">
        <v>-8.0302387783303892</v>
      </c>
      <c r="AS1827">
        <v>0</v>
      </c>
      <c r="AT1827">
        <v>-1.8</v>
      </c>
      <c r="AU1827">
        <v>3.28947368421053E-3</v>
      </c>
      <c r="AV1827">
        <v>-1.06224771616741E-3</v>
      </c>
      <c r="AW1827">
        <v>4.1906371249985997E-3</v>
      </c>
      <c r="AX1827">
        <v>0</v>
      </c>
      <c r="AY1827">
        <v>5</v>
      </c>
      <c r="AZ1827">
        <v>0</v>
      </c>
      <c r="BA1827">
        <v>2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</v>
      </c>
      <c r="BU1827">
        <v>10</v>
      </c>
      <c r="BV1827">
        <v>0</v>
      </c>
      <c r="BW1827">
        <v>0</v>
      </c>
      <c r="BX1827">
        <v>10</v>
      </c>
      <c r="BY1827">
        <v>258</v>
      </c>
      <c r="BZ1827">
        <v>0</v>
      </c>
      <c r="CA1827">
        <v>0</v>
      </c>
      <c r="CB1827">
        <v>0</v>
      </c>
      <c r="CC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C1827">
        <v>0</v>
      </c>
      <c r="DD1827">
        <v>0</v>
      </c>
      <c r="DE1827">
        <v>0</v>
      </c>
      <c r="DF1827">
        <v>0</v>
      </c>
      <c r="DH1827">
        <v>5.4</v>
      </c>
      <c r="DI1827">
        <v>6.4</v>
      </c>
    </row>
    <row r="1828" spans="1:113" ht="15" customHeight="1" x14ac:dyDescent="0.25">
      <c r="A1828" t="s">
        <v>8023</v>
      </c>
      <c r="B1828" t="s">
        <v>8024</v>
      </c>
      <c r="C1828" t="s">
        <v>8025</v>
      </c>
      <c r="D1828" t="s">
        <v>1297</v>
      </c>
      <c r="E1828" t="s">
        <v>1220</v>
      </c>
      <c r="F1828" t="s">
        <v>8026</v>
      </c>
      <c r="G1828">
        <v>2025</v>
      </c>
      <c r="H1828" t="s">
        <v>1160</v>
      </c>
      <c r="I1828" t="s">
        <v>131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Y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S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2</v>
      </c>
      <c r="BU1828">
        <v>10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C1828">
        <v>0</v>
      </c>
      <c r="DD1828">
        <v>0</v>
      </c>
      <c r="DE1828">
        <v>0</v>
      </c>
      <c r="DF1828">
        <v>0</v>
      </c>
      <c r="DH1828">
        <v>0</v>
      </c>
      <c r="DI1828">
        <v>0</v>
      </c>
    </row>
    <row r="1829" spans="1:113" ht="15" customHeight="1" x14ac:dyDescent="0.25">
      <c r="A1829" t="s">
        <v>8027</v>
      </c>
      <c r="B1829" t="s">
        <v>8028</v>
      </c>
      <c r="C1829" t="s">
        <v>8029</v>
      </c>
      <c r="D1829" t="s">
        <v>1684</v>
      </c>
      <c r="E1829" t="s">
        <v>1307</v>
      </c>
      <c r="F1829" t="s">
        <v>8030</v>
      </c>
      <c r="G1829">
        <v>2025</v>
      </c>
      <c r="H1829" t="s">
        <v>1160</v>
      </c>
      <c r="I1829" t="s">
        <v>106</v>
      </c>
      <c r="J1829">
        <v>14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Y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S1829">
        <v>0</v>
      </c>
      <c r="AU1829">
        <v>0</v>
      </c>
      <c r="AV1829">
        <v>0</v>
      </c>
      <c r="AW1829">
        <v>0</v>
      </c>
      <c r="AX1829">
        <v>0</v>
      </c>
      <c r="AY1829">
        <v>12</v>
      </c>
      <c r="AZ1829">
        <v>0</v>
      </c>
      <c r="BA1829">
        <v>8</v>
      </c>
      <c r="BB1829">
        <v>1</v>
      </c>
      <c r="BC1829">
        <v>1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1</v>
      </c>
      <c r="BR1829">
        <v>1</v>
      </c>
      <c r="BS1829">
        <v>0</v>
      </c>
      <c r="BT1829">
        <v>3</v>
      </c>
      <c r="BU1829">
        <v>35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C1829">
        <v>0</v>
      </c>
      <c r="DD1829">
        <v>0</v>
      </c>
      <c r="DE1829">
        <v>0</v>
      </c>
      <c r="DF1829">
        <v>0</v>
      </c>
      <c r="DH1829">
        <v>0</v>
      </c>
      <c r="DI1829">
        <v>0</v>
      </c>
    </row>
    <row r="1830" spans="1:113" ht="15" customHeight="1" x14ac:dyDescent="0.25">
      <c r="A1830" t="s">
        <v>8031</v>
      </c>
      <c r="B1830" t="s">
        <v>8032</v>
      </c>
      <c r="C1830" t="s">
        <v>8033</v>
      </c>
      <c r="D1830" t="s">
        <v>1234</v>
      </c>
      <c r="E1830" t="s">
        <v>1234</v>
      </c>
      <c r="F1830" t="s">
        <v>8034</v>
      </c>
      <c r="G1830">
        <v>2025</v>
      </c>
      <c r="H1830" t="s">
        <v>1160</v>
      </c>
      <c r="I1830" t="s">
        <v>101</v>
      </c>
      <c r="J1830">
        <v>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Y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S1830">
        <v>0</v>
      </c>
      <c r="AU1830">
        <v>0</v>
      </c>
      <c r="AV1830">
        <v>0</v>
      </c>
      <c r="AW1830">
        <v>0</v>
      </c>
      <c r="AX1830">
        <v>0</v>
      </c>
      <c r="AY1830">
        <v>5</v>
      </c>
      <c r="AZ1830">
        <v>0</v>
      </c>
      <c r="BA1830">
        <v>5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2</v>
      </c>
      <c r="BU1830">
        <v>20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C1830">
        <v>0</v>
      </c>
      <c r="DD1830">
        <v>0</v>
      </c>
      <c r="DE1830">
        <v>0</v>
      </c>
      <c r="DF1830">
        <v>0</v>
      </c>
      <c r="DH1830">
        <v>0</v>
      </c>
      <c r="DI1830">
        <v>0</v>
      </c>
    </row>
    <row r="1831" spans="1:113" ht="15" customHeight="1" x14ac:dyDescent="0.25">
      <c r="A1831" t="s">
        <v>8035</v>
      </c>
      <c r="B1831" t="s">
        <v>8036</v>
      </c>
      <c r="C1831" t="s">
        <v>8037</v>
      </c>
      <c r="D1831" t="s">
        <v>1234</v>
      </c>
      <c r="E1831" t="s">
        <v>1234</v>
      </c>
      <c r="F1831" t="s">
        <v>8038</v>
      </c>
      <c r="G1831">
        <v>2025</v>
      </c>
      <c r="H1831" t="s">
        <v>1160</v>
      </c>
      <c r="I1831" t="s">
        <v>143</v>
      </c>
      <c r="J1831">
        <v>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Y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S1831">
        <v>0</v>
      </c>
      <c r="AU1831">
        <v>0</v>
      </c>
      <c r="AV1831">
        <v>0</v>
      </c>
      <c r="AW1831">
        <v>0</v>
      </c>
      <c r="AX1831">
        <v>0</v>
      </c>
      <c r="AY1831">
        <v>3</v>
      </c>
      <c r="AZ1831">
        <v>0</v>
      </c>
      <c r="BA1831">
        <v>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1</v>
      </c>
      <c r="BR1831">
        <v>1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C1831">
        <v>0</v>
      </c>
      <c r="DD1831">
        <v>0</v>
      </c>
      <c r="DE1831">
        <v>0</v>
      </c>
      <c r="DF1831">
        <v>0</v>
      </c>
      <c r="DH1831">
        <v>0</v>
      </c>
      <c r="DI1831">
        <v>0</v>
      </c>
    </row>
    <row r="1832" spans="1:113" ht="15" customHeight="1" x14ac:dyDescent="0.25">
      <c r="A1832" t="s">
        <v>8039</v>
      </c>
      <c r="B1832" t="s">
        <v>8040</v>
      </c>
      <c r="C1832" t="s">
        <v>505</v>
      </c>
      <c r="D1832" t="s">
        <v>10</v>
      </c>
      <c r="E1832" t="s">
        <v>10</v>
      </c>
      <c r="F1832" t="s">
        <v>8041</v>
      </c>
      <c r="G1832">
        <v>2025</v>
      </c>
      <c r="H1832" t="s">
        <v>1160</v>
      </c>
      <c r="I1832" t="s">
        <v>96</v>
      </c>
      <c r="J1832">
        <v>10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Y1832">
        <v>0</v>
      </c>
      <c r="AA1832">
        <v>8</v>
      </c>
      <c r="AB1832">
        <v>69</v>
      </c>
      <c r="AC1832">
        <v>0</v>
      </c>
      <c r="AD1832">
        <v>0</v>
      </c>
      <c r="AE1832">
        <v>0</v>
      </c>
      <c r="AF1832">
        <v>3</v>
      </c>
      <c r="AG1832">
        <v>4.3451130875037096</v>
      </c>
      <c r="AH1832">
        <v>0</v>
      </c>
      <c r="AI1832">
        <v>11</v>
      </c>
      <c r="AJ1832">
        <v>15</v>
      </c>
      <c r="AK1832">
        <v>108</v>
      </c>
      <c r="AL1832">
        <v>0</v>
      </c>
      <c r="AM1832">
        <v>0</v>
      </c>
      <c r="AN1832">
        <v>0</v>
      </c>
      <c r="AO1832">
        <v>90</v>
      </c>
      <c r="AP1832">
        <v>71</v>
      </c>
      <c r="AQ1832">
        <v>4</v>
      </c>
      <c r="AR1832">
        <v>3.45858969187349</v>
      </c>
      <c r="AS1832">
        <v>0</v>
      </c>
      <c r="AT1832">
        <v>1.2</v>
      </c>
      <c r="AU1832">
        <v>3.125E-2</v>
      </c>
      <c r="AV1832">
        <v>2.6086956521739101E-2</v>
      </c>
      <c r="AW1832">
        <v>6.51358695652174E-2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C1832">
        <v>0</v>
      </c>
      <c r="DD1832">
        <v>0</v>
      </c>
      <c r="DE1832">
        <v>0</v>
      </c>
      <c r="DF1832">
        <v>0</v>
      </c>
      <c r="DH1832">
        <v>17.7</v>
      </c>
      <c r="DI1832">
        <v>28.7</v>
      </c>
    </row>
    <row r="1833" spans="1:113" ht="15" customHeight="1" x14ac:dyDescent="0.25">
      <c r="A1833" t="s">
        <v>8042</v>
      </c>
      <c r="B1833" t="s">
        <v>8043</v>
      </c>
      <c r="C1833" t="s">
        <v>8044</v>
      </c>
      <c r="D1833" t="s">
        <v>1684</v>
      </c>
      <c r="E1833" t="s">
        <v>1307</v>
      </c>
      <c r="F1833" t="s">
        <v>8045</v>
      </c>
      <c r="G1833">
        <v>2025</v>
      </c>
      <c r="H1833" t="s">
        <v>1160</v>
      </c>
      <c r="I1833" t="s">
        <v>131</v>
      </c>
      <c r="J1833">
        <v>10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Y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S1833">
        <v>0</v>
      </c>
      <c r="AU1833">
        <v>0</v>
      </c>
      <c r="AV1833">
        <v>0</v>
      </c>
      <c r="AW1833">
        <v>0</v>
      </c>
      <c r="AX1833">
        <v>0</v>
      </c>
      <c r="AY1833">
        <v>18</v>
      </c>
      <c r="AZ1833">
        <v>0</v>
      </c>
      <c r="BA1833">
        <v>11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2</v>
      </c>
      <c r="BI1833">
        <v>25</v>
      </c>
      <c r="BJ1833">
        <v>2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C1833">
        <v>0</v>
      </c>
      <c r="DD1833">
        <v>0</v>
      </c>
      <c r="DE1833">
        <v>0</v>
      </c>
      <c r="DF1833">
        <v>0</v>
      </c>
      <c r="DH1833">
        <v>0</v>
      </c>
      <c r="DI1833">
        <v>0</v>
      </c>
    </row>
    <row r="1834" spans="1:113" ht="15" customHeight="1" x14ac:dyDescent="0.25">
      <c r="A1834" t="s">
        <v>8046</v>
      </c>
      <c r="B1834" t="s">
        <v>8047</v>
      </c>
      <c r="C1834" t="s">
        <v>8048</v>
      </c>
      <c r="D1834" t="s">
        <v>1209</v>
      </c>
      <c r="E1834" t="s">
        <v>1169</v>
      </c>
      <c r="F1834" t="s">
        <v>8049</v>
      </c>
      <c r="G1834">
        <v>2025</v>
      </c>
      <c r="H1834" t="s">
        <v>1160</v>
      </c>
      <c r="I1834" t="s">
        <v>115</v>
      </c>
      <c r="J1834">
        <v>17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Y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S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C1834">
        <v>0</v>
      </c>
      <c r="DD1834">
        <v>0</v>
      </c>
      <c r="DE1834">
        <v>0</v>
      </c>
      <c r="DF1834">
        <v>0</v>
      </c>
      <c r="DH1834">
        <v>0</v>
      </c>
      <c r="DI1834">
        <v>0</v>
      </c>
    </row>
    <row r="1835" spans="1:113" ht="15" customHeight="1" x14ac:dyDescent="0.25">
      <c r="A1835" t="s">
        <v>8050</v>
      </c>
      <c r="B1835" t="s">
        <v>8051</v>
      </c>
      <c r="C1835" t="s">
        <v>8052</v>
      </c>
      <c r="D1835" t="s">
        <v>1219</v>
      </c>
      <c r="E1835" t="s">
        <v>1220</v>
      </c>
      <c r="F1835" t="s">
        <v>8053</v>
      </c>
      <c r="G1835">
        <v>2025</v>
      </c>
      <c r="H1835" t="s">
        <v>1160</v>
      </c>
      <c r="I1835" t="s">
        <v>93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Y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S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C1835">
        <v>0</v>
      </c>
      <c r="DD1835">
        <v>0</v>
      </c>
      <c r="DE1835">
        <v>0</v>
      </c>
      <c r="DF1835">
        <v>0</v>
      </c>
      <c r="DH1835">
        <v>0</v>
      </c>
      <c r="DI1835">
        <v>0</v>
      </c>
    </row>
    <row r="1836" spans="1:113" ht="15" customHeight="1" x14ac:dyDescent="0.25">
      <c r="A1836" t="s">
        <v>8054</v>
      </c>
      <c r="B1836" t="s">
        <v>8055</v>
      </c>
      <c r="C1836" t="s">
        <v>862</v>
      </c>
      <c r="D1836" t="s">
        <v>439</v>
      </c>
      <c r="E1836" t="s">
        <v>439</v>
      </c>
      <c r="F1836" t="s">
        <v>8056</v>
      </c>
      <c r="G1836">
        <v>2025</v>
      </c>
      <c r="H1836" t="s">
        <v>1160</v>
      </c>
      <c r="I1836" t="s">
        <v>139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Y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S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C1836">
        <v>0</v>
      </c>
      <c r="DD1836">
        <v>0</v>
      </c>
      <c r="DE1836">
        <v>0</v>
      </c>
      <c r="DF1836">
        <v>0</v>
      </c>
      <c r="DH1836">
        <v>0</v>
      </c>
      <c r="DI1836">
        <v>0</v>
      </c>
    </row>
    <row r="1837" spans="1:113" ht="15" customHeight="1" x14ac:dyDescent="0.25">
      <c r="A1837" t="s">
        <v>8057</v>
      </c>
      <c r="B1837" t="s">
        <v>8058</v>
      </c>
      <c r="C1837" t="s">
        <v>8059</v>
      </c>
      <c r="D1837" t="s">
        <v>1234</v>
      </c>
      <c r="E1837" t="s">
        <v>1234</v>
      </c>
      <c r="F1837" t="s">
        <v>8060</v>
      </c>
      <c r="G1837">
        <v>2025</v>
      </c>
      <c r="H1837" t="s">
        <v>1160</v>
      </c>
      <c r="I1837" t="s">
        <v>89</v>
      </c>
      <c r="J1837">
        <v>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Y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S1837">
        <v>0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</v>
      </c>
      <c r="BA1837">
        <v>3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C1837">
        <v>0</v>
      </c>
      <c r="DD1837">
        <v>0</v>
      </c>
      <c r="DE1837">
        <v>0</v>
      </c>
      <c r="DF1837">
        <v>0</v>
      </c>
      <c r="DH1837">
        <v>0</v>
      </c>
      <c r="DI1837">
        <v>0</v>
      </c>
    </row>
    <row r="1838" spans="1:113" ht="15" customHeight="1" x14ac:dyDescent="0.25">
      <c r="A1838" t="s">
        <v>8061</v>
      </c>
      <c r="B1838" t="s">
        <v>8062</v>
      </c>
      <c r="C1838" t="s">
        <v>8063</v>
      </c>
      <c r="D1838" t="s">
        <v>1684</v>
      </c>
      <c r="E1838" t="s">
        <v>1307</v>
      </c>
      <c r="F1838" t="s">
        <v>8064</v>
      </c>
      <c r="G1838">
        <v>2025</v>
      </c>
      <c r="H1838" t="s">
        <v>1160</v>
      </c>
      <c r="I1838" t="s">
        <v>90</v>
      </c>
      <c r="J1838">
        <v>11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Y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>
        <v>0</v>
      </c>
      <c r="AU1838">
        <v>0</v>
      </c>
      <c r="AV1838">
        <v>0</v>
      </c>
      <c r="AW1838">
        <v>0</v>
      </c>
      <c r="AX1838">
        <v>0</v>
      </c>
      <c r="AY1838">
        <v>11</v>
      </c>
      <c r="AZ1838">
        <v>0</v>
      </c>
      <c r="BA1838">
        <v>9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2</v>
      </c>
      <c r="BU1838">
        <v>20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C1838">
        <v>0</v>
      </c>
      <c r="DD1838">
        <v>0</v>
      </c>
      <c r="DE1838">
        <v>0</v>
      </c>
      <c r="DF1838">
        <v>0</v>
      </c>
      <c r="DH1838">
        <v>0</v>
      </c>
      <c r="DI1838">
        <v>0</v>
      </c>
    </row>
    <row r="1839" spans="1:113" ht="15" customHeight="1" x14ac:dyDescent="0.25">
      <c r="A1839" t="s">
        <v>8065</v>
      </c>
      <c r="B1839" t="s">
        <v>8066</v>
      </c>
      <c r="C1839" t="s">
        <v>8067</v>
      </c>
      <c r="D1839" t="s">
        <v>1234</v>
      </c>
      <c r="E1839" t="s">
        <v>1234</v>
      </c>
      <c r="F1839" t="s">
        <v>8068</v>
      </c>
      <c r="G1839">
        <v>2025</v>
      </c>
      <c r="H1839" t="s">
        <v>1160</v>
      </c>
      <c r="I1839" t="s">
        <v>103</v>
      </c>
      <c r="J1839">
        <v>12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Y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>
        <v>0</v>
      </c>
      <c r="AU1839">
        <v>0</v>
      </c>
      <c r="AV1839">
        <v>0</v>
      </c>
      <c r="AW1839">
        <v>0</v>
      </c>
      <c r="AX1839">
        <v>0</v>
      </c>
      <c r="AY1839">
        <v>7</v>
      </c>
      <c r="AZ1839">
        <v>0</v>
      </c>
      <c r="BA1839">
        <v>12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C1839">
        <v>0</v>
      </c>
      <c r="DD1839">
        <v>0</v>
      </c>
      <c r="DE1839">
        <v>0</v>
      </c>
      <c r="DF1839">
        <v>0</v>
      </c>
      <c r="DH1839">
        <v>0</v>
      </c>
      <c r="DI1839">
        <v>0</v>
      </c>
    </row>
    <row r="1840" spans="1:113" ht="15" customHeight="1" x14ac:dyDescent="0.25">
      <c r="A1840" t="s">
        <v>8069</v>
      </c>
      <c r="B1840" t="s">
        <v>8070</v>
      </c>
      <c r="C1840" t="s">
        <v>8071</v>
      </c>
      <c r="D1840" t="s">
        <v>1158</v>
      </c>
      <c r="E1840" t="s">
        <v>1158</v>
      </c>
      <c r="F1840" t="s">
        <v>8072</v>
      </c>
      <c r="G1840">
        <v>2025</v>
      </c>
      <c r="H1840" t="s">
        <v>1160</v>
      </c>
      <c r="I1840" t="s">
        <v>133</v>
      </c>
      <c r="J1840">
        <v>4</v>
      </c>
      <c r="K1840">
        <v>55</v>
      </c>
      <c r="L1840">
        <v>83</v>
      </c>
      <c r="M1840">
        <v>622</v>
      </c>
      <c r="N1840">
        <v>3</v>
      </c>
      <c r="O1840">
        <v>3</v>
      </c>
      <c r="P1840">
        <v>8</v>
      </c>
      <c r="Q1840">
        <v>-59</v>
      </c>
      <c r="R1840">
        <v>1</v>
      </c>
      <c r="S1840">
        <v>0</v>
      </c>
      <c r="T1840">
        <v>693</v>
      </c>
      <c r="U1840">
        <v>354</v>
      </c>
      <c r="V1840">
        <v>29</v>
      </c>
      <c r="W1840">
        <v>-2.2515222003800801</v>
      </c>
      <c r="X1840">
        <v>0.992296018251559</v>
      </c>
      <c r="Y1840">
        <v>0</v>
      </c>
      <c r="Z1840">
        <v>0.89754689754689798</v>
      </c>
      <c r="AA1840">
        <v>8</v>
      </c>
      <c r="AB1840">
        <v>19</v>
      </c>
      <c r="AC1840">
        <v>0</v>
      </c>
      <c r="AD1840">
        <v>2</v>
      </c>
      <c r="AE1840">
        <v>0</v>
      </c>
      <c r="AF1840">
        <v>3</v>
      </c>
      <c r="AG1840">
        <v>-4.6765118521871099</v>
      </c>
      <c r="AH1840">
        <v>0</v>
      </c>
      <c r="AI1840">
        <v>1</v>
      </c>
      <c r="AJ1840">
        <v>1</v>
      </c>
      <c r="AK1840">
        <v>-6</v>
      </c>
      <c r="AL1840">
        <v>0</v>
      </c>
      <c r="AM1840">
        <v>0</v>
      </c>
      <c r="AN1840">
        <v>0</v>
      </c>
      <c r="AO1840">
        <v>-6</v>
      </c>
      <c r="AP1840">
        <v>0</v>
      </c>
      <c r="AQ1840">
        <v>0</v>
      </c>
      <c r="AR1840">
        <v>-1.5018550147651699</v>
      </c>
      <c r="AS1840">
        <v>0</v>
      </c>
      <c r="AT1840">
        <v>0</v>
      </c>
      <c r="AU1840">
        <v>2.1645021645021602E-3</v>
      </c>
      <c r="AV1840">
        <v>-1.7846519928613901E-3</v>
      </c>
      <c r="AW1840">
        <v>1.9974968517502698E-3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1</v>
      </c>
      <c r="BP1840">
        <v>2</v>
      </c>
      <c r="BQ1840">
        <v>0</v>
      </c>
      <c r="BR1840">
        <v>0</v>
      </c>
      <c r="BS1840">
        <v>0</v>
      </c>
      <c r="BT1840">
        <v>1</v>
      </c>
      <c r="BU1840">
        <v>5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C1840">
        <v>0</v>
      </c>
      <c r="DD1840">
        <v>0</v>
      </c>
      <c r="DE1840">
        <v>0</v>
      </c>
      <c r="DF1840">
        <v>0</v>
      </c>
      <c r="DH1840">
        <v>32.18</v>
      </c>
      <c r="DI1840">
        <v>33.18</v>
      </c>
    </row>
    <row r="1841" spans="1:113" ht="15" customHeight="1" x14ac:dyDescent="0.25">
      <c r="A1841" t="s">
        <v>8073</v>
      </c>
      <c r="B1841" t="s">
        <v>8074</v>
      </c>
      <c r="C1841" t="s">
        <v>530</v>
      </c>
      <c r="D1841" t="s">
        <v>431</v>
      </c>
      <c r="E1841" t="s">
        <v>431</v>
      </c>
      <c r="F1841" t="s">
        <v>8075</v>
      </c>
      <c r="G1841">
        <v>2025</v>
      </c>
      <c r="H1841" t="s">
        <v>1160</v>
      </c>
      <c r="I1841" t="s">
        <v>104</v>
      </c>
      <c r="J1841">
        <v>17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Y1841">
        <v>0</v>
      </c>
      <c r="AA1841">
        <v>169</v>
      </c>
      <c r="AB1841">
        <v>783</v>
      </c>
      <c r="AC1841">
        <v>5</v>
      </c>
      <c r="AD1841">
        <v>0</v>
      </c>
      <c r="AE1841">
        <v>0</v>
      </c>
      <c r="AF1841">
        <v>41</v>
      </c>
      <c r="AG1841">
        <v>3.67148123559332</v>
      </c>
      <c r="AH1841">
        <v>2</v>
      </c>
      <c r="AI1841">
        <v>18</v>
      </c>
      <c r="AJ1841">
        <v>30</v>
      </c>
      <c r="AK1841">
        <v>164</v>
      </c>
      <c r="AL1841">
        <v>0</v>
      </c>
      <c r="AM1841">
        <v>0</v>
      </c>
      <c r="AN1841">
        <v>0</v>
      </c>
      <c r="AO1841">
        <v>2</v>
      </c>
      <c r="AP1841">
        <v>162</v>
      </c>
      <c r="AQ1841">
        <v>7</v>
      </c>
      <c r="AR1841">
        <v>-7.2669879461890998</v>
      </c>
      <c r="AS1841">
        <v>0</v>
      </c>
      <c r="AT1841">
        <v>82</v>
      </c>
      <c r="AU1841">
        <v>5.6390977443608999E-2</v>
      </c>
      <c r="AV1841">
        <v>4.0453074433656998E-4</v>
      </c>
      <c r="AW1841">
        <v>8.4869637686449104E-2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2</v>
      </c>
      <c r="BP1841">
        <v>2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C1841">
        <v>0</v>
      </c>
      <c r="DD1841">
        <v>0</v>
      </c>
      <c r="DE1841">
        <v>0</v>
      </c>
      <c r="DF1841">
        <v>0</v>
      </c>
      <c r="DH1841">
        <v>128.69999999999999</v>
      </c>
      <c r="DI1841">
        <v>146.69999999999999</v>
      </c>
    </row>
    <row r="1842" spans="1:113" ht="15" customHeight="1" x14ac:dyDescent="0.25">
      <c r="A1842" t="s">
        <v>8076</v>
      </c>
      <c r="B1842" t="s">
        <v>4023</v>
      </c>
      <c r="C1842" t="s">
        <v>989</v>
      </c>
      <c r="D1842" t="s">
        <v>10</v>
      </c>
      <c r="E1842" t="s">
        <v>10</v>
      </c>
      <c r="F1842" t="s">
        <v>8077</v>
      </c>
      <c r="G1842">
        <v>2025</v>
      </c>
      <c r="H1842" t="s">
        <v>1160</v>
      </c>
      <c r="I1842" t="s">
        <v>126</v>
      </c>
      <c r="J1842">
        <v>15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Y1842">
        <v>0</v>
      </c>
      <c r="AA1842">
        <v>7</v>
      </c>
      <c r="AB1842">
        <v>22</v>
      </c>
      <c r="AC1842">
        <v>0</v>
      </c>
      <c r="AD1842">
        <v>0</v>
      </c>
      <c r="AE1842">
        <v>0</v>
      </c>
      <c r="AF1842">
        <v>0</v>
      </c>
      <c r="AG1842">
        <v>-1.2532766102231101</v>
      </c>
      <c r="AH1842">
        <v>0</v>
      </c>
      <c r="AI1842">
        <v>28</v>
      </c>
      <c r="AJ1842">
        <v>44</v>
      </c>
      <c r="AK1842">
        <v>322</v>
      </c>
      <c r="AL1842">
        <v>5</v>
      </c>
      <c r="AM1842">
        <v>0</v>
      </c>
      <c r="AN1842">
        <v>0</v>
      </c>
      <c r="AO1842">
        <v>516</v>
      </c>
      <c r="AP1842">
        <v>110</v>
      </c>
      <c r="AQ1842">
        <v>16</v>
      </c>
      <c r="AR1842">
        <v>16.3423941852502</v>
      </c>
      <c r="AS1842">
        <v>0</v>
      </c>
      <c r="AT1842">
        <v>0.62403100775193798</v>
      </c>
      <c r="AU1842">
        <v>8.1330868761552697E-2</v>
      </c>
      <c r="AV1842">
        <v>0.11456483126110099</v>
      </c>
      <c r="AW1842">
        <v>0.20219168502509999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1</v>
      </c>
      <c r="BU1842">
        <v>10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C1842">
        <v>0</v>
      </c>
      <c r="DD1842">
        <v>0</v>
      </c>
      <c r="DE1842">
        <v>0</v>
      </c>
      <c r="DF1842">
        <v>0</v>
      </c>
      <c r="DH1842">
        <v>64.400000000000006</v>
      </c>
      <c r="DI1842">
        <v>92.4</v>
      </c>
    </row>
    <row r="1843" spans="1:113" ht="15" customHeight="1" x14ac:dyDescent="0.25">
      <c r="A1843" t="s">
        <v>8078</v>
      </c>
      <c r="B1843" t="s">
        <v>8079</v>
      </c>
      <c r="C1843" t="s">
        <v>688</v>
      </c>
      <c r="D1843" t="s">
        <v>431</v>
      </c>
      <c r="E1843" t="s">
        <v>431</v>
      </c>
      <c r="F1843" t="s">
        <v>8080</v>
      </c>
      <c r="G1843">
        <v>2025</v>
      </c>
      <c r="H1843" t="s">
        <v>1160</v>
      </c>
      <c r="I1843" t="s">
        <v>106</v>
      </c>
      <c r="J1843">
        <v>16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Y1843">
        <v>0</v>
      </c>
      <c r="AA1843">
        <v>23</v>
      </c>
      <c r="AB1843">
        <v>94</v>
      </c>
      <c r="AC1843">
        <v>0</v>
      </c>
      <c r="AD1843">
        <v>0</v>
      </c>
      <c r="AE1843">
        <v>0</v>
      </c>
      <c r="AF1843">
        <v>5</v>
      </c>
      <c r="AG1843">
        <v>-3.2343117187847401</v>
      </c>
      <c r="AH1843">
        <v>0</v>
      </c>
      <c r="AI1843">
        <v>10</v>
      </c>
      <c r="AJ1843">
        <v>11</v>
      </c>
      <c r="AK1843">
        <v>54</v>
      </c>
      <c r="AL1843">
        <v>0</v>
      </c>
      <c r="AM1843">
        <v>0</v>
      </c>
      <c r="AN1843">
        <v>0</v>
      </c>
      <c r="AO1843">
        <v>-15</v>
      </c>
      <c r="AP1843">
        <v>61</v>
      </c>
      <c r="AQ1843">
        <v>0</v>
      </c>
      <c r="AR1843">
        <v>-3.8607995413576801</v>
      </c>
      <c r="AS1843">
        <v>0</v>
      </c>
      <c r="AT1843">
        <v>-3.6</v>
      </c>
      <c r="AU1843">
        <v>2.0109689213894E-2</v>
      </c>
      <c r="AV1843">
        <v>-3.0737704918032799E-3</v>
      </c>
      <c r="AW1843">
        <v>2.80128944765787E-2</v>
      </c>
      <c r="AX1843">
        <v>0</v>
      </c>
      <c r="AY1843">
        <v>1</v>
      </c>
      <c r="AZ1843">
        <v>0</v>
      </c>
      <c r="BA1843">
        <v>2</v>
      </c>
      <c r="BB1843">
        <v>0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1</v>
      </c>
      <c r="BP1843">
        <v>1</v>
      </c>
      <c r="BQ1843">
        <v>1</v>
      </c>
      <c r="BR1843">
        <v>1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24</v>
      </c>
      <c r="BY1843">
        <v>617</v>
      </c>
      <c r="BZ1843">
        <v>0</v>
      </c>
      <c r="CA1843">
        <v>0</v>
      </c>
      <c r="CB1843">
        <v>0</v>
      </c>
      <c r="CC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C1843">
        <v>0</v>
      </c>
      <c r="DD1843">
        <v>0</v>
      </c>
      <c r="DE1843">
        <v>0</v>
      </c>
      <c r="DF1843">
        <v>0</v>
      </c>
      <c r="DH1843">
        <v>14.8</v>
      </c>
      <c r="DI1843">
        <v>24.8</v>
      </c>
    </row>
    <row r="1844" spans="1:113" ht="15" customHeight="1" x14ac:dyDescent="0.25">
      <c r="A1844" t="s">
        <v>8081</v>
      </c>
      <c r="B1844" t="s">
        <v>8082</v>
      </c>
      <c r="C1844" t="s">
        <v>619</v>
      </c>
      <c r="D1844" t="s">
        <v>10</v>
      </c>
      <c r="E1844" t="s">
        <v>10</v>
      </c>
      <c r="F1844" t="s">
        <v>8083</v>
      </c>
      <c r="G1844">
        <v>2025</v>
      </c>
      <c r="H1844" t="s">
        <v>1160</v>
      </c>
      <c r="I1844" t="s">
        <v>111</v>
      </c>
      <c r="J1844">
        <v>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Y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S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1</v>
      </c>
      <c r="BY1844">
        <v>22</v>
      </c>
      <c r="BZ1844">
        <v>0</v>
      </c>
      <c r="CA1844">
        <v>0</v>
      </c>
      <c r="CB1844">
        <v>0</v>
      </c>
      <c r="CC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C1844">
        <v>0</v>
      </c>
      <c r="DD1844">
        <v>0</v>
      </c>
      <c r="DE1844">
        <v>0</v>
      </c>
      <c r="DF1844">
        <v>0</v>
      </c>
      <c r="DH1844">
        <v>0</v>
      </c>
      <c r="DI1844">
        <v>0</v>
      </c>
    </row>
    <row r="1845" spans="1:113" ht="15" customHeight="1" x14ac:dyDescent="0.25">
      <c r="A1845" t="s">
        <v>8084</v>
      </c>
      <c r="B1845" t="s">
        <v>8085</v>
      </c>
      <c r="C1845" t="s">
        <v>1024</v>
      </c>
      <c r="D1845" t="s">
        <v>431</v>
      </c>
      <c r="E1845" t="s">
        <v>431</v>
      </c>
      <c r="F1845" t="s">
        <v>8086</v>
      </c>
      <c r="G1845">
        <v>2025</v>
      </c>
      <c r="H1845" t="s">
        <v>1160</v>
      </c>
      <c r="I1845" t="s">
        <v>143</v>
      </c>
      <c r="J1845">
        <v>17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Y1845">
        <v>0</v>
      </c>
      <c r="AA1845">
        <v>175</v>
      </c>
      <c r="AB1845">
        <v>805</v>
      </c>
      <c r="AC1845">
        <v>8</v>
      </c>
      <c r="AD1845">
        <v>3</v>
      </c>
      <c r="AE1845">
        <v>2</v>
      </c>
      <c r="AF1845">
        <v>41</v>
      </c>
      <c r="AG1845">
        <v>-6.5307797417189004</v>
      </c>
      <c r="AH1845">
        <v>0</v>
      </c>
      <c r="AI1845">
        <v>9</v>
      </c>
      <c r="AJ1845">
        <v>13</v>
      </c>
      <c r="AK1845">
        <v>68</v>
      </c>
      <c r="AL1845">
        <v>0</v>
      </c>
      <c r="AM1845">
        <v>0</v>
      </c>
      <c r="AN1845">
        <v>0</v>
      </c>
      <c r="AO1845">
        <v>-19</v>
      </c>
      <c r="AP1845">
        <v>77</v>
      </c>
      <c r="AQ1845">
        <v>3</v>
      </c>
      <c r="AR1845">
        <v>1.0342133147642001</v>
      </c>
      <c r="AS1845">
        <v>0</v>
      </c>
      <c r="AT1845">
        <v>-3.57894736842105</v>
      </c>
      <c r="AU1845">
        <v>3.0092592592592601E-2</v>
      </c>
      <c r="AV1845">
        <v>-4.7523761880940499E-3</v>
      </c>
      <c r="AW1845">
        <v>4.1812225557223102E-2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C1845">
        <v>0</v>
      </c>
      <c r="DD1845">
        <v>0</v>
      </c>
      <c r="DE1845">
        <v>0</v>
      </c>
      <c r="DF1845">
        <v>0</v>
      </c>
      <c r="DH1845">
        <v>131.30000000000001</v>
      </c>
      <c r="DI1845">
        <v>140.30000000000001</v>
      </c>
    </row>
    <row r="1846" spans="1:113" ht="15" customHeight="1" x14ac:dyDescent="0.25">
      <c r="A1846" t="s">
        <v>8087</v>
      </c>
      <c r="B1846" t="s">
        <v>8088</v>
      </c>
      <c r="C1846" t="s">
        <v>8089</v>
      </c>
      <c r="D1846" t="s">
        <v>1350</v>
      </c>
      <c r="E1846" t="s">
        <v>1307</v>
      </c>
      <c r="F1846" t="s">
        <v>8090</v>
      </c>
      <c r="G1846">
        <v>2025</v>
      </c>
      <c r="H1846" t="s">
        <v>1160</v>
      </c>
      <c r="I1846" t="s">
        <v>139</v>
      </c>
      <c r="J1846">
        <v>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Y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>
        <v>0</v>
      </c>
      <c r="AU1846">
        <v>0</v>
      </c>
      <c r="AV1846">
        <v>0</v>
      </c>
      <c r="AW1846">
        <v>0</v>
      </c>
      <c r="AX1846">
        <v>0</v>
      </c>
      <c r="AY1846">
        <v>6</v>
      </c>
      <c r="AZ1846">
        <v>1</v>
      </c>
      <c r="BA1846">
        <v>11</v>
      </c>
      <c r="BB1846">
        <v>1</v>
      </c>
      <c r="BC1846">
        <v>2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1</v>
      </c>
      <c r="BU1846">
        <v>14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C1846">
        <v>0</v>
      </c>
      <c r="DD1846">
        <v>0</v>
      </c>
      <c r="DE1846">
        <v>0</v>
      </c>
      <c r="DF1846">
        <v>0</v>
      </c>
      <c r="DH1846">
        <v>0</v>
      </c>
      <c r="DI1846">
        <v>0</v>
      </c>
    </row>
    <row r="1847" spans="1:113" ht="15" customHeight="1" x14ac:dyDescent="0.25">
      <c r="A1847" t="s">
        <v>8091</v>
      </c>
      <c r="B1847" t="s">
        <v>8092</v>
      </c>
      <c r="C1847" t="s">
        <v>843</v>
      </c>
      <c r="D1847" t="s">
        <v>439</v>
      </c>
      <c r="E1847" t="s">
        <v>439</v>
      </c>
      <c r="F1847" t="s">
        <v>8093</v>
      </c>
      <c r="G1847">
        <v>2025</v>
      </c>
      <c r="H1847" t="s">
        <v>1160</v>
      </c>
      <c r="I1847" t="s">
        <v>138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Y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H1847">
        <v>0</v>
      </c>
      <c r="AI1847">
        <v>2</v>
      </c>
      <c r="AJ1847">
        <v>2</v>
      </c>
      <c r="AK1847">
        <v>10</v>
      </c>
      <c r="AL1847">
        <v>0</v>
      </c>
      <c r="AM1847">
        <v>0</v>
      </c>
      <c r="AN1847">
        <v>0</v>
      </c>
      <c r="AO1847">
        <v>5</v>
      </c>
      <c r="AP1847">
        <v>5</v>
      </c>
      <c r="AQ1847">
        <v>0</v>
      </c>
      <c r="AR1847">
        <v>0.186369166476652</v>
      </c>
      <c r="AS1847">
        <v>0</v>
      </c>
      <c r="AT1847">
        <v>2</v>
      </c>
      <c r="AU1847">
        <v>3.5398230088495601E-3</v>
      </c>
      <c r="AV1847">
        <v>1.0444955086693099E-3</v>
      </c>
      <c r="AW1847">
        <v>6.0408813693428598E-3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1</v>
      </c>
      <c r="BU1847">
        <v>5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C1847">
        <v>0</v>
      </c>
      <c r="DD1847">
        <v>0</v>
      </c>
      <c r="DE1847">
        <v>0</v>
      </c>
      <c r="DF1847">
        <v>0</v>
      </c>
      <c r="DH1847">
        <v>1</v>
      </c>
      <c r="DI1847">
        <v>3</v>
      </c>
    </row>
    <row r="1848" spans="1:113" ht="15" customHeight="1" x14ac:dyDescent="0.25">
      <c r="A1848" t="s">
        <v>8094</v>
      </c>
      <c r="B1848" t="s">
        <v>8095</v>
      </c>
      <c r="C1848" t="s">
        <v>8096</v>
      </c>
      <c r="D1848" t="s">
        <v>1297</v>
      </c>
      <c r="E1848" t="s">
        <v>1220</v>
      </c>
      <c r="F1848" t="s">
        <v>8097</v>
      </c>
      <c r="G1848">
        <v>2025</v>
      </c>
      <c r="H1848" t="s">
        <v>1160</v>
      </c>
      <c r="I1848" t="s">
        <v>141</v>
      </c>
      <c r="J1848">
        <v>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Y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H1848">
        <v>0</v>
      </c>
      <c r="AI1848">
        <v>1</v>
      </c>
      <c r="AJ1848">
        <v>1</v>
      </c>
      <c r="AK1848">
        <v>-1</v>
      </c>
      <c r="AL1848">
        <v>0</v>
      </c>
      <c r="AM1848">
        <v>0</v>
      </c>
      <c r="AN1848">
        <v>0</v>
      </c>
      <c r="AO1848">
        <v>-6</v>
      </c>
      <c r="AP1848">
        <v>5</v>
      </c>
      <c r="AQ1848">
        <v>0</v>
      </c>
      <c r="AR1848">
        <v>-1.2148527413199199</v>
      </c>
      <c r="AS1848">
        <v>0</v>
      </c>
      <c r="AT1848">
        <v>0</v>
      </c>
      <c r="AU1848">
        <v>1.8181818181818199E-3</v>
      </c>
      <c r="AV1848">
        <v>-1.3966480446927401E-3</v>
      </c>
      <c r="AW1848">
        <v>1.7496190959878099E-3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3</v>
      </c>
      <c r="BU1848">
        <v>20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C1848">
        <v>0</v>
      </c>
      <c r="DD1848">
        <v>0</v>
      </c>
      <c r="DE1848">
        <v>0</v>
      </c>
      <c r="DF1848">
        <v>0</v>
      </c>
      <c r="DH1848">
        <v>-0.1</v>
      </c>
      <c r="DI1848">
        <v>0.9</v>
      </c>
    </row>
    <row r="1849" spans="1:113" ht="15" customHeight="1" x14ac:dyDescent="0.25">
      <c r="A1849" t="s">
        <v>8098</v>
      </c>
      <c r="B1849" t="s">
        <v>8099</v>
      </c>
      <c r="C1849" t="s">
        <v>8100</v>
      </c>
      <c r="D1849" t="s">
        <v>1214</v>
      </c>
      <c r="E1849" t="s">
        <v>1169</v>
      </c>
      <c r="F1849" t="s">
        <v>8101</v>
      </c>
      <c r="G1849">
        <v>2025</v>
      </c>
      <c r="H1849" t="s">
        <v>1160</v>
      </c>
      <c r="I1849" t="s">
        <v>114</v>
      </c>
      <c r="J1849">
        <v>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Y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>
        <v>0</v>
      </c>
      <c r="AU1849">
        <v>0</v>
      </c>
      <c r="AV1849">
        <v>0</v>
      </c>
      <c r="AW1849">
        <v>0</v>
      </c>
      <c r="AX1849">
        <v>0</v>
      </c>
      <c r="AY1849">
        <v>2</v>
      </c>
      <c r="AZ1849">
        <v>0</v>
      </c>
      <c r="BA1849">
        <v>1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3</v>
      </c>
      <c r="BU1849">
        <v>15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C1849">
        <v>0</v>
      </c>
      <c r="DD1849">
        <v>0</v>
      </c>
      <c r="DE1849">
        <v>0</v>
      </c>
      <c r="DF1849">
        <v>0</v>
      </c>
      <c r="DH1849">
        <v>0</v>
      </c>
      <c r="DI1849">
        <v>0</v>
      </c>
    </row>
    <row r="1850" spans="1:113" ht="15" customHeight="1" x14ac:dyDescent="0.25">
      <c r="A1850" t="s">
        <v>8102</v>
      </c>
      <c r="B1850" t="s">
        <v>8103</v>
      </c>
      <c r="C1850" t="s">
        <v>8104</v>
      </c>
      <c r="D1850" t="s">
        <v>1243</v>
      </c>
      <c r="E1850" t="s">
        <v>1190</v>
      </c>
      <c r="F1850" t="s">
        <v>8105</v>
      </c>
      <c r="G1850">
        <v>2025</v>
      </c>
      <c r="H1850" t="s">
        <v>1160</v>
      </c>
      <c r="I1850" t="s">
        <v>133</v>
      </c>
      <c r="J1850">
        <v>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Y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>
        <v>0</v>
      </c>
      <c r="AU1850">
        <v>0</v>
      </c>
      <c r="AV1850">
        <v>0</v>
      </c>
      <c r="AW1850">
        <v>0</v>
      </c>
      <c r="AX1850">
        <v>0</v>
      </c>
      <c r="AY1850">
        <v>6</v>
      </c>
      <c r="AZ1850">
        <v>0</v>
      </c>
      <c r="BA1850">
        <v>14</v>
      </c>
      <c r="BB1850">
        <v>1</v>
      </c>
      <c r="BC1850">
        <v>7</v>
      </c>
      <c r="BD1850">
        <v>0</v>
      </c>
      <c r="BE1850">
        <v>1.5</v>
      </c>
      <c r="BF1850">
        <v>9.5</v>
      </c>
      <c r="BG1850">
        <v>4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C1850">
        <v>0</v>
      </c>
      <c r="DD1850">
        <v>0</v>
      </c>
      <c r="DE1850">
        <v>0</v>
      </c>
      <c r="DF1850">
        <v>0</v>
      </c>
      <c r="DH1850">
        <v>0</v>
      </c>
      <c r="DI1850">
        <v>0</v>
      </c>
    </row>
    <row r="1851" spans="1:113" ht="15" customHeight="1" x14ac:dyDescent="0.25">
      <c r="A1851" t="s">
        <v>8106</v>
      </c>
      <c r="B1851" t="s">
        <v>8107</v>
      </c>
      <c r="C1851" t="s">
        <v>8108</v>
      </c>
      <c r="D1851" t="s">
        <v>1234</v>
      </c>
      <c r="E1851" t="s">
        <v>1234</v>
      </c>
      <c r="F1851" t="s">
        <v>8109</v>
      </c>
      <c r="G1851">
        <v>2025</v>
      </c>
      <c r="H1851" t="s">
        <v>1160</v>
      </c>
      <c r="I1851" t="s">
        <v>138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Y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2</v>
      </c>
      <c r="BU1851">
        <v>11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C1851">
        <v>0</v>
      </c>
      <c r="DD1851">
        <v>0</v>
      </c>
      <c r="DE1851">
        <v>0</v>
      </c>
      <c r="DF1851">
        <v>0</v>
      </c>
      <c r="DH1851">
        <v>0</v>
      </c>
      <c r="DI1851">
        <v>0</v>
      </c>
    </row>
    <row r="1852" spans="1:113" ht="15" customHeight="1" x14ac:dyDescent="0.25">
      <c r="A1852" t="s">
        <v>8110</v>
      </c>
      <c r="B1852" t="s">
        <v>8111</v>
      </c>
      <c r="C1852" t="s">
        <v>8112</v>
      </c>
      <c r="D1852" t="s">
        <v>1350</v>
      </c>
      <c r="E1852" t="s">
        <v>1307</v>
      </c>
      <c r="F1852" t="s">
        <v>8113</v>
      </c>
      <c r="G1852">
        <v>2025</v>
      </c>
      <c r="H1852" t="s">
        <v>1160</v>
      </c>
      <c r="I1852" t="s">
        <v>112</v>
      </c>
      <c r="J1852">
        <v>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Y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S1852">
        <v>0</v>
      </c>
      <c r="AU1852">
        <v>0</v>
      </c>
      <c r="AV1852">
        <v>0</v>
      </c>
      <c r="AW1852">
        <v>0</v>
      </c>
      <c r="AX1852">
        <v>0</v>
      </c>
      <c r="AY1852">
        <v>17</v>
      </c>
      <c r="AZ1852">
        <v>0</v>
      </c>
      <c r="BA1852">
        <v>6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7</v>
      </c>
      <c r="BJ1852">
        <v>3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1</v>
      </c>
      <c r="BU1852">
        <v>4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C1852">
        <v>0</v>
      </c>
      <c r="DD1852">
        <v>0</v>
      </c>
      <c r="DE1852">
        <v>0</v>
      </c>
      <c r="DF1852">
        <v>0</v>
      </c>
      <c r="DH1852">
        <v>0</v>
      </c>
      <c r="DI1852">
        <v>0</v>
      </c>
    </row>
    <row r="1853" spans="1:113" ht="15" customHeight="1" x14ac:dyDescent="0.25">
      <c r="A1853" t="s">
        <v>8114</v>
      </c>
      <c r="B1853" t="s">
        <v>8115</v>
      </c>
      <c r="C1853" t="s">
        <v>8116</v>
      </c>
      <c r="D1853" t="s">
        <v>1307</v>
      </c>
      <c r="E1853" t="s">
        <v>1307</v>
      </c>
      <c r="F1853" t="s">
        <v>8117</v>
      </c>
      <c r="G1853">
        <v>2025</v>
      </c>
      <c r="H1853" t="s">
        <v>1160</v>
      </c>
      <c r="I1853" t="s">
        <v>114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Y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>
        <v>0</v>
      </c>
      <c r="AU1853">
        <v>0</v>
      </c>
      <c r="AV1853">
        <v>0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C1853">
        <v>0</v>
      </c>
      <c r="DD1853">
        <v>0</v>
      </c>
      <c r="DE1853">
        <v>0</v>
      </c>
      <c r="DF1853">
        <v>0</v>
      </c>
      <c r="DH1853">
        <v>0</v>
      </c>
      <c r="DI1853">
        <v>0</v>
      </c>
    </row>
    <row r="1854" spans="1:113" ht="15" customHeight="1" x14ac:dyDescent="0.25">
      <c r="A1854" t="s">
        <v>8118</v>
      </c>
      <c r="B1854" t="s">
        <v>8119</v>
      </c>
      <c r="C1854" t="s">
        <v>8120</v>
      </c>
      <c r="D1854" t="s">
        <v>1189</v>
      </c>
      <c r="E1854" t="s">
        <v>1190</v>
      </c>
      <c r="F1854" t="s">
        <v>8121</v>
      </c>
      <c r="G1854">
        <v>2025</v>
      </c>
      <c r="H1854" t="s">
        <v>1160</v>
      </c>
      <c r="I1854" t="s">
        <v>109</v>
      </c>
      <c r="J1854">
        <v>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Y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>
        <v>0</v>
      </c>
      <c r="AU1854">
        <v>0</v>
      </c>
      <c r="AV1854">
        <v>0</v>
      </c>
      <c r="AW1854">
        <v>0</v>
      </c>
      <c r="AX1854">
        <v>0</v>
      </c>
      <c r="AY1854">
        <v>7</v>
      </c>
      <c r="AZ1854">
        <v>0</v>
      </c>
      <c r="BA1854">
        <v>8</v>
      </c>
      <c r="BB1854">
        <v>0</v>
      </c>
      <c r="BC1854">
        <v>0</v>
      </c>
      <c r="BD1854">
        <v>0</v>
      </c>
      <c r="BE1854">
        <v>0.5</v>
      </c>
      <c r="BF1854">
        <v>4</v>
      </c>
      <c r="BG1854">
        <v>1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1</v>
      </c>
      <c r="BU1854">
        <v>15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C1854">
        <v>0</v>
      </c>
      <c r="DD1854">
        <v>0</v>
      </c>
      <c r="DE1854">
        <v>0</v>
      </c>
      <c r="DF1854">
        <v>0</v>
      </c>
      <c r="DH1854">
        <v>0</v>
      </c>
      <c r="DI1854">
        <v>0</v>
      </c>
    </row>
    <row r="1855" spans="1:113" ht="15" customHeight="1" x14ac:dyDescent="0.25">
      <c r="A1855" t="s">
        <v>8122</v>
      </c>
      <c r="B1855" t="s">
        <v>1409</v>
      </c>
      <c r="C1855" t="s">
        <v>8123</v>
      </c>
      <c r="D1855" t="s">
        <v>1350</v>
      </c>
      <c r="E1855" t="s">
        <v>1307</v>
      </c>
      <c r="F1855" t="s">
        <v>8124</v>
      </c>
      <c r="G1855">
        <v>2025</v>
      </c>
      <c r="H1855" t="s">
        <v>1160</v>
      </c>
      <c r="I1855" t="s">
        <v>109</v>
      </c>
      <c r="J1855">
        <v>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Y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>
        <v>0</v>
      </c>
      <c r="AU1855">
        <v>0</v>
      </c>
      <c r="AV1855">
        <v>0</v>
      </c>
      <c r="AW1855">
        <v>0</v>
      </c>
      <c r="AX1855">
        <v>0</v>
      </c>
      <c r="AY1855">
        <v>4</v>
      </c>
      <c r="AZ1855">
        <v>0</v>
      </c>
      <c r="BA1855">
        <v>1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C1855">
        <v>0</v>
      </c>
      <c r="DD1855">
        <v>0</v>
      </c>
      <c r="DE1855">
        <v>0</v>
      </c>
      <c r="DF1855">
        <v>0</v>
      </c>
      <c r="DH1855">
        <v>0</v>
      </c>
      <c r="DI1855">
        <v>0</v>
      </c>
    </row>
    <row r="1856" spans="1:113" ht="15" customHeight="1" x14ac:dyDescent="0.25">
      <c r="A1856" t="s">
        <v>8125</v>
      </c>
      <c r="B1856" t="s">
        <v>8126</v>
      </c>
      <c r="C1856" t="s">
        <v>564</v>
      </c>
      <c r="D1856" t="s">
        <v>10</v>
      </c>
      <c r="E1856" t="s">
        <v>10</v>
      </c>
      <c r="F1856" t="s">
        <v>8127</v>
      </c>
      <c r="G1856">
        <v>2025</v>
      </c>
      <c r="H1856" t="s">
        <v>1160</v>
      </c>
      <c r="I1856" t="s">
        <v>109</v>
      </c>
      <c r="J1856">
        <v>13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Y1856">
        <v>0</v>
      </c>
      <c r="AA1856">
        <v>1</v>
      </c>
      <c r="AB1856">
        <v>3</v>
      </c>
      <c r="AC1856">
        <v>0</v>
      </c>
      <c r="AD1856">
        <v>0</v>
      </c>
      <c r="AE1856">
        <v>0</v>
      </c>
      <c r="AF1856">
        <v>0</v>
      </c>
      <c r="AG1856">
        <v>-0.81142593850381695</v>
      </c>
      <c r="AH1856">
        <v>0</v>
      </c>
      <c r="AI1856">
        <v>7</v>
      </c>
      <c r="AJ1856">
        <v>14</v>
      </c>
      <c r="AK1856">
        <v>71</v>
      </c>
      <c r="AL1856">
        <v>0</v>
      </c>
      <c r="AM1856">
        <v>0</v>
      </c>
      <c r="AN1856">
        <v>0</v>
      </c>
      <c r="AO1856">
        <v>125</v>
      </c>
      <c r="AP1856">
        <v>28</v>
      </c>
      <c r="AQ1856">
        <v>3</v>
      </c>
      <c r="AR1856">
        <v>-4.7815145371567898</v>
      </c>
      <c r="AS1856">
        <v>0</v>
      </c>
      <c r="AT1856">
        <v>0.56799999999999995</v>
      </c>
      <c r="AU1856">
        <v>2.68199233716475E-2</v>
      </c>
      <c r="AV1856">
        <v>3.3025099075297201E-2</v>
      </c>
      <c r="AW1856">
        <v>6.3347454410179305E-2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4</v>
      </c>
      <c r="BM1856">
        <v>0</v>
      </c>
      <c r="BN1856">
        <v>0</v>
      </c>
      <c r="BO1856">
        <v>3</v>
      </c>
      <c r="BP1856">
        <v>3</v>
      </c>
      <c r="BQ1856">
        <v>0</v>
      </c>
      <c r="BR1856">
        <v>0</v>
      </c>
      <c r="BS1856">
        <v>0</v>
      </c>
      <c r="BT1856">
        <v>1</v>
      </c>
      <c r="BU1856">
        <v>5</v>
      </c>
      <c r="BV1856">
        <v>24</v>
      </c>
      <c r="BW1856">
        <v>167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C1856">
        <v>0</v>
      </c>
      <c r="DD1856">
        <v>0</v>
      </c>
      <c r="DE1856">
        <v>0</v>
      </c>
      <c r="DF1856">
        <v>0</v>
      </c>
      <c r="DH1856">
        <v>7.4</v>
      </c>
      <c r="DI1856">
        <v>14.4</v>
      </c>
    </row>
    <row r="1857" spans="1:113" ht="15" customHeight="1" x14ac:dyDescent="0.25">
      <c r="A1857" t="s">
        <v>8128</v>
      </c>
      <c r="B1857" t="s">
        <v>8129</v>
      </c>
      <c r="C1857" t="s">
        <v>8130</v>
      </c>
      <c r="D1857" t="s">
        <v>1234</v>
      </c>
      <c r="E1857" t="s">
        <v>1234</v>
      </c>
      <c r="F1857" t="s">
        <v>8131</v>
      </c>
      <c r="G1857">
        <v>2025</v>
      </c>
      <c r="H1857" t="s">
        <v>1160</v>
      </c>
      <c r="I1857" t="s">
        <v>109</v>
      </c>
      <c r="J1857">
        <v>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Y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>
        <v>0</v>
      </c>
      <c r="AU1857">
        <v>0</v>
      </c>
      <c r="AV1857">
        <v>0</v>
      </c>
      <c r="AW1857">
        <v>0</v>
      </c>
      <c r="AX1857">
        <v>0</v>
      </c>
      <c r="AY1857">
        <v>4</v>
      </c>
      <c r="AZ1857">
        <v>0</v>
      </c>
      <c r="BA1857">
        <v>5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C1857">
        <v>0</v>
      </c>
      <c r="DD1857">
        <v>0</v>
      </c>
      <c r="DE1857">
        <v>0</v>
      </c>
      <c r="DF1857">
        <v>0</v>
      </c>
      <c r="DH1857">
        <v>0</v>
      </c>
      <c r="DI1857">
        <v>0</v>
      </c>
    </row>
    <row r="1858" spans="1:113" ht="15" customHeight="1" x14ac:dyDescent="0.25">
      <c r="A1858" t="s">
        <v>8132</v>
      </c>
      <c r="B1858" t="s">
        <v>8133</v>
      </c>
      <c r="C1858" t="s">
        <v>8134</v>
      </c>
      <c r="D1858" t="s">
        <v>1684</v>
      </c>
      <c r="E1858" t="s">
        <v>1307</v>
      </c>
      <c r="F1858" t="s">
        <v>8135</v>
      </c>
      <c r="G1858">
        <v>2025</v>
      </c>
      <c r="H1858" t="s">
        <v>1160</v>
      </c>
      <c r="I1858" t="s">
        <v>109</v>
      </c>
      <c r="J1858">
        <v>12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Y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S1858">
        <v>0</v>
      </c>
      <c r="AU1858">
        <v>0</v>
      </c>
      <c r="AV1858">
        <v>0</v>
      </c>
      <c r="AW1858">
        <v>0</v>
      </c>
      <c r="AX1858">
        <v>0</v>
      </c>
      <c r="AY1858">
        <v>6</v>
      </c>
      <c r="AZ1858">
        <v>0</v>
      </c>
      <c r="BA1858">
        <v>9</v>
      </c>
      <c r="BB1858">
        <v>1</v>
      </c>
      <c r="BC1858">
        <v>10</v>
      </c>
      <c r="BD1858">
        <v>0</v>
      </c>
      <c r="BE1858">
        <v>1</v>
      </c>
      <c r="BF1858">
        <v>10</v>
      </c>
      <c r="BG1858">
        <v>1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</v>
      </c>
      <c r="BU1858">
        <v>15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C1858">
        <v>0</v>
      </c>
      <c r="DD1858">
        <v>0</v>
      </c>
      <c r="DE1858">
        <v>0</v>
      </c>
      <c r="DF1858">
        <v>0</v>
      </c>
      <c r="DH1858">
        <v>0</v>
      </c>
      <c r="DI1858">
        <v>0</v>
      </c>
    </row>
    <row r="1859" spans="1:113" ht="15" customHeight="1" x14ac:dyDescent="0.25">
      <c r="A1859" t="s">
        <v>8136</v>
      </c>
      <c r="B1859" t="s">
        <v>8137</v>
      </c>
      <c r="C1859" t="s">
        <v>535</v>
      </c>
      <c r="D1859" t="s">
        <v>10</v>
      </c>
      <c r="E1859" t="s">
        <v>10</v>
      </c>
      <c r="F1859" t="s">
        <v>8138</v>
      </c>
      <c r="G1859">
        <v>2025</v>
      </c>
      <c r="H1859" t="s">
        <v>1160</v>
      </c>
      <c r="I1859" t="s">
        <v>104</v>
      </c>
      <c r="J1859">
        <v>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Y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H1859">
        <v>0</v>
      </c>
      <c r="AI1859">
        <v>6</v>
      </c>
      <c r="AJ1859">
        <v>10</v>
      </c>
      <c r="AK1859">
        <v>87</v>
      </c>
      <c r="AL1859">
        <v>2</v>
      </c>
      <c r="AM1859">
        <v>0</v>
      </c>
      <c r="AN1859">
        <v>0</v>
      </c>
      <c r="AO1859">
        <v>130</v>
      </c>
      <c r="AP1859">
        <v>8</v>
      </c>
      <c r="AQ1859">
        <v>4</v>
      </c>
      <c r="AR1859">
        <v>6.8535403203568404</v>
      </c>
      <c r="AS1859">
        <v>0</v>
      </c>
      <c r="AT1859">
        <v>0.66923076923076896</v>
      </c>
      <c r="AU1859">
        <v>1.8796992481203E-2</v>
      </c>
      <c r="AV1859">
        <v>2.6294498381877002E-2</v>
      </c>
      <c r="AW1859">
        <v>4.6601637589118401E-2</v>
      </c>
      <c r="AX1859">
        <v>0</v>
      </c>
      <c r="AY1859">
        <v>0</v>
      </c>
      <c r="AZ1859">
        <v>0</v>
      </c>
      <c r="BA1859">
        <v>3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1</v>
      </c>
      <c r="BU1859">
        <v>10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C1859">
        <v>0</v>
      </c>
      <c r="DD1859">
        <v>0</v>
      </c>
      <c r="DE1859">
        <v>0</v>
      </c>
      <c r="DF1859">
        <v>0</v>
      </c>
      <c r="DH1859">
        <v>20.7</v>
      </c>
      <c r="DI1859">
        <v>26.7</v>
      </c>
    </row>
    <row r="1860" spans="1:113" ht="15" customHeight="1" x14ac:dyDescent="0.25">
      <c r="A1860" t="s">
        <v>8139</v>
      </c>
      <c r="B1860" t="s">
        <v>8140</v>
      </c>
      <c r="C1860" t="s">
        <v>8141</v>
      </c>
      <c r="D1860" t="s">
        <v>1168</v>
      </c>
      <c r="E1860" t="s">
        <v>1169</v>
      </c>
      <c r="F1860" t="s">
        <v>8142</v>
      </c>
      <c r="G1860">
        <v>2025</v>
      </c>
      <c r="H1860" t="s">
        <v>1160</v>
      </c>
      <c r="I1860" t="s">
        <v>96</v>
      </c>
      <c r="J1860">
        <v>17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Y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S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0</v>
      </c>
      <c r="BA1860">
        <v>1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1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24</v>
      </c>
      <c r="CA1860">
        <v>29</v>
      </c>
      <c r="CB1860">
        <v>4</v>
      </c>
      <c r="CC1860">
        <v>1</v>
      </c>
      <c r="CD1860">
        <v>57</v>
      </c>
      <c r="CE1860">
        <v>0.82758620689655205</v>
      </c>
      <c r="CF1860">
        <v>0</v>
      </c>
      <c r="CG1860">
        <v>6</v>
      </c>
      <c r="CH1860">
        <v>8</v>
      </c>
      <c r="CI1860">
        <v>8</v>
      </c>
      <c r="CJ1860">
        <v>2</v>
      </c>
      <c r="CK1860">
        <v>0</v>
      </c>
      <c r="CL1860">
        <v>0</v>
      </c>
      <c r="CM1860">
        <v>0</v>
      </c>
      <c r="CN1860">
        <v>1</v>
      </c>
      <c r="CO1860">
        <v>0</v>
      </c>
      <c r="CP1860">
        <v>3</v>
      </c>
      <c r="CQ1860">
        <v>0</v>
      </c>
      <c r="CR1860" t="s">
        <v>8143</v>
      </c>
      <c r="CS1860" t="s">
        <v>8144</v>
      </c>
      <c r="CT1860">
        <v>48</v>
      </c>
      <c r="CU1860">
        <v>907</v>
      </c>
      <c r="CV1860">
        <v>198</v>
      </c>
      <c r="CW1860">
        <v>48</v>
      </c>
      <c r="CX1860">
        <v>27</v>
      </c>
      <c r="CY1860">
        <v>30</v>
      </c>
      <c r="CZ1860">
        <v>3</v>
      </c>
      <c r="DA1860">
        <v>0</v>
      </c>
      <c r="DB1860">
        <v>0.9</v>
      </c>
      <c r="DC1860">
        <v>3</v>
      </c>
      <c r="DD1860">
        <v>3</v>
      </c>
      <c r="DE1860">
        <v>0</v>
      </c>
      <c r="DF1860">
        <v>0</v>
      </c>
      <c r="DG1860" t="s">
        <v>8145</v>
      </c>
      <c r="DH1860">
        <v>0</v>
      </c>
      <c r="DI1860">
        <v>0</v>
      </c>
    </row>
    <row r="1861" spans="1:113" ht="15" customHeight="1" x14ac:dyDescent="0.25">
      <c r="A1861" t="s">
        <v>8146</v>
      </c>
      <c r="B1861" t="s">
        <v>8147</v>
      </c>
      <c r="C1861" t="s">
        <v>8148</v>
      </c>
      <c r="D1861" t="s">
        <v>1234</v>
      </c>
      <c r="E1861" t="s">
        <v>1234</v>
      </c>
      <c r="F1861" t="s">
        <v>8149</v>
      </c>
      <c r="G1861">
        <v>2025</v>
      </c>
      <c r="H1861" t="s">
        <v>1160</v>
      </c>
      <c r="I1861" t="s">
        <v>96</v>
      </c>
      <c r="J1861">
        <v>11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Y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>
        <v>0</v>
      </c>
      <c r="AU1861">
        <v>0</v>
      </c>
      <c r="AV1861">
        <v>0</v>
      </c>
      <c r="AW1861">
        <v>0</v>
      </c>
      <c r="AX1861">
        <v>0</v>
      </c>
      <c r="AY1861">
        <v>7</v>
      </c>
      <c r="AZ1861">
        <v>0</v>
      </c>
      <c r="BA1861">
        <v>14</v>
      </c>
      <c r="BB1861">
        <v>1</v>
      </c>
      <c r="BC1861">
        <v>3</v>
      </c>
      <c r="BD1861">
        <v>1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</v>
      </c>
      <c r="BU1861">
        <v>10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C1861">
        <v>0</v>
      </c>
      <c r="DD1861">
        <v>0</v>
      </c>
      <c r="DE1861">
        <v>0</v>
      </c>
      <c r="DF1861">
        <v>0</v>
      </c>
      <c r="DH1861">
        <v>0</v>
      </c>
      <c r="DI1861">
        <v>0</v>
      </c>
    </row>
    <row r="1862" spans="1:113" ht="15" customHeight="1" x14ac:dyDescent="0.25">
      <c r="A1862" t="s">
        <v>8150</v>
      </c>
      <c r="B1862" t="s">
        <v>2594</v>
      </c>
      <c r="C1862" t="s">
        <v>8151</v>
      </c>
      <c r="D1862" t="s">
        <v>1684</v>
      </c>
      <c r="E1862" t="s">
        <v>1307</v>
      </c>
      <c r="F1862" t="s">
        <v>8152</v>
      </c>
      <c r="G1862">
        <v>2025</v>
      </c>
      <c r="H1862" t="s">
        <v>1160</v>
      </c>
      <c r="I1862" t="s">
        <v>96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Y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1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C1862">
        <v>0</v>
      </c>
      <c r="DD1862">
        <v>0</v>
      </c>
      <c r="DE1862">
        <v>0</v>
      </c>
      <c r="DF1862">
        <v>0</v>
      </c>
      <c r="DH1862">
        <v>0</v>
      </c>
      <c r="DI1862">
        <v>0</v>
      </c>
    </row>
    <row r="1863" spans="1:113" ht="15" customHeight="1" x14ac:dyDescent="0.25">
      <c r="A1863" t="s">
        <v>8153</v>
      </c>
      <c r="B1863" t="s">
        <v>8154</v>
      </c>
      <c r="C1863" t="s">
        <v>8155</v>
      </c>
      <c r="D1863" t="s">
        <v>1350</v>
      </c>
      <c r="E1863" t="s">
        <v>1307</v>
      </c>
      <c r="F1863" t="s">
        <v>8156</v>
      </c>
      <c r="G1863">
        <v>2025</v>
      </c>
      <c r="H1863" t="s">
        <v>1160</v>
      </c>
      <c r="I1863" t="s">
        <v>96</v>
      </c>
      <c r="J1863">
        <v>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Y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S1863">
        <v>0</v>
      </c>
      <c r="AU1863">
        <v>0</v>
      </c>
      <c r="AV1863">
        <v>0</v>
      </c>
      <c r="AW1863">
        <v>0</v>
      </c>
      <c r="AX1863">
        <v>0</v>
      </c>
      <c r="AY1863">
        <v>8</v>
      </c>
      <c r="AZ1863">
        <v>0</v>
      </c>
      <c r="BA1863">
        <v>6</v>
      </c>
      <c r="BB1863">
        <v>0</v>
      </c>
      <c r="BC1863">
        <v>0</v>
      </c>
      <c r="BD1863">
        <v>1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3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1</v>
      </c>
      <c r="BU1863">
        <v>10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C1863">
        <v>0</v>
      </c>
      <c r="DD1863">
        <v>0</v>
      </c>
      <c r="DE1863">
        <v>0</v>
      </c>
      <c r="DF1863">
        <v>0</v>
      </c>
      <c r="DH1863">
        <v>0</v>
      </c>
      <c r="DI1863">
        <v>0</v>
      </c>
    </row>
    <row r="1864" spans="1:113" ht="15" customHeight="1" x14ac:dyDescent="0.25">
      <c r="A1864" t="s">
        <v>8157</v>
      </c>
      <c r="B1864" t="s">
        <v>8158</v>
      </c>
      <c r="C1864" t="s">
        <v>794</v>
      </c>
      <c r="D1864" t="s">
        <v>10</v>
      </c>
      <c r="E1864" t="s">
        <v>10</v>
      </c>
      <c r="F1864" t="s">
        <v>8159</v>
      </c>
      <c r="G1864">
        <v>2025</v>
      </c>
      <c r="H1864" t="s">
        <v>1160</v>
      </c>
      <c r="I1864" t="s">
        <v>133</v>
      </c>
      <c r="J1864">
        <v>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Y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H1864">
        <v>0</v>
      </c>
      <c r="AI1864">
        <v>6</v>
      </c>
      <c r="AJ1864">
        <v>10</v>
      </c>
      <c r="AK1864">
        <v>139</v>
      </c>
      <c r="AL1864">
        <v>1</v>
      </c>
      <c r="AM1864">
        <v>0</v>
      </c>
      <c r="AN1864">
        <v>0</v>
      </c>
      <c r="AO1864">
        <v>137</v>
      </c>
      <c r="AP1864">
        <v>63</v>
      </c>
      <c r="AQ1864">
        <v>6</v>
      </c>
      <c r="AR1864">
        <v>2.1371582629508299</v>
      </c>
      <c r="AS1864">
        <v>0</v>
      </c>
      <c r="AT1864">
        <v>1.01459854014599</v>
      </c>
      <c r="AU1864">
        <v>2.1645021645021599E-2</v>
      </c>
      <c r="AV1864">
        <v>4.0749553837001802E-2</v>
      </c>
      <c r="AW1864">
        <v>6.0992220153433703E-2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</v>
      </c>
      <c r="BU1864">
        <v>10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C1864">
        <v>0</v>
      </c>
      <c r="DD1864">
        <v>0</v>
      </c>
      <c r="DE1864">
        <v>0</v>
      </c>
      <c r="DF1864">
        <v>0</v>
      </c>
      <c r="DH1864">
        <v>19.899999999999999</v>
      </c>
      <c r="DI1864">
        <v>25.9</v>
      </c>
    </row>
    <row r="1865" spans="1:113" ht="15" customHeight="1" x14ac:dyDescent="0.25">
      <c r="A1865" t="s">
        <v>8160</v>
      </c>
      <c r="B1865" t="s">
        <v>8161</v>
      </c>
      <c r="C1865" t="s">
        <v>8162</v>
      </c>
      <c r="D1865" t="s">
        <v>1243</v>
      </c>
      <c r="E1865" t="s">
        <v>1190</v>
      </c>
      <c r="F1865" t="s">
        <v>8163</v>
      </c>
      <c r="G1865">
        <v>2025</v>
      </c>
      <c r="H1865" t="s">
        <v>1160</v>
      </c>
      <c r="I1865" t="s">
        <v>143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Y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S1865">
        <v>0</v>
      </c>
      <c r="AU1865">
        <v>0</v>
      </c>
      <c r="AV1865">
        <v>0</v>
      </c>
      <c r="AW1865">
        <v>0</v>
      </c>
      <c r="AX1865">
        <v>0</v>
      </c>
      <c r="AY1865">
        <v>2</v>
      </c>
      <c r="AZ1865">
        <v>0</v>
      </c>
      <c r="BA1865">
        <v>3</v>
      </c>
      <c r="BB1865">
        <v>1</v>
      </c>
      <c r="BC1865">
        <v>6</v>
      </c>
      <c r="BD1865">
        <v>0</v>
      </c>
      <c r="BE1865">
        <v>1</v>
      </c>
      <c r="BF1865">
        <v>6</v>
      </c>
      <c r="BG1865">
        <v>1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C1865">
        <v>0</v>
      </c>
      <c r="DD1865">
        <v>0</v>
      </c>
      <c r="DE1865">
        <v>0</v>
      </c>
      <c r="DF1865">
        <v>0</v>
      </c>
      <c r="DH1865">
        <v>0</v>
      </c>
      <c r="DI1865">
        <v>0</v>
      </c>
    </row>
    <row r="1866" spans="1:113" ht="15" customHeight="1" x14ac:dyDescent="0.25">
      <c r="A1866" t="s">
        <v>8164</v>
      </c>
      <c r="B1866" t="s">
        <v>8165</v>
      </c>
      <c r="C1866" t="s">
        <v>1031</v>
      </c>
      <c r="D1866" t="s">
        <v>10</v>
      </c>
      <c r="E1866" t="s">
        <v>10</v>
      </c>
      <c r="F1866" t="s">
        <v>8166</v>
      </c>
      <c r="G1866">
        <v>2025</v>
      </c>
      <c r="H1866" t="s">
        <v>1160</v>
      </c>
      <c r="I1866" t="s">
        <v>143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Y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H1866">
        <v>0</v>
      </c>
      <c r="AI1866">
        <v>1</v>
      </c>
      <c r="AJ1866">
        <v>1</v>
      </c>
      <c r="AK1866">
        <v>25</v>
      </c>
      <c r="AL1866">
        <v>0</v>
      </c>
      <c r="AM1866">
        <v>0</v>
      </c>
      <c r="AN1866">
        <v>0</v>
      </c>
      <c r="AO1866">
        <v>3</v>
      </c>
      <c r="AP1866">
        <v>22</v>
      </c>
      <c r="AQ1866">
        <v>1</v>
      </c>
      <c r="AR1866">
        <v>1.5626438096514901</v>
      </c>
      <c r="AS1866">
        <v>0</v>
      </c>
      <c r="AT1866">
        <v>8.3333333333333304</v>
      </c>
      <c r="AU1866">
        <v>2.3148148148148199E-3</v>
      </c>
      <c r="AV1866">
        <v>7.5037518759379701E-4</v>
      </c>
      <c r="AW1866">
        <v>3.9974848535378801E-3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C1866">
        <v>0</v>
      </c>
      <c r="DD1866">
        <v>0</v>
      </c>
      <c r="DE1866">
        <v>0</v>
      </c>
      <c r="DF1866">
        <v>0</v>
      </c>
      <c r="DH1866">
        <v>2.5</v>
      </c>
      <c r="DI1866">
        <v>3.5</v>
      </c>
    </row>
    <row r="1867" spans="1:113" ht="15" customHeight="1" x14ac:dyDescent="0.25">
      <c r="A1867" t="s">
        <v>8167</v>
      </c>
      <c r="B1867" t="s">
        <v>8168</v>
      </c>
      <c r="C1867" t="s">
        <v>8169</v>
      </c>
      <c r="D1867" t="s">
        <v>1234</v>
      </c>
      <c r="E1867" t="s">
        <v>1234</v>
      </c>
      <c r="F1867" t="s">
        <v>8170</v>
      </c>
      <c r="G1867">
        <v>2025</v>
      </c>
      <c r="H1867" t="s">
        <v>1160</v>
      </c>
      <c r="I1867" t="s">
        <v>143</v>
      </c>
      <c r="J1867">
        <v>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Y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S1867">
        <v>0</v>
      </c>
      <c r="AU1867">
        <v>0</v>
      </c>
      <c r="AV1867">
        <v>0</v>
      </c>
      <c r="AW1867">
        <v>0</v>
      </c>
      <c r="AX1867">
        <v>0</v>
      </c>
      <c r="AY1867">
        <v>3</v>
      </c>
      <c r="AZ1867">
        <v>0</v>
      </c>
      <c r="BA1867">
        <v>1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C1867">
        <v>0</v>
      </c>
      <c r="DD1867">
        <v>0</v>
      </c>
      <c r="DE1867">
        <v>0</v>
      </c>
      <c r="DF1867">
        <v>0</v>
      </c>
      <c r="DH1867">
        <v>0</v>
      </c>
      <c r="DI1867">
        <v>0</v>
      </c>
    </row>
    <row r="1868" spans="1:113" ht="15" customHeight="1" x14ac:dyDescent="0.25">
      <c r="A1868" t="s">
        <v>8171</v>
      </c>
      <c r="B1868" t="s">
        <v>8172</v>
      </c>
      <c r="C1868" t="s">
        <v>8173</v>
      </c>
      <c r="D1868" t="s">
        <v>1234</v>
      </c>
      <c r="E1868" t="s">
        <v>1234</v>
      </c>
      <c r="F1868" t="s">
        <v>8174</v>
      </c>
      <c r="G1868">
        <v>2025</v>
      </c>
      <c r="H1868" t="s">
        <v>1160</v>
      </c>
      <c r="I1868" t="s">
        <v>106</v>
      </c>
      <c r="J1868">
        <v>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Y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S1868">
        <v>0</v>
      </c>
      <c r="AU1868">
        <v>0</v>
      </c>
      <c r="AV1868">
        <v>0</v>
      </c>
      <c r="AW1868">
        <v>0</v>
      </c>
      <c r="AX1868">
        <v>0</v>
      </c>
      <c r="AY1868">
        <v>3</v>
      </c>
      <c r="AZ1868">
        <v>0</v>
      </c>
      <c r="BA1868">
        <v>6</v>
      </c>
      <c r="BB1868">
        <v>0</v>
      </c>
      <c r="BC1868">
        <v>0</v>
      </c>
      <c r="BD1868">
        <v>1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1</v>
      </c>
      <c r="BU1868">
        <v>5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C1868">
        <v>0</v>
      </c>
      <c r="DD1868">
        <v>0</v>
      </c>
      <c r="DE1868">
        <v>0</v>
      </c>
      <c r="DF1868">
        <v>0</v>
      </c>
      <c r="DH1868">
        <v>0</v>
      </c>
      <c r="DI1868">
        <v>0</v>
      </c>
    </row>
    <row r="1869" spans="1:113" ht="15" customHeight="1" x14ac:dyDescent="0.25">
      <c r="A1869" t="s">
        <v>8175</v>
      </c>
      <c r="B1869" t="s">
        <v>8176</v>
      </c>
      <c r="C1869" t="s">
        <v>8177</v>
      </c>
      <c r="D1869" t="s">
        <v>1189</v>
      </c>
      <c r="E1869" t="s">
        <v>1190</v>
      </c>
      <c r="F1869" t="s">
        <v>8178</v>
      </c>
      <c r="G1869">
        <v>2025</v>
      </c>
      <c r="H1869" t="s">
        <v>1160</v>
      </c>
      <c r="I1869" t="s">
        <v>123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Y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S1869">
        <v>0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</v>
      </c>
      <c r="BA1869">
        <v>4</v>
      </c>
      <c r="BB1869">
        <v>0</v>
      </c>
      <c r="BC1869">
        <v>0</v>
      </c>
      <c r="BD1869">
        <v>1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C1869">
        <v>0</v>
      </c>
      <c r="DD1869">
        <v>0</v>
      </c>
      <c r="DE1869">
        <v>0</v>
      </c>
      <c r="DF1869">
        <v>0</v>
      </c>
      <c r="DH1869">
        <v>0</v>
      </c>
      <c r="DI1869">
        <v>0</v>
      </c>
    </row>
    <row r="1870" spans="1:113" ht="15" customHeight="1" x14ac:dyDescent="0.25">
      <c r="A1870" t="s">
        <v>8179</v>
      </c>
      <c r="B1870" t="s">
        <v>8180</v>
      </c>
      <c r="C1870" t="s">
        <v>8181</v>
      </c>
      <c r="D1870" t="s">
        <v>1189</v>
      </c>
      <c r="E1870" t="s">
        <v>1190</v>
      </c>
      <c r="F1870" t="s">
        <v>8182</v>
      </c>
      <c r="G1870">
        <v>2025</v>
      </c>
      <c r="H1870" t="s">
        <v>1160</v>
      </c>
      <c r="I1870" t="s">
        <v>106</v>
      </c>
      <c r="J1870">
        <v>8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Y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S1870">
        <v>0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0</v>
      </c>
      <c r="BA1870">
        <v>9</v>
      </c>
      <c r="BB1870">
        <v>2</v>
      </c>
      <c r="BC1870">
        <v>15</v>
      </c>
      <c r="BD1870">
        <v>0</v>
      </c>
      <c r="BE1870">
        <v>2</v>
      </c>
      <c r="BF1870">
        <v>15</v>
      </c>
      <c r="BG1870">
        <v>1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1</v>
      </c>
      <c r="BU1870">
        <v>10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C1870">
        <v>0</v>
      </c>
      <c r="DD1870">
        <v>0</v>
      </c>
      <c r="DE1870">
        <v>0</v>
      </c>
      <c r="DF1870">
        <v>0</v>
      </c>
      <c r="DH1870">
        <v>0</v>
      </c>
      <c r="DI1870">
        <v>0</v>
      </c>
    </row>
    <row r="1871" spans="1:113" ht="15" customHeight="1" x14ac:dyDescent="0.25">
      <c r="A1871" t="s">
        <v>8183</v>
      </c>
      <c r="B1871" t="s">
        <v>8184</v>
      </c>
      <c r="C1871" t="s">
        <v>8185</v>
      </c>
      <c r="D1871" t="s">
        <v>1307</v>
      </c>
      <c r="E1871" t="s">
        <v>1307</v>
      </c>
      <c r="F1871" t="s">
        <v>8186</v>
      </c>
      <c r="G1871">
        <v>2025</v>
      </c>
      <c r="H1871" t="s">
        <v>1160</v>
      </c>
      <c r="I1871" t="s">
        <v>106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Y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S1871">
        <v>0</v>
      </c>
      <c r="AU1871">
        <v>0</v>
      </c>
      <c r="AV1871">
        <v>0</v>
      </c>
      <c r="AW1871">
        <v>0</v>
      </c>
      <c r="AX1871">
        <v>0</v>
      </c>
      <c r="AY1871">
        <v>2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C1871">
        <v>0</v>
      </c>
      <c r="DD1871">
        <v>0</v>
      </c>
      <c r="DE1871">
        <v>0</v>
      </c>
      <c r="DF1871">
        <v>0</v>
      </c>
      <c r="DH1871">
        <v>0</v>
      </c>
      <c r="DI1871">
        <v>0</v>
      </c>
    </row>
    <row r="1872" spans="1:113" ht="15" customHeight="1" x14ac:dyDescent="0.25">
      <c r="A1872" t="s">
        <v>8187</v>
      </c>
      <c r="B1872" t="s">
        <v>8188</v>
      </c>
      <c r="C1872" t="s">
        <v>8189</v>
      </c>
      <c r="D1872" t="s">
        <v>1189</v>
      </c>
      <c r="E1872" t="s">
        <v>1190</v>
      </c>
      <c r="F1872" t="s">
        <v>8190</v>
      </c>
      <c r="G1872">
        <v>2025</v>
      </c>
      <c r="H1872" t="s">
        <v>1160</v>
      </c>
      <c r="I1872" t="s">
        <v>106</v>
      </c>
      <c r="J1872">
        <v>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Y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S1872">
        <v>0</v>
      </c>
      <c r="AU1872">
        <v>0</v>
      </c>
      <c r="AV1872">
        <v>0</v>
      </c>
      <c r="AW1872">
        <v>0</v>
      </c>
      <c r="AX1872">
        <v>0</v>
      </c>
      <c r="AY1872">
        <v>6</v>
      </c>
      <c r="AZ1872">
        <v>0</v>
      </c>
      <c r="BA1872">
        <v>10</v>
      </c>
      <c r="BB1872">
        <v>0</v>
      </c>
      <c r="BC1872">
        <v>0</v>
      </c>
      <c r="BD1872">
        <v>0</v>
      </c>
      <c r="BE1872">
        <v>0.5</v>
      </c>
      <c r="BF1872">
        <v>2</v>
      </c>
      <c r="BG1872">
        <v>3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1</v>
      </c>
      <c r="BR1872">
        <v>1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C1872">
        <v>0</v>
      </c>
      <c r="DD1872">
        <v>0</v>
      </c>
      <c r="DE1872">
        <v>0</v>
      </c>
      <c r="DF1872">
        <v>0</v>
      </c>
      <c r="DH1872">
        <v>0</v>
      </c>
      <c r="DI1872">
        <v>0</v>
      </c>
    </row>
    <row r="1873" spans="1:113" ht="15" customHeight="1" x14ac:dyDescent="0.25">
      <c r="A1873" t="s">
        <v>8191</v>
      </c>
      <c r="B1873" t="s">
        <v>8192</v>
      </c>
      <c r="C1873" t="s">
        <v>8193</v>
      </c>
      <c r="D1873" t="s">
        <v>1350</v>
      </c>
      <c r="E1873" t="s">
        <v>1307</v>
      </c>
      <c r="F1873" t="s">
        <v>8194</v>
      </c>
      <c r="G1873">
        <v>2025</v>
      </c>
      <c r="H1873" t="s">
        <v>1160</v>
      </c>
      <c r="I1873" t="s">
        <v>124</v>
      </c>
      <c r="J1873">
        <v>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Y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S1873">
        <v>0</v>
      </c>
      <c r="AU1873">
        <v>0</v>
      </c>
      <c r="AV1873">
        <v>0</v>
      </c>
      <c r="AW1873">
        <v>0</v>
      </c>
      <c r="AX1873">
        <v>0</v>
      </c>
      <c r="AY1873">
        <v>19</v>
      </c>
      <c r="AZ1873">
        <v>0</v>
      </c>
      <c r="BA1873">
        <v>7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3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C1873">
        <v>0</v>
      </c>
      <c r="DD1873">
        <v>0</v>
      </c>
      <c r="DE1873">
        <v>0</v>
      </c>
      <c r="DF1873">
        <v>0</v>
      </c>
      <c r="DH1873">
        <v>0</v>
      </c>
      <c r="DI1873">
        <v>0</v>
      </c>
    </row>
    <row r="1874" spans="1:113" ht="15" customHeight="1" x14ac:dyDescent="0.25">
      <c r="A1874" t="s">
        <v>8195</v>
      </c>
      <c r="B1874" t="s">
        <v>8196</v>
      </c>
      <c r="C1874" t="s">
        <v>680</v>
      </c>
      <c r="D1874" t="s">
        <v>10</v>
      </c>
      <c r="E1874" t="s">
        <v>10</v>
      </c>
      <c r="F1874" t="s">
        <v>8197</v>
      </c>
      <c r="G1874">
        <v>2025</v>
      </c>
      <c r="H1874" t="s">
        <v>1160</v>
      </c>
      <c r="I1874" t="s">
        <v>124</v>
      </c>
      <c r="J1874">
        <v>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Y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H1874">
        <v>0</v>
      </c>
      <c r="AI1874">
        <v>0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2</v>
      </c>
      <c r="AP1874">
        <v>0</v>
      </c>
      <c r="AQ1874">
        <v>0</v>
      </c>
      <c r="AR1874">
        <v>-3.2597661542240499</v>
      </c>
      <c r="AS1874">
        <v>0</v>
      </c>
      <c r="AT1874">
        <v>0</v>
      </c>
      <c r="AU1874">
        <v>1.88679245283019E-3</v>
      </c>
      <c r="AV1874">
        <v>4.5662100456620998E-4</v>
      </c>
      <c r="AW1874">
        <v>3.14982338244163E-3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1</v>
      </c>
      <c r="BW1874">
        <v>2</v>
      </c>
      <c r="BX1874">
        <v>5</v>
      </c>
      <c r="BY1874">
        <v>141</v>
      </c>
      <c r="BZ1874">
        <v>0</v>
      </c>
      <c r="CA1874">
        <v>0</v>
      </c>
      <c r="CB1874">
        <v>0</v>
      </c>
      <c r="CC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C1874">
        <v>0</v>
      </c>
      <c r="DD1874">
        <v>0</v>
      </c>
      <c r="DE1874">
        <v>0</v>
      </c>
      <c r="DF1874">
        <v>0</v>
      </c>
      <c r="DH1874">
        <v>0</v>
      </c>
      <c r="DI1874">
        <v>0</v>
      </c>
    </row>
    <row r="1875" spans="1:113" ht="15" customHeight="1" x14ac:dyDescent="0.25">
      <c r="A1875" t="s">
        <v>8198</v>
      </c>
      <c r="B1875" t="s">
        <v>7474</v>
      </c>
      <c r="C1875" t="s">
        <v>8199</v>
      </c>
      <c r="D1875" t="s">
        <v>1684</v>
      </c>
      <c r="E1875" t="s">
        <v>1307</v>
      </c>
      <c r="F1875" t="s">
        <v>8200</v>
      </c>
      <c r="G1875">
        <v>2025</v>
      </c>
      <c r="H1875" t="s">
        <v>1160</v>
      </c>
      <c r="I1875" t="s">
        <v>124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Y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S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4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1</v>
      </c>
      <c r="BU1875">
        <v>17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C1875">
        <v>0</v>
      </c>
      <c r="DD1875">
        <v>0</v>
      </c>
      <c r="DE1875">
        <v>0</v>
      </c>
      <c r="DF1875">
        <v>0</v>
      </c>
      <c r="DH1875">
        <v>0</v>
      </c>
      <c r="DI1875">
        <v>0</v>
      </c>
    </row>
    <row r="1876" spans="1:113" ht="15" customHeight="1" x14ac:dyDescent="0.25">
      <c r="A1876" t="s">
        <v>8201</v>
      </c>
      <c r="B1876" t="s">
        <v>7542</v>
      </c>
      <c r="C1876" t="s">
        <v>8202</v>
      </c>
      <c r="D1876" t="s">
        <v>1234</v>
      </c>
      <c r="E1876" t="s">
        <v>1234</v>
      </c>
      <c r="F1876" t="s">
        <v>8203</v>
      </c>
      <c r="G1876">
        <v>2025</v>
      </c>
      <c r="H1876" t="s">
        <v>1160</v>
      </c>
      <c r="I1876" t="s">
        <v>99</v>
      </c>
      <c r="J1876">
        <v>3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Y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S1876">
        <v>0</v>
      </c>
      <c r="AU1876">
        <v>0</v>
      </c>
      <c r="AV1876">
        <v>0</v>
      </c>
      <c r="AW1876">
        <v>0</v>
      </c>
      <c r="AX1876">
        <v>0</v>
      </c>
      <c r="AY1876">
        <v>5</v>
      </c>
      <c r="AZ1876">
        <v>0</v>
      </c>
      <c r="BA1876">
        <v>4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C1876">
        <v>0</v>
      </c>
      <c r="DD1876">
        <v>0</v>
      </c>
      <c r="DE1876">
        <v>0</v>
      </c>
      <c r="DF1876">
        <v>0</v>
      </c>
      <c r="DH1876">
        <v>0</v>
      </c>
      <c r="DI1876">
        <v>0</v>
      </c>
    </row>
    <row r="1877" spans="1:113" ht="15" customHeight="1" x14ac:dyDescent="0.25">
      <c r="A1877" t="s">
        <v>8204</v>
      </c>
      <c r="B1877" t="s">
        <v>8205</v>
      </c>
      <c r="C1877" t="s">
        <v>492</v>
      </c>
      <c r="D1877" t="s">
        <v>439</v>
      </c>
      <c r="E1877" t="s">
        <v>439</v>
      </c>
      <c r="F1877" t="s">
        <v>8206</v>
      </c>
      <c r="G1877">
        <v>2025</v>
      </c>
      <c r="H1877" t="s">
        <v>1160</v>
      </c>
      <c r="I1877" t="s">
        <v>99</v>
      </c>
      <c r="J1877">
        <v>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Y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H1877">
        <v>0</v>
      </c>
      <c r="AI1877">
        <v>4</v>
      </c>
      <c r="AJ1877">
        <v>4</v>
      </c>
      <c r="AK1877">
        <v>35</v>
      </c>
      <c r="AL1877">
        <v>0</v>
      </c>
      <c r="AM1877">
        <v>0</v>
      </c>
      <c r="AN1877">
        <v>0</v>
      </c>
      <c r="AO1877">
        <v>12</v>
      </c>
      <c r="AP1877">
        <v>23</v>
      </c>
      <c r="AQ1877">
        <v>3</v>
      </c>
      <c r="AR1877">
        <v>5.3192515547852999</v>
      </c>
      <c r="AS1877">
        <v>0</v>
      </c>
      <c r="AT1877">
        <v>2.9166666666666701</v>
      </c>
      <c r="AU1877">
        <v>8.3507306889352793E-3</v>
      </c>
      <c r="AV1877">
        <v>3.3204205866076402E-3</v>
      </c>
      <c r="AW1877">
        <v>1.48503904440283E-2</v>
      </c>
      <c r="AX1877">
        <v>0</v>
      </c>
      <c r="AY1877">
        <v>1</v>
      </c>
      <c r="AZ1877">
        <v>0</v>
      </c>
      <c r="BA1877">
        <v>2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C1877">
        <v>0</v>
      </c>
      <c r="DD1877">
        <v>0</v>
      </c>
      <c r="DE1877">
        <v>0</v>
      </c>
      <c r="DF1877">
        <v>0</v>
      </c>
      <c r="DH1877">
        <v>3.5</v>
      </c>
      <c r="DI1877">
        <v>7.5</v>
      </c>
    </row>
    <row r="1878" spans="1:113" ht="15" customHeight="1" x14ac:dyDescent="0.25">
      <c r="A1878" t="s">
        <v>8207</v>
      </c>
      <c r="B1878" t="s">
        <v>8208</v>
      </c>
      <c r="C1878" t="s">
        <v>8209</v>
      </c>
      <c r="D1878" t="s">
        <v>1243</v>
      </c>
      <c r="E1878" t="s">
        <v>1190</v>
      </c>
      <c r="F1878" t="s">
        <v>8210</v>
      </c>
      <c r="G1878">
        <v>2025</v>
      </c>
      <c r="H1878" t="s">
        <v>1160</v>
      </c>
      <c r="I1878" t="s">
        <v>107</v>
      </c>
      <c r="J1878">
        <v>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Y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S1878">
        <v>0</v>
      </c>
      <c r="AU1878">
        <v>0</v>
      </c>
      <c r="AV1878">
        <v>0</v>
      </c>
      <c r="AW1878">
        <v>0</v>
      </c>
      <c r="AX1878">
        <v>0</v>
      </c>
      <c r="AY1878">
        <v>2</v>
      </c>
      <c r="AZ1878">
        <v>0</v>
      </c>
      <c r="BA1878">
        <v>2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1</v>
      </c>
      <c r="BR1878">
        <v>1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C1878">
        <v>0</v>
      </c>
      <c r="DD1878">
        <v>0</v>
      </c>
      <c r="DE1878">
        <v>0</v>
      </c>
      <c r="DF1878">
        <v>0</v>
      </c>
      <c r="DH1878">
        <v>0</v>
      </c>
      <c r="DI1878">
        <v>0</v>
      </c>
    </row>
    <row r="1879" spans="1:113" ht="15" customHeight="1" x14ac:dyDescent="0.25">
      <c r="A1879" t="s">
        <v>8211</v>
      </c>
      <c r="B1879" t="s">
        <v>8212</v>
      </c>
      <c r="C1879" t="s">
        <v>8213</v>
      </c>
      <c r="D1879" t="s">
        <v>1243</v>
      </c>
      <c r="E1879" t="s">
        <v>1190</v>
      </c>
      <c r="F1879" t="s">
        <v>8214</v>
      </c>
      <c r="G1879">
        <v>2025</v>
      </c>
      <c r="H1879" t="s">
        <v>1160</v>
      </c>
      <c r="I1879" t="s">
        <v>114</v>
      </c>
      <c r="J1879">
        <v>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Y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S1879">
        <v>0</v>
      </c>
      <c r="AU1879">
        <v>0</v>
      </c>
      <c r="AV1879">
        <v>0</v>
      </c>
      <c r="AW1879">
        <v>0</v>
      </c>
      <c r="AX1879">
        <v>0</v>
      </c>
      <c r="AY1879">
        <v>1</v>
      </c>
      <c r="AZ1879">
        <v>0</v>
      </c>
      <c r="BA1879">
        <v>7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C1879">
        <v>0</v>
      </c>
      <c r="DD1879">
        <v>0</v>
      </c>
      <c r="DE1879">
        <v>0</v>
      </c>
      <c r="DF1879">
        <v>0</v>
      </c>
      <c r="DH1879">
        <v>0</v>
      </c>
      <c r="DI1879">
        <v>0</v>
      </c>
    </row>
    <row r="1880" spans="1:113" ht="15" customHeight="1" x14ac:dyDescent="0.25">
      <c r="A1880" t="s">
        <v>8215</v>
      </c>
      <c r="B1880" t="s">
        <v>8216</v>
      </c>
      <c r="C1880" t="s">
        <v>8217</v>
      </c>
      <c r="D1880" t="s">
        <v>1350</v>
      </c>
      <c r="E1880" t="s">
        <v>1307</v>
      </c>
      <c r="F1880" t="s">
        <v>8218</v>
      </c>
      <c r="G1880">
        <v>2025</v>
      </c>
      <c r="H1880" t="s">
        <v>1160</v>
      </c>
      <c r="I1880" t="s">
        <v>107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Y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S1880">
        <v>0</v>
      </c>
      <c r="AU1880">
        <v>0</v>
      </c>
      <c r="AV1880">
        <v>0</v>
      </c>
      <c r="AW1880">
        <v>0</v>
      </c>
      <c r="AX1880">
        <v>0</v>
      </c>
      <c r="AY1880">
        <v>2</v>
      </c>
      <c r="AZ1880">
        <v>0</v>
      </c>
      <c r="BA1880">
        <v>1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C1880">
        <v>0</v>
      </c>
      <c r="DD1880">
        <v>0</v>
      </c>
      <c r="DE1880">
        <v>0</v>
      </c>
      <c r="DF1880">
        <v>0</v>
      </c>
      <c r="DH1880">
        <v>0</v>
      </c>
      <c r="DI1880">
        <v>0</v>
      </c>
    </row>
    <row r="1881" spans="1:113" ht="15" customHeight="1" x14ac:dyDescent="0.25">
      <c r="A1881" t="s">
        <v>8219</v>
      </c>
      <c r="B1881" t="s">
        <v>8220</v>
      </c>
      <c r="C1881" t="s">
        <v>8221</v>
      </c>
      <c r="D1881" t="s">
        <v>1214</v>
      </c>
      <c r="E1881" t="s">
        <v>1169</v>
      </c>
      <c r="F1881" t="s">
        <v>8222</v>
      </c>
      <c r="G1881">
        <v>2025</v>
      </c>
      <c r="H1881" t="s">
        <v>1160</v>
      </c>
      <c r="I1881" t="s">
        <v>107</v>
      </c>
      <c r="J1881">
        <v>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Y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S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2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C1881">
        <v>0</v>
      </c>
      <c r="DD1881">
        <v>0</v>
      </c>
      <c r="DE1881">
        <v>0</v>
      </c>
      <c r="DF1881">
        <v>0</v>
      </c>
      <c r="DH1881">
        <v>0</v>
      </c>
      <c r="DI1881">
        <v>0</v>
      </c>
    </row>
    <row r="1882" spans="1:113" ht="15" customHeight="1" x14ac:dyDescent="0.25">
      <c r="A1882" t="s">
        <v>8223</v>
      </c>
      <c r="B1882" t="s">
        <v>8224</v>
      </c>
      <c r="C1882" t="s">
        <v>8225</v>
      </c>
      <c r="D1882" t="s">
        <v>1219</v>
      </c>
      <c r="E1882" t="s">
        <v>1220</v>
      </c>
      <c r="F1882" t="s">
        <v>8226</v>
      </c>
      <c r="G1882">
        <v>2025</v>
      </c>
      <c r="H1882" t="s">
        <v>1160</v>
      </c>
      <c r="I1882" t="s">
        <v>90</v>
      </c>
      <c r="J1882">
        <v>4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Y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S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4</v>
      </c>
      <c r="BU1882">
        <v>25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C1882">
        <v>0</v>
      </c>
      <c r="DD1882">
        <v>0</v>
      </c>
      <c r="DE1882">
        <v>0</v>
      </c>
      <c r="DF1882">
        <v>0</v>
      </c>
      <c r="DH1882">
        <v>0</v>
      </c>
      <c r="DI1882">
        <v>0</v>
      </c>
    </row>
    <row r="1883" spans="1:113" ht="15" customHeight="1" x14ac:dyDescent="0.25">
      <c r="A1883" t="s">
        <v>8227</v>
      </c>
      <c r="B1883" t="s">
        <v>8228</v>
      </c>
      <c r="C1883" t="s">
        <v>8229</v>
      </c>
      <c r="D1883" t="s">
        <v>1190</v>
      </c>
      <c r="E1883" t="s">
        <v>1190</v>
      </c>
      <c r="F1883" t="s">
        <v>8230</v>
      </c>
      <c r="G1883">
        <v>2025</v>
      </c>
      <c r="H1883" t="s">
        <v>1160</v>
      </c>
      <c r="I1883" t="s">
        <v>126</v>
      </c>
      <c r="J1883">
        <v>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Y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S1883">
        <v>0</v>
      </c>
      <c r="AU1883">
        <v>0</v>
      </c>
      <c r="AV1883">
        <v>0</v>
      </c>
      <c r="AW1883">
        <v>0</v>
      </c>
      <c r="AX1883">
        <v>0</v>
      </c>
      <c r="AY1883">
        <v>3</v>
      </c>
      <c r="AZ1883">
        <v>0</v>
      </c>
      <c r="BA1883">
        <v>3</v>
      </c>
      <c r="BB1883">
        <v>1</v>
      </c>
      <c r="BC1883">
        <v>2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C1883">
        <v>0</v>
      </c>
      <c r="DD1883">
        <v>0</v>
      </c>
      <c r="DE1883">
        <v>0</v>
      </c>
      <c r="DF1883">
        <v>0</v>
      </c>
      <c r="DH1883">
        <v>0</v>
      </c>
      <c r="DI1883">
        <v>0</v>
      </c>
    </row>
    <row r="1884" spans="1:113" ht="15" customHeight="1" x14ac:dyDescent="0.25">
      <c r="A1884" t="s">
        <v>8231</v>
      </c>
      <c r="B1884" t="s">
        <v>8232</v>
      </c>
      <c r="C1884" t="s">
        <v>635</v>
      </c>
      <c r="D1884" t="s">
        <v>10</v>
      </c>
      <c r="E1884" t="s">
        <v>10</v>
      </c>
      <c r="G1884">
        <v>2025</v>
      </c>
      <c r="H1884" t="s">
        <v>1160</v>
      </c>
      <c r="I1884" t="s">
        <v>118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Y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H1884">
        <v>0</v>
      </c>
      <c r="AI1884">
        <v>2</v>
      </c>
      <c r="AJ1884">
        <v>2</v>
      </c>
      <c r="AK1884">
        <v>15</v>
      </c>
      <c r="AL1884">
        <v>0</v>
      </c>
      <c r="AM1884">
        <v>0</v>
      </c>
      <c r="AN1884">
        <v>0</v>
      </c>
      <c r="AO1884">
        <v>15</v>
      </c>
      <c r="AP1884">
        <v>0</v>
      </c>
      <c r="AQ1884">
        <v>0</v>
      </c>
      <c r="AR1884">
        <v>-5.0454120384529198E-2</v>
      </c>
      <c r="AS1884">
        <v>0</v>
      </c>
      <c r="AT1884">
        <v>1</v>
      </c>
      <c r="AU1884">
        <v>4.3478260869565201E-3</v>
      </c>
      <c r="AV1884">
        <v>3.50221807144525E-3</v>
      </c>
      <c r="AW1884">
        <v>8.9732917804464605E-3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2</v>
      </c>
      <c r="BY1884">
        <v>47</v>
      </c>
      <c r="BZ1884">
        <v>0</v>
      </c>
      <c r="CA1884">
        <v>0</v>
      </c>
      <c r="CB1884">
        <v>0</v>
      </c>
      <c r="CC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C1884">
        <v>0</v>
      </c>
      <c r="DD1884">
        <v>0</v>
      </c>
      <c r="DE1884">
        <v>0</v>
      </c>
      <c r="DF1884">
        <v>0</v>
      </c>
      <c r="DH1884">
        <v>1.5</v>
      </c>
      <c r="DI1884">
        <v>3.5</v>
      </c>
    </row>
    <row r="1885" spans="1:113" ht="15" customHeight="1" x14ac:dyDescent="0.25">
      <c r="A1885" t="s">
        <v>8233</v>
      </c>
      <c r="B1885" t="s">
        <v>5017</v>
      </c>
      <c r="C1885" t="s">
        <v>8234</v>
      </c>
      <c r="D1885" t="s">
        <v>1684</v>
      </c>
      <c r="E1885" t="s">
        <v>1307</v>
      </c>
      <c r="F1885" t="s">
        <v>8235</v>
      </c>
      <c r="G1885">
        <v>2025</v>
      </c>
      <c r="H1885" t="s">
        <v>1160</v>
      </c>
      <c r="I1885" t="s">
        <v>101</v>
      </c>
      <c r="J1885">
        <v>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Y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S1885">
        <v>0</v>
      </c>
      <c r="AU1885">
        <v>0</v>
      </c>
      <c r="AV1885">
        <v>0</v>
      </c>
      <c r="AW1885">
        <v>0</v>
      </c>
      <c r="AX1885">
        <v>0</v>
      </c>
      <c r="AY1885">
        <v>10</v>
      </c>
      <c r="AZ1885">
        <v>0</v>
      </c>
      <c r="BA1885">
        <v>4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1</v>
      </c>
      <c r="BU1885">
        <v>7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C1885">
        <v>0</v>
      </c>
      <c r="DD1885">
        <v>0</v>
      </c>
      <c r="DE1885">
        <v>0</v>
      </c>
      <c r="DF1885">
        <v>0</v>
      </c>
      <c r="DH1885">
        <v>0</v>
      </c>
      <c r="DI1885">
        <v>0</v>
      </c>
    </row>
    <row r="1886" spans="1:113" ht="15" customHeight="1" x14ac:dyDescent="0.25">
      <c r="A1886" t="s">
        <v>8236</v>
      </c>
      <c r="B1886" t="s">
        <v>8237</v>
      </c>
      <c r="C1886" t="s">
        <v>8238</v>
      </c>
      <c r="D1886" t="s">
        <v>1350</v>
      </c>
      <c r="E1886" t="s">
        <v>1307</v>
      </c>
      <c r="F1886" t="s">
        <v>8239</v>
      </c>
      <c r="G1886">
        <v>2025</v>
      </c>
      <c r="H1886" t="s">
        <v>1160</v>
      </c>
      <c r="I1886" t="s">
        <v>101</v>
      </c>
      <c r="J1886">
        <v>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Y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S1886">
        <v>0</v>
      </c>
      <c r="AU1886">
        <v>0</v>
      </c>
      <c r="AV1886">
        <v>0</v>
      </c>
      <c r="AW1886">
        <v>0</v>
      </c>
      <c r="AX1886">
        <v>0</v>
      </c>
      <c r="AY1886">
        <v>7</v>
      </c>
      <c r="AZ1886">
        <v>0</v>
      </c>
      <c r="BA1886">
        <v>2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C1886">
        <v>0</v>
      </c>
      <c r="DD1886">
        <v>0</v>
      </c>
      <c r="DE1886">
        <v>0</v>
      </c>
      <c r="DF1886">
        <v>0</v>
      </c>
      <c r="DH1886">
        <v>0</v>
      </c>
      <c r="DI1886">
        <v>0</v>
      </c>
    </row>
    <row r="1887" spans="1:113" ht="15" customHeight="1" x14ac:dyDescent="0.25">
      <c r="A1887" t="s">
        <v>8240</v>
      </c>
      <c r="B1887" t="s">
        <v>4827</v>
      </c>
      <c r="C1887" t="s">
        <v>8241</v>
      </c>
      <c r="D1887" t="s">
        <v>1158</v>
      </c>
      <c r="E1887" t="s">
        <v>1158</v>
      </c>
      <c r="F1887" t="s">
        <v>8242</v>
      </c>
      <c r="G1887">
        <v>2025</v>
      </c>
      <c r="H1887" t="s">
        <v>1160</v>
      </c>
      <c r="I1887" t="s">
        <v>101</v>
      </c>
      <c r="J1887">
        <v>5</v>
      </c>
      <c r="K1887">
        <v>88</v>
      </c>
      <c r="L1887">
        <v>153</v>
      </c>
      <c r="M1887">
        <v>739</v>
      </c>
      <c r="N1887">
        <v>2</v>
      </c>
      <c r="O1887">
        <v>7</v>
      </c>
      <c r="P1887">
        <v>19</v>
      </c>
      <c r="Q1887">
        <v>-125</v>
      </c>
      <c r="R1887">
        <v>2</v>
      </c>
      <c r="S1887">
        <v>1</v>
      </c>
      <c r="T1887">
        <v>867</v>
      </c>
      <c r="U1887">
        <v>417</v>
      </c>
      <c r="V1887">
        <v>35</v>
      </c>
      <c r="W1887">
        <v>-68.343860662025804</v>
      </c>
      <c r="X1887">
        <v>-10.029100304519799</v>
      </c>
      <c r="Y1887">
        <v>1</v>
      </c>
      <c r="Z1887">
        <v>0.852364475201845</v>
      </c>
      <c r="AA1887">
        <v>13</v>
      </c>
      <c r="AB1887">
        <v>49</v>
      </c>
      <c r="AC1887">
        <v>0</v>
      </c>
      <c r="AD1887">
        <v>1</v>
      </c>
      <c r="AE1887">
        <v>0</v>
      </c>
      <c r="AF1887">
        <v>6</v>
      </c>
      <c r="AG1887">
        <v>-4.2883396979887003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S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2</v>
      </c>
      <c r="BP1887">
        <v>3</v>
      </c>
      <c r="BQ1887">
        <v>0</v>
      </c>
      <c r="BR1887">
        <v>0</v>
      </c>
      <c r="BS1887">
        <v>0</v>
      </c>
      <c r="BT1887">
        <v>1</v>
      </c>
      <c r="BU1887">
        <v>10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C1887">
        <v>0</v>
      </c>
      <c r="DD1887">
        <v>0</v>
      </c>
      <c r="DE1887">
        <v>0</v>
      </c>
      <c r="DF1887">
        <v>0</v>
      </c>
      <c r="DH1887">
        <v>28.46</v>
      </c>
      <c r="DI1887">
        <v>28.46</v>
      </c>
    </row>
    <row r="1888" spans="1:113" ht="15" customHeight="1" x14ac:dyDescent="0.25">
      <c r="A1888" t="s">
        <v>8243</v>
      </c>
      <c r="B1888" t="s">
        <v>8244</v>
      </c>
      <c r="C1888" t="s">
        <v>8245</v>
      </c>
      <c r="D1888" t="s">
        <v>1243</v>
      </c>
      <c r="E1888" t="s">
        <v>1190</v>
      </c>
      <c r="F1888" t="s">
        <v>8246</v>
      </c>
      <c r="G1888">
        <v>2025</v>
      </c>
      <c r="H1888" t="s">
        <v>1160</v>
      </c>
      <c r="I1888" t="s">
        <v>101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Y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S1888">
        <v>0</v>
      </c>
      <c r="AU1888">
        <v>0</v>
      </c>
      <c r="AV1888">
        <v>0</v>
      </c>
      <c r="AW1888">
        <v>0</v>
      </c>
      <c r="AX1888">
        <v>0</v>
      </c>
      <c r="AY1888">
        <v>4</v>
      </c>
      <c r="AZ1888">
        <v>1</v>
      </c>
      <c r="BA1888">
        <v>1</v>
      </c>
      <c r="BB1888">
        <v>1</v>
      </c>
      <c r="BC1888">
        <v>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C1888">
        <v>0</v>
      </c>
      <c r="DD1888">
        <v>0</v>
      </c>
      <c r="DE1888">
        <v>0</v>
      </c>
      <c r="DF1888">
        <v>0</v>
      </c>
      <c r="DH1888">
        <v>0</v>
      </c>
      <c r="DI1888">
        <v>0</v>
      </c>
    </row>
    <row r="1889" spans="1:113" ht="15" customHeight="1" x14ac:dyDescent="0.25">
      <c r="A1889" t="s">
        <v>8247</v>
      </c>
      <c r="B1889" t="s">
        <v>8248</v>
      </c>
      <c r="C1889" t="s">
        <v>893</v>
      </c>
      <c r="D1889" t="s">
        <v>10</v>
      </c>
      <c r="E1889" t="s">
        <v>10</v>
      </c>
      <c r="F1889" t="s">
        <v>8249</v>
      </c>
      <c r="G1889">
        <v>2025</v>
      </c>
      <c r="H1889" t="s">
        <v>1160</v>
      </c>
      <c r="I1889" t="s">
        <v>101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Y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H1889">
        <v>0</v>
      </c>
      <c r="AI1889">
        <v>1</v>
      </c>
      <c r="AJ1889">
        <v>1</v>
      </c>
      <c r="AK1889">
        <v>10</v>
      </c>
      <c r="AL1889">
        <v>0</v>
      </c>
      <c r="AM1889">
        <v>0</v>
      </c>
      <c r="AN1889">
        <v>0</v>
      </c>
      <c r="AO1889">
        <v>4</v>
      </c>
      <c r="AP1889">
        <v>6</v>
      </c>
      <c r="AQ1889">
        <v>1</v>
      </c>
      <c r="AR1889">
        <v>2.3122854901449799</v>
      </c>
      <c r="AS1889">
        <v>1</v>
      </c>
      <c r="AT1889">
        <v>2.5</v>
      </c>
      <c r="AU1889">
        <v>2.1186440677966102E-3</v>
      </c>
      <c r="AV1889">
        <v>1.1750881316098701E-3</v>
      </c>
      <c r="AW1889">
        <v>4.0005277938218202E-3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C1889">
        <v>0</v>
      </c>
      <c r="DD1889">
        <v>0</v>
      </c>
      <c r="DE1889">
        <v>0</v>
      </c>
      <c r="DF1889">
        <v>0</v>
      </c>
      <c r="DH1889">
        <v>3</v>
      </c>
      <c r="DI1889">
        <v>4</v>
      </c>
    </row>
    <row r="1890" spans="1:113" ht="15" customHeight="1" x14ac:dyDescent="0.25">
      <c r="A1890" t="s">
        <v>8250</v>
      </c>
      <c r="B1890" t="s">
        <v>8251</v>
      </c>
      <c r="C1890" t="s">
        <v>8252</v>
      </c>
      <c r="D1890" t="s">
        <v>1234</v>
      </c>
      <c r="E1890" t="s">
        <v>1234</v>
      </c>
      <c r="F1890" t="s">
        <v>8253</v>
      </c>
      <c r="G1890">
        <v>2025</v>
      </c>
      <c r="H1890" t="s">
        <v>1160</v>
      </c>
      <c r="I1890" t="s">
        <v>101</v>
      </c>
      <c r="J1890">
        <v>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Y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S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2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C1890">
        <v>0</v>
      </c>
      <c r="DD1890">
        <v>0</v>
      </c>
      <c r="DE1890">
        <v>0</v>
      </c>
      <c r="DF1890">
        <v>0</v>
      </c>
      <c r="DH1890">
        <v>0</v>
      </c>
      <c r="DI1890">
        <v>0</v>
      </c>
    </row>
    <row r="1891" spans="1:113" ht="15" customHeight="1" x14ac:dyDescent="0.25">
      <c r="A1891" t="s">
        <v>8254</v>
      </c>
      <c r="B1891" t="s">
        <v>8255</v>
      </c>
      <c r="C1891" t="s">
        <v>8256</v>
      </c>
      <c r="D1891" t="s">
        <v>1214</v>
      </c>
      <c r="E1891" t="s">
        <v>1169</v>
      </c>
      <c r="F1891" t="s">
        <v>8257</v>
      </c>
      <c r="G1891">
        <v>2025</v>
      </c>
      <c r="H1891" t="s">
        <v>1160</v>
      </c>
      <c r="I1891" t="s">
        <v>121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Y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S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C1891">
        <v>0</v>
      </c>
      <c r="DD1891">
        <v>0</v>
      </c>
      <c r="DE1891">
        <v>0</v>
      </c>
      <c r="DF1891">
        <v>0</v>
      </c>
      <c r="DH1891">
        <v>0</v>
      </c>
      <c r="DI1891">
        <v>0</v>
      </c>
    </row>
    <row r="1892" spans="1:113" ht="15" customHeight="1" x14ac:dyDescent="0.25">
      <c r="A1892" t="s">
        <v>8258</v>
      </c>
      <c r="B1892" t="s">
        <v>8259</v>
      </c>
      <c r="C1892" t="s">
        <v>8260</v>
      </c>
      <c r="D1892" t="s">
        <v>1350</v>
      </c>
      <c r="E1892" t="s">
        <v>1307</v>
      </c>
      <c r="F1892" t="s">
        <v>8261</v>
      </c>
      <c r="G1892">
        <v>2025</v>
      </c>
      <c r="H1892" t="s">
        <v>1160</v>
      </c>
      <c r="I1892" t="s">
        <v>121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Y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S1892">
        <v>0</v>
      </c>
      <c r="AU1892">
        <v>0</v>
      </c>
      <c r="AV1892">
        <v>0</v>
      </c>
      <c r="AW1892">
        <v>0</v>
      </c>
      <c r="AX1892">
        <v>0</v>
      </c>
      <c r="AY1892">
        <v>3</v>
      </c>
      <c r="AZ1892">
        <v>0</v>
      </c>
      <c r="BA1892">
        <v>1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C1892">
        <v>0</v>
      </c>
      <c r="DD1892">
        <v>0</v>
      </c>
      <c r="DE1892">
        <v>0</v>
      </c>
      <c r="DF1892">
        <v>0</v>
      </c>
      <c r="DH1892">
        <v>0</v>
      </c>
      <c r="DI1892">
        <v>0</v>
      </c>
    </row>
    <row r="1893" spans="1:113" ht="15" customHeight="1" x14ac:dyDescent="0.25">
      <c r="A1893" t="s">
        <v>8262</v>
      </c>
      <c r="B1893" t="s">
        <v>8263</v>
      </c>
      <c r="C1893" t="s">
        <v>8264</v>
      </c>
      <c r="D1893" t="s">
        <v>1234</v>
      </c>
      <c r="E1893" t="s">
        <v>1234</v>
      </c>
      <c r="F1893" t="s">
        <v>8265</v>
      </c>
      <c r="G1893">
        <v>2025</v>
      </c>
      <c r="H1893" t="s">
        <v>1160</v>
      </c>
      <c r="I1893" t="s">
        <v>126</v>
      </c>
      <c r="J1893">
        <v>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Y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S1893">
        <v>0</v>
      </c>
      <c r="AU1893">
        <v>0</v>
      </c>
      <c r="AV1893">
        <v>0</v>
      </c>
      <c r="AW1893">
        <v>0</v>
      </c>
      <c r="AX1893">
        <v>0</v>
      </c>
      <c r="AY1893">
        <v>3</v>
      </c>
      <c r="AZ1893">
        <v>0</v>
      </c>
      <c r="BA1893">
        <v>7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1</v>
      </c>
      <c r="BU1893">
        <v>10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C1893">
        <v>0</v>
      </c>
      <c r="DD1893">
        <v>0</v>
      </c>
      <c r="DE1893">
        <v>0</v>
      </c>
      <c r="DF1893">
        <v>0</v>
      </c>
      <c r="DH1893">
        <v>0</v>
      </c>
      <c r="DI1893">
        <v>0</v>
      </c>
    </row>
    <row r="1894" spans="1:113" ht="15" customHeight="1" x14ac:dyDescent="0.25">
      <c r="A1894" t="s">
        <v>8266</v>
      </c>
      <c r="B1894" t="s">
        <v>8267</v>
      </c>
      <c r="C1894" t="s">
        <v>8268</v>
      </c>
      <c r="D1894" t="s">
        <v>1219</v>
      </c>
      <c r="E1894" t="s">
        <v>1220</v>
      </c>
      <c r="F1894" t="s">
        <v>8269</v>
      </c>
      <c r="G1894">
        <v>2025</v>
      </c>
      <c r="H1894" t="s">
        <v>1160</v>
      </c>
      <c r="I1894" t="s">
        <v>126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Y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S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1</v>
      </c>
      <c r="BU1894">
        <v>5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C1894">
        <v>0</v>
      </c>
      <c r="DD1894">
        <v>0</v>
      </c>
      <c r="DE1894">
        <v>0</v>
      </c>
      <c r="DF1894">
        <v>0</v>
      </c>
      <c r="DH1894">
        <v>0</v>
      </c>
      <c r="DI1894">
        <v>0</v>
      </c>
    </row>
    <row r="1895" spans="1:113" ht="15" customHeight="1" x14ac:dyDescent="0.25">
      <c r="A1895" t="s">
        <v>8270</v>
      </c>
      <c r="B1895" t="s">
        <v>3255</v>
      </c>
      <c r="C1895" t="s">
        <v>997</v>
      </c>
      <c r="D1895" t="s">
        <v>431</v>
      </c>
      <c r="E1895" t="s">
        <v>431</v>
      </c>
      <c r="F1895" t="s">
        <v>8271</v>
      </c>
      <c r="G1895">
        <v>2025</v>
      </c>
      <c r="H1895" t="s">
        <v>1160</v>
      </c>
      <c r="I1895" t="s">
        <v>126</v>
      </c>
      <c r="J1895">
        <v>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Y1895">
        <v>0</v>
      </c>
      <c r="AA1895">
        <v>4</v>
      </c>
      <c r="AB1895">
        <v>11</v>
      </c>
      <c r="AC1895">
        <v>0</v>
      </c>
      <c r="AD1895">
        <v>0</v>
      </c>
      <c r="AE1895">
        <v>0</v>
      </c>
      <c r="AF1895">
        <v>0</v>
      </c>
      <c r="AG1895">
        <v>-1.8560136678861501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S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5</v>
      </c>
      <c r="BY1895">
        <v>129</v>
      </c>
      <c r="BZ1895">
        <v>0</v>
      </c>
      <c r="CA1895">
        <v>0</v>
      </c>
      <c r="CB1895">
        <v>0</v>
      </c>
      <c r="CC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C1895">
        <v>0</v>
      </c>
      <c r="DD1895">
        <v>0</v>
      </c>
      <c r="DE1895">
        <v>0</v>
      </c>
      <c r="DF1895">
        <v>0</v>
      </c>
      <c r="DH1895">
        <v>1.1000000000000001</v>
      </c>
      <c r="DI1895">
        <v>1.1000000000000001</v>
      </c>
    </row>
    <row r="1896" spans="1:113" ht="15" customHeight="1" x14ac:dyDescent="0.25">
      <c r="A1896" t="s">
        <v>8272</v>
      </c>
      <c r="B1896" t="s">
        <v>8273</v>
      </c>
      <c r="C1896" t="s">
        <v>858</v>
      </c>
      <c r="D1896" t="s">
        <v>10</v>
      </c>
      <c r="E1896" t="s">
        <v>10</v>
      </c>
      <c r="F1896" t="s">
        <v>8274</v>
      </c>
      <c r="G1896">
        <v>2025</v>
      </c>
      <c r="H1896" t="s">
        <v>1160</v>
      </c>
      <c r="I1896" t="s">
        <v>139</v>
      </c>
      <c r="J1896">
        <v>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Y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S1896">
        <v>0</v>
      </c>
      <c r="AU1896">
        <v>0</v>
      </c>
      <c r="AV1896">
        <v>0</v>
      </c>
      <c r="AW1896">
        <v>0</v>
      </c>
      <c r="AX1896">
        <v>0</v>
      </c>
      <c r="AY1896">
        <v>3</v>
      </c>
      <c r="AZ1896">
        <v>0</v>
      </c>
      <c r="BA1896">
        <v>2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C1896">
        <v>0</v>
      </c>
      <c r="DD1896">
        <v>0</v>
      </c>
      <c r="DE1896">
        <v>0</v>
      </c>
      <c r="DF1896">
        <v>0</v>
      </c>
      <c r="DH1896">
        <v>0</v>
      </c>
      <c r="DI1896">
        <v>0</v>
      </c>
    </row>
    <row r="1897" spans="1:113" ht="15" customHeight="1" x14ac:dyDescent="0.25">
      <c r="A1897" t="s">
        <v>8275</v>
      </c>
      <c r="B1897" t="s">
        <v>8276</v>
      </c>
      <c r="C1897" t="s">
        <v>859</v>
      </c>
      <c r="D1897" t="s">
        <v>10</v>
      </c>
      <c r="E1897" t="s">
        <v>10</v>
      </c>
      <c r="F1897" t="s">
        <v>8277</v>
      </c>
      <c r="G1897">
        <v>2025</v>
      </c>
      <c r="H1897" t="s">
        <v>1160</v>
      </c>
      <c r="I1897" t="s">
        <v>139</v>
      </c>
      <c r="J1897">
        <v>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Y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H1897">
        <v>0</v>
      </c>
      <c r="AI1897">
        <v>2</v>
      </c>
      <c r="AJ1897">
        <v>6</v>
      </c>
      <c r="AK1897">
        <v>25</v>
      </c>
      <c r="AL1897">
        <v>0</v>
      </c>
      <c r="AM1897">
        <v>0</v>
      </c>
      <c r="AN1897">
        <v>0</v>
      </c>
      <c r="AO1897">
        <v>73</v>
      </c>
      <c r="AP1897">
        <v>6</v>
      </c>
      <c r="AQ1897">
        <v>1</v>
      </c>
      <c r="AR1897">
        <v>-5.7445554264704697</v>
      </c>
      <c r="AS1897">
        <v>0</v>
      </c>
      <c r="AT1897">
        <v>0.34246575342465801</v>
      </c>
      <c r="AU1897">
        <v>1.1928429423459201E-2</v>
      </c>
      <c r="AV1897">
        <v>1.6320143080706499E-2</v>
      </c>
      <c r="AW1897">
        <v>2.9316744291683398E-2</v>
      </c>
      <c r="AX1897">
        <v>0</v>
      </c>
      <c r="AY1897">
        <v>1</v>
      </c>
      <c r="AZ1897">
        <v>0</v>
      </c>
      <c r="BA1897">
        <v>4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</v>
      </c>
      <c r="BU1897">
        <v>10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C1897">
        <v>0</v>
      </c>
      <c r="DD1897">
        <v>0</v>
      </c>
      <c r="DE1897">
        <v>0</v>
      </c>
      <c r="DF1897">
        <v>0</v>
      </c>
      <c r="DH1897">
        <v>2.5</v>
      </c>
      <c r="DI1897">
        <v>4.5</v>
      </c>
    </row>
    <row r="1898" spans="1:113" ht="15" customHeight="1" x14ac:dyDescent="0.25">
      <c r="A1898" t="s">
        <v>8278</v>
      </c>
      <c r="B1898" t="s">
        <v>8279</v>
      </c>
      <c r="C1898" t="s">
        <v>8280</v>
      </c>
      <c r="D1898" t="s">
        <v>1234</v>
      </c>
      <c r="E1898" t="s">
        <v>1234</v>
      </c>
      <c r="F1898" t="s">
        <v>8281</v>
      </c>
      <c r="G1898">
        <v>2025</v>
      </c>
      <c r="H1898" t="s">
        <v>1160</v>
      </c>
      <c r="I1898" t="s">
        <v>115</v>
      </c>
      <c r="J1898">
        <v>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Y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S1898">
        <v>0</v>
      </c>
      <c r="AU1898">
        <v>0</v>
      </c>
      <c r="AV1898">
        <v>0</v>
      </c>
      <c r="AW1898">
        <v>0</v>
      </c>
      <c r="AX1898">
        <v>0</v>
      </c>
      <c r="AY1898">
        <v>4</v>
      </c>
      <c r="AZ1898">
        <v>0</v>
      </c>
      <c r="BA1898">
        <v>1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C1898">
        <v>0</v>
      </c>
      <c r="DD1898">
        <v>0</v>
      </c>
      <c r="DE1898">
        <v>0</v>
      </c>
      <c r="DF1898">
        <v>0</v>
      </c>
      <c r="DH1898">
        <v>0</v>
      </c>
      <c r="DI1898">
        <v>0</v>
      </c>
    </row>
    <row r="1899" spans="1:113" ht="15" customHeight="1" x14ac:dyDescent="0.25">
      <c r="A1899" t="s">
        <v>8282</v>
      </c>
      <c r="B1899" t="s">
        <v>8283</v>
      </c>
      <c r="C1899" t="s">
        <v>8284</v>
      </c>
      <c r="D1899" t="s">
        <v>1297</v>
      </c>
      <c r="E1899" t="s">
        <v>1220</v>
      </c>
      <c r="F1899" t="s">
        <v>8285</v>
      </c>
      <c r="G1899">
        <v>2025</v>
      </c>
      <c r="H1899" t="s">
        <v>1160</v>
      </c>
      <c r="I1899" t="s">
        <v>138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Y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S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1</v>
      </c>
      <c r="BU1899">
        <v>5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C1899">
        <v>0</v>
      </c>
      <c r="DD1899">
        <v>0</v>
      </c>
      <c r="DE1899">
        <v>0</v>
      </c>
      <c r="DF1899">
        <v>0</v>
      </c>
      <c r="DH1899">
        <v>0</v>
      </c>
      <c r="DI1899">
        <v>0</v>
      </c>
    </row>
    <row r="1900" spans="1:113" ht="15" customHeight="1" x14ac:dyDescent="0.25">
      <c r="A1900" t="s">
        <v>8286</v>
      </c>
      <c r="B1900" t="s">
        <v>8287</v>
      </c>
      <c r="C1900" t="s">
        <v>8288</v>
      </c>
      <c r="D1900" t="s">
        <v>1234</v>
      </c>
      <c r="E1900" t="s">
        <v>1234</v>
      </c>
      <c r="F1900" t="s">
        <v>8289</v>
      </c>
      <c r="G1900">
        <v>2025</v>
      </c>
      <c r="H1900" t="s">
        <v>1160</v>
      </c>
      <c r="I1900" t="s">
        <v>131</v>
      </c>
      <c r="J1900">
        <v>12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Y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S1900">
        <v>0</v>
      </c>
      <c r="AU1900">
        <v>0</v>
      </c>
      <c r="AV1900">
        <v>0</v>
      </c>
      <c r="AW1900">
        <v>0</v>
      </c>
      <c r="AX1900">
        <v>0</v>
      </c>
      <c r="AY1900">
        <v>11</v>
      </c>
      <c r="AZ1900">
        <v>0</v>
      </c>
      <c r="BA1900">
        <v>10</v>
      </c>
      <c r="BB1900">
        <v>1</v>
      </c>
      <c r="BC1900">
        <v>1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2</v>
      </c>
      <c r="BU1900">
        <v>25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C1900">
        <v>0</v>
      </c>
      <c r="DD1900">
        <v>0</v>
      </c>
      <c r="DE1900">
        <v>0</v>
      </c>
      <c r="DF1900">
        <v>0</v>
      </c>
      <c r="DH1900">
        <v>0</v>
      </c>
      <c r="DI1900">
        <v>0</v>
      </c>
    </row>
    <row r="1901" spans="1:113" ht="15" customHeight="1" x14ac:dyDescent="0.25">
      <c r="A1901" t="s">
        <v>8290</v>
      </c>
      <c r="B1901" t="s">
        <v>8291</v>
      </c>
      <c r="C1901" t="s">
        <v>568</v>
      </c>
      <c r="D1901" t="s">
        <v>431</v>
      </c>
      <c r="E1901" t="s">
        <v>431</v>
      </c>
      <c r="F1901" t="s">
        <v>8292</v>
      </c>
      <c r="G1901">
        <v>2025</v>
      </c>
      <c r="H1901" t="s">
        <v>1160</v>
      </c>
      <c r="I1901" t="s">
        <v>109</v>
      </c>
      <c r="J1901">
        <v>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Y1901">
        <v>0</v>
      </c>
      <c r="AA1901">
        <v>27</v>
      </c>
      <c r="AB1901">
        <v>92</v>
      </c>
      <c r="AC1901">
        <v>1</v>
      </c>
      <c r="AD1901">
        <v>0</v>
      </c>
      <c r="AE1901">
        <v>0</v>
      </c>
      <c r="AF1901">
        <v>7</v>
      </c>
      <c r="AG1901">
        <v>0.90084898902568999</v>
      </c>
      <c r="AH1901">
        <v>0</v>
      </c>
      <c r="AI1901">
        <v>3</v>
      </c>
      <c r="AJ1901">
        <v>4</v>
      </c>
      <c r="AK1901">
        <v>21</v>
      </c>
      <c r="AL1901">
        <v>0</v>
      </c>
      <c r="AM1901">
        <v>0</v>
      </c>
      <c r="AN1901">
        <v>0</v>
      </c>
      <c r="AO1901">
        <v>14</v>
      </c>
      <c r="AP1901">
        <v>14</v>
      </c>
      <c r="AQ1901">
        <v>0</v>
      </c>
      <c r="AR1901">
        <v>1.1902074597310299</v>
      </c>
      <c r="AS1901">
        <v>0</v>
      </c>
      <c r="AT1901">
        <v>1.5</v>
      </c>
      <c r="AU1901">
        <v>7.6628352490421504E-3</v>
      </c>
      <c r="AV1901">
        <v>3.6988110964332899E-3</v>
      </c>
      <c r="AW1901">
        <v>1.40834206410665E-2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C1901">
        <v>0</v>
      </c>
      <c r="DD1901">
        <v>0</v>
      </c>
      <c r="DE1901">
        <v>0</v>
      </c>
      <c r="DF1901">
        <v>0</v>
      </c>
      <c r="DH1901">
        <v>17.3</v>
      </c>
      <c r="DI1901">
        <v>20.3</v>
      </c>
    </row>
    <row r="1902" spans="1:113" ht="15" customHeight="1" x14ac:dyDescent="0.25">
      <c r="A1902" t="s">
        <v>8293</v>
      </c>
      <c r="B1902" t="s">
        <v>8294</v>
      </c>
      <c r="C1902" t="s">
        <v>8295</v>
      </c>
      <c r="D1902" t="s">
        <v>1350</v>
      </c>
      <c r="E1902" t="s">
        <v>1307</v>
      </c>
      <c r="F1902" t="s">
        <v>8296</v>
      </c>
      <c r="G1902">
        <v>2025</v>
      </c>
      <c r="H1902" t="s">
        <v>1160</v>
      </c>
      <c r="I1902" t="s">
        <v>131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Y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S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0</v>
      </c>
      <c r="BA1902">
        <v>1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C1902">
        <v>0</v>
      </c>
      <c r="DD1902">
        <v>0</v>
      </c>
      <c r="DE1902">
        <v>0</v>
      </c>
      <c r="DF1902">
        <v>0</v>
      </c>
      <c r="DH1902">
        <v>0</v>
      </c>
      <c r="DI1902">
        <v>0</v>
      </c>
    </row>
    <row r="1903" spans="1:113" ht="15" customHeight="1" x14ac:dyDescent="0.25">
      <c r="A1903" t="s">
        <v>8297</v>
      </c>
      <c r="B1903" t="s">
        <v>8298</v>
      </c>
      <c r="C1903" t="s">
        <v>670</v>
      </c>
      <c r="D1903" t="s">
        <v>431</v>
      </c>
      <c r="E1903" t="s">
        <v>431</v>
      </c>
      <c r="F1903" t="s">
        <v>8299</v>
      </c>
      <c r="G1903">
        <v>2025</v>
      </c>
      <c r="H1903" t="s">
        <v>1160</v>
      </c>
      <c r="I1903" t="s">
        <v>124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Y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-0.795169524395127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S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C1903">
        <v>0</v>
      </c>
      <c r="DD1903">
        <v>0</v>
      </c>
      <c r="DE1903">
        <v>0</v>
      </c>
      <c r="DF1903">
        <v>0</v>
      </c>
      <c r="DH1903">
        <v>0</v>
      </c>
      <c r="DI1903">
        <v>0</v>
      </c>
    </row>
    <row r="1904" spans="1:113" ht="15" customHeight="1" x14ac:dyDescent="0.25">
      <c r="A1904" t="s">
        <v>8300</v>
      </c>
      <c r="B1904" t="s">
        <v>8301</v>
      </c>
      <c r="C1904" t="s">
        <v>772</v>
      </c>
      <c r="D1904" t="s">
        <v>439</v>
      </c>
      <c r="E1904" t="s">
        <v>439</v>
      </c>
      <c r="F1904" t="s">
        <v>8302</v>
      </c>
      <c r="G1904">
        <v>2025</v>
      </c>
      <c r="H1904" t="s">
        <v>1160</v>
      </c>
      <c r="I1904" t="s">
        <v>89</v>
      </c>
      <c r="J1904">
        <v>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Y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H1904">
        <v>0</v>
      </c>
      <c r="AI1904">
        <v>1</v>
      </c>
      <c r="AJ1904">
        <v>1</v>
      </c>
      <c r="AK1904">
        <v>3</v>
      </c>
      <c r="AL1904">
        <v>0</v>
      </c>
      <c r="AM1904">
        <v>0</v>
      </c>
      <c r="AN1904">
        <v>0</v>
      </c>
      <c r="AO1904">
        <v>-3</v>
      </c>
      <c r="AP1904">
        <v>6</v>
      </c>
      <c r="AQ1904">
        <v>0</v>
      </c>
      <c r="AR1904">
        <v>-0.223862133920193</v>
      </c>
      <c r="AS1904">
        <v>0</v>
      </c>
      <c r="AT1904">
        <v>0</v>
      </c>
      <c r="AU1904">
        <v>2.0242914979757098E-3</v>
      </c>
      <c r="AV1904">
        <v>-9.3516209476309203E-4</v>
      </c>
      <c r="AW1904">
        <v>2.3818237806294E-3</v>
      </c>
      <c r="AX1904">
        <v>0</v>
      </c>
      <c r="AY1904">
        <v>2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C1904">
        <v>0</v>
      </c>
      <c r="DD1904">
        <v>0</v>
      </c>
      <c r="DE1904">
        <v>0</v>
      </c>
      <c r="DF1904">
        <v>0</v>
      </c>
      <c r="DH1904">
        <v>0.3</v>
      </c>
      <c r="DI1904">
        <v>1.3</v>
      </c>
    </row>
    <row r="1905" spans="1:113" ht="15" customHeight="1" x14ac:dyDescent="0.25">
      <c r="A1905" t="s">
        <v>8303</v>
      </c>
      <c r="B1905" t="s">
        <v>8304</v>
      </c>
      <c r="C1905" t="s">
        <v>8305</v>
      </c>
      <c r="D1905" t="s">
        <v>1350</v>
      </c>
      <c r="E1905" t="s">
        <v>1307</v>
      </c>
      <c r="F1905" t="s">
        <v>8306</v>
      </c>
      <c r="G1905">
        <v>2025</v>
      </c>
      <c r="H1905" t="s">
        <v>1160</v>
      </c>
      <c r="I1905" t="s">
        <v>89</v>
      </c>
      <c r="J1905">
        <v>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Y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S1905">
        <v>0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0</v>
      </c>
      <c r="BA1905">
        <v>1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1</v>
      </c>
      <c r="BH1905">
        <v>0</v>
      </c>
      <c r="BI1905">
        <v>0</v>
      </c>
      <c r="BJ1905">
        <v>1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C1905">
        <v>0</v>
      </c>
      <c r="DD1905">
        <v>0</v>
      </c>
      <c r="DE1905">
        <v>0</v>
      </c>
      <c r="DF1905">
        <v>0</v>
      </c>
      <c r="DH1905">
        <v>0</v>
      </c>
      <c r="DI1905">
        <v>0</v>
      </c>
    </row>
    <row r="1906" spans="1:113" ht="15" customHeight="1" x14ac:dyDescent="0.25">
      <c r="A1906" t="s">
        <v>8307</v>
      </c>
      <c r="B1906" t="s">
        <v>8308</v>
      </c>
      <c r="C1906" t="s">
        <v>8309</v>
      </c>
      <c r="D1906" t="s">
        <v>1189</v>
      </c>
      <c r="E1906" t="s">
        <v>1190</v>
      </c>
      <c r="F1906" t="s">
        <v>8310</v>
      </c>
      <c r="G1906">
        <v>2025</v>
      </c>
      <c r="H1906" t="s">
        <v>1160</v>
      </c>
      <c r="I1906" t="s">
        <v>137</v>
      </c>
      <c r="J1906">
        <v>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Y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S1906">
        <v>0</v>
      </c>
      <c r="AU1906">
        <v>0</v>
      </c>
      <c r="AV1906">
        <v>0</v>
      </c>
      <c r="AW1906">
        <v>0</v>
      </c>
      <c r="AX1906">
        <v>0</v>
      </c>
      <c r="AY1906">
        <v>9</v>
      </c>
      <c r="AZ1906">
        <v>0</v>
      </c>
      <c r="BA1906">
        <v>3</v>
      </c>
      <c r="BB1906">
        <v>2</v>
      </c>
      <c r="BC1906">
        <v>4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2</v>
      </c>
      <c r="BU1906">
        <v>20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C1906">
        <v>0</v>
      </c>
      <c r="DD1906">
        <v>0</v>
      </c>
      <c r="DE1906">
        <v>0</v>
      </c>
      <c r="DF1906">
        <v>0</v>
      </c>
      <c r="DH1906">
        <v>0</v>
      </c>
      <c r="DI1906">
        <v>0</v>
      </c>
    </row>
    <row r="1907" spans="1:113" ht="15" customHeight="1" x14ac:dyDescent="0.25">
      <c r="A1907" t="s">
        <v>8311</v>
      </c>
      <c r="B1907" t="s">
        <v>8312</v>
      </c>
      <c r="C1907" t="s">
        <v>8313</v>
      </c>
      <c r="D1907" t="s">
        <v>1158</v>
      </c>
      <c r="E1907" t="s">
        <v>1158</v>
      </c>
      <c r="F1907" t="s">
        <v>8314</v>
      </c>
      <c r="G1907">
        <v>2025</v>
      </c>
      <c r="H1907" t="s">
        <v>1160</v>
      </c>
      <c r="I1907" t="s">
        <v>137</v>
      </c>
      <c r="J1907">
        <v>7</v>
      </c>
      <c r="K1907">
        <v>47</v>
      </c>
      <c r="L1907">
        <v>71</v>
      </c>
      <c r="M1907">
        <v>328</v>
      </c>
      <c r="N1907">
        <v>0</v>
      </c>
      <c r="O1907">
        <v>4</v>
      </c>
      <c r="P1907">
        <v>14</v>
      </c>
      <c r="Q1907">
        <v>-100</v>
      </c>
      <c r="R1907">
        <v>2</v>
      </c>
      <c r="S1907">
        <v>1</v>
      </c>
      <c r="T1907">
        <v>312</v>
      </c>
      <c r="U1907">
        <v>249</v>
      </c>
      <c r="V1907">
        <v>18</v>
      </c>
      <c r="W1907">
        <v>-56.524260006414302</v>
      </c>
      <c r="X1907">
        <v>-3.52842505363857</v>
      </c>
      <c r="Y1907">
        <v>0</v>
      </c>
      <c r="Z1907">
        <v>1.05128205128205</v>
      </c>
      <c r="AA1907">
        <v>7</v>
      </c>
      <c r="AB1907">
        <v>11</v>
      </c>
      <c r="AC1907">
        <v>0</v>
      </c>
      <c r="AD1907">
        <v>0</v>
      </c>
      <c r="AE1907">
        <v>0</v>
      </c>
      <c r="AF1907">
        <v>1</v>
      </c>
      <c r="AG1907">
        <v>-0.12323843681952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S1907">
        <v>0</v>
      </c>
      <c r="AU1907">
        <v>0</v>
      </c>
      <c r="AV1907">
        <v>0</v>
      </c>
      <c r="AW1907">
        <v>0</v>
      </c>
      <c r="AX1907">
        <v>0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C1907">
        <v>0</v>
      </c>
      <c r="DD1907">
        <v>0</v>
      </c>
      <c r="DE1907">
        <v>0</v>
      </c>
      <c r="DF1907">
        <v>0</v>
      </c>
      <c r="DH1907">
        <v>4.22</v>
      </c>
      <c r="DI1907">
        <v>4.22</v>
      </c>
    </row>
    <row r="1908" spans="1:113" ht="15" customHeight="1" x14ac:dyDescent="0.25">
      <c r="A1908" t="s">
        <v>8315</v>
      </c>
      <c r="B1908" t="s">
        <v>8316</v>
      </c>
      <c r="C1908" t="s">
        <v>8317</v>
      </c>
      <c r="D1908" t="s">
        <v>1234</v>
      </c>
      <c r="E1908" t="s">
        <v>1234</v>
      </c>
      <c r="F1908" t="s">
        <v>8318</v>
      </c>
      <c r="G1908">
        <v>2025</v>
      </c>
      <c r="H1908" t="s">
        <v>1160</v>
      </c>
      <c r="I1908" t="s">
        <v>137</v>
      </c>
      <c r="J1908">
        <v>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Y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S1908">
        <v>0</v>
      </c>
      <c r="AU1908">
        <v>0</v>
      </c>
      <c r="AV1908">
        <v>0</v>
      </c>
      <c r="AW1908">
        <v>0</v>
      </c>
      <c r="AX1908">
        <v>0</v>
      </c>
      <c r="AY1908">
        <v>6</v>
      </c>
      <c r="AZ1908">
        <v>0</v>
      </c>
      <c r="BA1908">
        <v>2</v>
      </c>
      <c r="BB1908">
        <v>1</v>
      </c>
      <c r="BC1908">
        <v>2</v>
      </c>
      <c r="BD1908">
        <v>0</v>
      </c>
      <c r="BE1908">
        <v>1</v>
      </c>
      <c r="BF1908">
        <v>2</v>
      </c>
      <c r="BG1908">
        <v>1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C1908">
        <v>0</v>
      </c>
      <c r="DD1908">
        <v>0</v>
      </c>
      <c r="DE1908">
        <v>0</v>
      </c>
      <c r="DF1908">
        <v>0</v>
      </c>
      <c r="DH1908">
        <v>0</v>
      </c>
      <c r="DI1908">
        <v>0</v>
      </c>
    </row>
    <row r="1909" spans="1:113" ht="15" customHeight="1" x14ac:dyDescent="0.25">
      <c r="A1909" t="s">
        <v>8319</v>
      </c>
      <c r="B1909" t="s">
        <v>8320</v>
      </c>
      <c r="C1909" t="s">
        <v>8321</v>
      </c>
      <c r="D1909" t="s">
        <v>1297</v>
      </c>
      <c r="E1909" t="s">
        <v>1220</v>
      </c>
      <c r="F1909" t="s">
        <v>8322</v>
      </c>
      <c r="G1909">
        <v>2025</v>
      </c>
      <c r="H1909" t="s">
        <v>1160</v>
      </c>
      <c r="I1909" t="s">
        <v>137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Y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S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3</v>
      </c>
      <c r="BU1909">
        <v>20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C1909">
        <v>0</v>
      </c>
      <c r="DD1909">
        <v>0</v>
      </c>
      <c r="DE1909">
        <v>0</v>
      </c>
      <c r="DF1909">
        <v>0</v>
      </c>
      <c r="DH1909">
        <v>0</v>
      </c>
      <c r="DI1909">
        <v>0</v>
      </c>
    </row>
    <row r="1910" spans="1:113" ht="15" customHeight="1" x14ac:dyDescent="0.25">
      <c r="A1910" t="s">
        <v>8323</v>
      </c>
      <c r="B1910" t="s">
        <v>8324</v>
      </c>
      <c r="C1910" t="s">
        <v>8325</v>
      </c>
      <c r="D1910" t="s">
        <v>1234</v>
      </c>
      <c r="E1910" t="s">
        <v>1234</v>
      </c>
      <c r="F1910" t="s">
        <v>8326</v>
      </c>
      <c r="G1910">
        <v>2025</v>
      </c>
      <c r="H1910" t="s">
        <v>1160</v>
      </c>
      <c r="I1910" t="s">
        <v>137</v>
      </c>
      <c r="J1910">
        <v>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Y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S1910">
        <v>0</v>
      </c>
      <c r="AU1910">
        <v>0</v>
      </c>
      <c r="AV1910">
        <v>0</v>
      </c>
      <c r="AW1910">
        <v>0</v>
      </c>
      <c r="AX1910">
        <v>0</v>
      </c>
      <c r="AY1910">
        <v>4</v>
      </c>
      <c r="AZ1910">
        <v>0</v>
      </c>
      <c r="BA1910">
        <v>3</v>
      </c>
      <c r="BB1910">
        <v>1</v>
      </c>
      <c r="BC1910">
        <v>11</v>
      </c>
      <c r="BD1910">
        <v>0</v>
      </c>
      <c r="BE1910">
        <v>1</v>
      </c>
      <c r="BF1910">
        <v>11</v>
      </c>
      <c r="BG1910">
        <v>1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C1910">
        <v>0</v>
      </c>
      <c r="DD1910">
        <v>0</v>
      </c>
      <c r="DE1910">
        <v>0</v>
      </c>
      <c r="DF1910">
        <v>0</v>
      </c>
      <c r="DH1910">
        <v>0</v>
      </c>
      <c r="DI1910">
        <v>0</v>
      </c>
    </row>
    <row r="1911" spans="1:113" ht="15" customHeight="1" x14ac:dyDescent="0.25">
      <c r="A1911" t="s">
        <v>8327</v>
      </c>
      <c r="B1911" t="s">
        <v>8328</v>
      </c>
      <c r="C1911" t="s">
        <v>8329</v>
      </c>
      <c r="D1911" t="s">
        <v>1234</v>
      </c>
      <c r="E1911" t="s">
        <v>1234</v>
      </c>
      <c r="F1911" t="s">
        <v>8330</v>
      </c>
      <c r="G1911">
        <v>2025</v>
      </c>
      <c r="H1911" t="s">
        <v>1160</v>
      </c>
      <c r="I1911" t="s">
        <v>142</v>
      </c>
      <c r="J1911">
        <v>10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Y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S1911">
        <v>0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0</v>
      </c>
      <c r="BA1911">
        <v>4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1</v>
      </c>
      <c r="BR1911">
        <v>1</v>
      </c>
      <c r="BS1911">
        <v>0</v>
      </c>
      <c r="BT1911">
        <v>3</v>
      </c>
      <c r="BU1911">
        <v>15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C1911">
        <v>0</v>
      </c>
      <c r="DD1911">
        <v>0</v>
      </c>
      <c r="DE1911">
        <v>0</v>
      </c>
      <c r="DF1911">
        <v>0</v>
      </c>
      <c r="DH1911">
        <v>0</v>
      </c>
      <c r="DI1911">
        <v>0</v>
      </c>
    </row>
    <row r="1912" spans="1:113" ht="15" customHeight="1" x14ac:dyDescent="0.25">
      <c r="A1912" t="s">
        <v>8331</v>
      </c>
      <c r="B1912" t="s">
        <v>8332</v>
      </c>
      <c r="C1912" t="s">
        <v>809</v>
      </c>
      <c r="D1912" t="s">
        <v>10</v>
      </c>
      <c r="E1912" t="s">
        <v>10</v>
      </c>
      <c r="F1912" t="s">
        <v>8333</v>
      </c>
      <c r="G1912">
        <v>2025</v>
      </c>
      <c r="H1912" t="s">
        <v>1160</v>
      </c>
      <c r="I1912" t="s">
        <v>137</v>
      </c>
      <c r="J1912">
        <v>16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Y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S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2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30</v>
      </c>
      <c r="BW1912">
        <v>298</v>
      </c>
      <c r="BX1912">
        <v>57</v>
      </c>
      <c r="BY1912">
        <v>1479</v>
      </c>
      <c r="BZ1912">
        <v>0</v>
      </c>
      <c r="CA1912">
        <v>0</v>
      </c>
      <c r="CB1912">
        <v>0</v>
      </c>
      <c r="CC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C1912">
        <v>0</v>
      </c>
      <c r="DD1912">
        <v>0</v>
      </c>
      <c r="DE1912">
        <v>0</v>
      </c>
      <c r="DF1912">
        <v>0</v>
      </c>
      <c r="DH1912">
        <v>0</v>
      </c>
      <c r="DI1912">
        <v>0</v>
      </c>
    </row>
    <row r="1913" spans="1:113" ht="15" customHeight="1" x14ac:dyDescent="0.25">
      <c r="A1913" t="s">
        <v>8334</v>
      </c>
      <c r="B1913" t="s">
        <v>8335</v>
      </c>
      <c r="C1913" t="s">
        <v>811</v>
      </c>
      <c r="D1913" t="s">
        <v>439</v>
      </c>
      <c r="E1913" t="s">
        <v>439</v>
      </c>
      <c r="F1913" t="s">
        <v>8336</v>
      </c>
      <c r="G1913">
        <v>2025</v>
      </c>
      <c r="H1913" t="s">
        <v>1160</v>
      </c>
      <c r="I1913" t="s">
        <v>137</v>
      </c>
      <c r="J1913">
        <v>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Y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H1913">
        <v>0</v>
      </c>
      <c r="AI1913">
        <v>2</v>
      </c>
      <c r="AJ1913">
        <v>3</v>
      </c>
      <c r="AK1913">
        <v>14</v>
      </c>
      <c r="AL1913">
        <v>0</v>
      </c>
      <c r="AM1913">
        <v>0</v>
      </c>
      <c r="AN1913">
        <v>0</v>
      </c>
      <c r="AO1913">
        <v>11</v>
      </c>
      <c r="AP1913">
        <v>9</v>
      </c>
      <c r="AQ1913">
        <v>1</v>
      </c>
      <c r="AR1913">
        <v>0.347642158623785</v>
      </c>
      <c r="AS1913">
        <v>0</v>
      </c>
      <c r="AT1913">
        <v>1.27272727272727</v>
      </c>
      <c r="AU1913">
        <v>6.41025641025641E-3</v>
      </c>
      <c r="AV1913">
        <v>2.92786797977109E-3</v>
      </c>
      <c r="AW1913">
        <v>1.16648922012244E-2</v>
      </c>
      <c r="AX1913">
        <v>0</v>
      </c>
      <c r="AY1913">
        <v>1</v>
      </c>
      <c r="AZ1913">
        <v>0</v>
      </c>
      <c r="BA1913">
        <v>1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1</v>
      </c>
      <c r="BP1913">
        <v>1</v>
      </c>
      <c r="BQ1913">
        <v>0</v>
      </c>
      <c r="BR1913">
        <v>0</v>
      </c>
      <c r="BS1913">
        <v>0</v>
      </c>
      <c r="BT1913">
        <v>2</v>
      </c>
      <c r="BU1913">
        <v>10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C1913">
        <v>0</v>
      </c>
      <c r="DD1913">
        <v>0</v>
      </c>
      <c r="DE1913">
        <v>0</v>
      </c>
      <c r="DF1913">
        <v>0</v>
      </c>
      <c r="DH1913">
        <v>1.4</v>
      </c>
      <c r="DI1913">
        <v>3.4</v>
      </c>
    </row>
    <row r="1914" spans="1:113" ht="15" customHeight="1" x14ac:dyDescent="0.25">
      <c r="A1914" t="s">
        <v>8337</v>
      </c>
      <c r="B1914" t="s">
        <v>8338</v>
      </c>
      <c r="C1914" t="s">
        <v>1012</v>
      </c>
      <c r="D1914" t="s">
        <v>10</v>
      </c>
      <c r="E1914" t="s">
        <v>10</v>
      </c>
      <c r="F1914" t="s">
        <v>8339</v>
      </c>
      <c r="G1914">
        <v>2025</v>
      </c>
      <c r="H1914" t="s">
        <v>1160</v>
      </c>
      <c r="I1914" t="s">
        <v>142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Y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H1914">
        <v>0</v>
      </c>
      <c r="AI1914">
        <v>3</v>
      </c>
      <c r="AJ1914">
        <v>7</v>
      </c>
      <c r="AK1914">
        <v>41</v>
      </c>
      <c r="AL1914">
        <v>0</v>
      </c>
      <c r="AM1914">
        <v>0</v>
      </c>
      <c r="AN1914">
        <v>0</v>
      </c>
      <c r="AO1914">
        <v>77</v>
      </c>
      <c r="AP1914">
        <v>9</v>
      </c>
      <c r="AQ1914">
        <v>3</v>
      </c>
      <c r="AR1914">
        <v>3.0452236733108302</v>
      </c>
      <c r="AS1914">
        <v>0</v>
      </c>
      <c r="AT1914">
        <v>0.53246753246753198</v>
      </c>
      <c r="AU1914">
        <v>1.32075471698113E-2</v>
      </c>
      <c r="AV1914">
        <v>1.9182859990034901E-2</v>
      </c>
      <c r="AW1914">
        <v>3.3239322747741398E-2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C1914">
        <v>0</v>
      </c>
      <c r="DD1914">
        <v>0</v>
      </c>
      <c r="DE1914">
        <v>0</v>
      </c>
      <c r="DF1914">
        <v>0</v>
      </c>
      <c r="DH1914">
        <v>4.0999999999999996</v>
      </c>
      <c r="DI1914">
        <v>7.1</v>
      </c>
    </row>
    <row r="1915" spans="1:113" ht="15" customHeight="1" x14ac:dyDescent="0.25">
      <c r="A1915" t="s">
        <v>8340</v>
      </c>
      <c r="B1915" t="s">
        <v>8341</v>
      </c>
      <c r="C1915" t="s">
        <v>8342</v>
      </c>
      <c r="D1915" t="s">
        <v>1684</v>
      </c>
      <c r="E1915" t="s">
        <v>1307</v>
      </c>
      <c r="F1915" t="s">
        <v>8343</v>
      </c>
      <c r="G1915">
        <v>2025</v>
      </c>
      <c r="H1915" t="s">
        <v>1160</v>
      </c>
      <c r="I1915" t="s">
        <v>103</v>
      </c>
      <c r="J1915">
        <v>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Y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S1915">
        <v>0</v>
      </c>
      <c r="AU1915">
        <v>0</v>
      </c>
      <c r="AV1915">
        <v>0</v>
      </c>
      <c r="AW1915">
        <v>0</v>
      </c>
      <c r="AX1915">
        <v>0</v>
      </c>
      <c r="AY1915">
        <v>2</v>
      </c>
      <c r="AZ1915">
        <v>0</v>
      </c>
      <c r="BA1915">
        <v>1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1</v>
      </c>
      <c r="BU1915">
        <v>10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C1915">
        <v>0</v>
      </c>
      <c r="DD1915">
        <v>0</v>
      </c>
      <c r="DE1915">
        <v>0</v>
      </c>
      <c r="DF1915">
        <v>0</v>
      </c>
      <c r="DH1915">
        <v>0</v>
      </c>
      <c r="DI1915">
        <v>0</v>
      </c>
    </row>
    <row r="1916" spans="1:113" ht="15" customHeight="1" x14ac:dyDescent="0.25">
      <c r="A1916" t="s">
        <v>8344</v>
      </c>
      <c r="B1916" t="s">
        <v>8345</v>
      </c>
      <c r="C1916" t="s">
        <v>8346</v>
      </c>
      <c r="D1916" t="s">
        <v>1168</v>
      </c>
      <c r="E1916" t="s">
        <v>1169</v>
      </c>
      <c r="F1916" t="s">
        <v>8347</v>
      </c>
      <c r="G1916">
        <v>2025</v>
      </c>
      <c r="H1916" t="s">
        <v>1160</v>
      </c>
      <c r="I1916" t="s">
        <v>139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Y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S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8</v>
      </c>
      <c r="CA1916">
        <v>8</v>
      </c>
      <c r="CB1916">
        <v>0</v>
      </c>
      <c r="CC1916">
        <v>0</v>
      </c>
      <c r="CD1916">
        <v>45</v>
      </c>
      <c r="CE1916">
        <v>1</v>
      </c>
      <c r="CF1916">
        <v>0</v>
      </c>
      <c r="CG1916">
        <v>3</v>
      </c>
      <c r="CH1916">
        <v>4</v>
      </c>
      <c r="CI1916">
        <v>1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 t="s">
        <v>8348</v>
      </c>
      <c r="CU1916">
        <v>254</v>
      </c>
      <c r="CV1916">
        <v>0</v>
      </c>
      <c r="CW1916">
        <v>0</v>
      </c>
      <c r="CX1916">
        <v>7</v>
      </c>
      <c r="CY1916">
        <v>7</v>
      </c>
      <c r="CZ1916">
        <v>0</v>
      </c>
      <c r="DA1916">
        <v>0</v>
      </c>
      <c r="DB1916">
        <v>1</v>
      </c>
      <c r="DC1916">
        <v>0</v>
      </c>
      <c r="DD1916">
        <v>0</v>
      </c>
      <c r="DE1916">
        <v>0</v>
      </c>
      <c r="DF1916">
        <v>0</v>
      </c>
      <c r="DH1916">
        <v>0</v>
      </c>
      <c r="DI1916">
        <v>0</v>
      </c>
    </row>
    <row r="1917" spans="1:113" ht="15" customHeight="1" x14ac:dyDescent="0.25">
      <c r="A1917" t="s">
        <v>8349</v>
      </c>
      <c r="B1917" t="s">
        <v>5494</v>
      </c>
      <c r="C1917" t="s">
        <v>555</v>
      </c>
      <c r="D1917" t="s">
        <v>10</v>
      </c>
      <c r="E1917" t="s">
        <v>10</v>
      </c>
      <c r="F1917" t="s">
        <v>8350</v>
      </c>
      <c r="G1917">
        <v>2025</v>
      </c>
      <c r="H1917" t="s">
        <v>1160</v>
      </c>
      <c r="I1917" t="s">
        <v>107</v>
      </c>
      <c r="J1917">
        <v>11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Y1917">
        <v>0</v>
      </c>
      <c r="AA1917">
        <v>2</v>
      </c>
      <c r="AB1917">
        <v>10</v>
      </c>
      <c r="AC1917">
        <v>0</v>
      </c>
      <c r="AD1917">
        <v>0</v>
      </c>
      <c r="AE1917">
        <v>0</v>
      </c>
      <c r="AF1917">
        <v>0</v>
      </c>
      <c r="AG1917">
        <v>-0.55785852851113304</v>
      </c>
      <c r="AH1917">
        <v>0</v>
      </c>
      <c r="AI1917">
        <v>1</v>
      </c>
      <c r="AJ1917">
        <v>1</v>
      </c>
      <c r="AK1917">
        <v>5</v>
      </c>
      <c r="AL1917">
        <v>0</v>
      </c>
      <c r="AM1917">
        <v>0</v>
      </c>
      <c r="AN1917">
        <v>0</v>
      </c>
      <c r="AO1917">
        <v>5</v>
      </c>
      <c r="AP1917">
        <v>0</v>
      </c>
      <c r="AQ1917">
        <v>0</v>
      </c>
      <c r="AR1917">
        <v>7.6984986662864702E-3</v>
      </c>
      <c r="AS1917">
        <v>0</v>
      </c>
      <c r="AT1917">
        <v>1</v>
      </c>
      <c r="AU1917">
        <v>1.91570881226054E-3</v>
      </c>
      <c r="AV1917">
        <v>1.5243902439024399E-3</v>
      </c>
      <c r="AW1917">
        <v>3.9406363891225102E-3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20</v>
      </c>
      <c r="BW1917">
        <v>207</v>
      </c>
      <c r="BX1917">
        <v>26</v>
      </c>
      <c r="BY1917">
        <v>628</v>
      </c>
      <c r="BZ1917">
        <v>0</v>
      </c>
      <c r="CA1917">
        <v>0</v>
      </c>
      <c r="CB1917">
        <v>0</v>
      </c>
      <c r="CC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C1917">
        <v>0</v>
      </c>
      <c r="DD1917">
        <v>0</v>
      </c>
      <c r="DE1917">
        <v>0</v>
      </c>
      <c r="DF1917">
        <v>0</v>
      </c>
      <c r="DH1917">
        <v>1.5</v>
      </c>
      <c r="DI1917">
        <v>2.5</v>
      </c>
    </row>
    <row r="1918" spans="1:113" ht="15" customHeight="1" x14ac:dyDescent="0.25">
      <c r="A1918" t="s">
        <v>8351</v>
      </c>
      <c r="B1918" t="s">
        <v>8352</v>
      </c>
      <c r="C1918" t="s">
        <v>8353</v>
      </c>
      <c r="D1918" t="s">
        <v>1297</v>
      </c>
      <c r="E1918" t="s">
        <v>1220</v>
      </c>
      <c r="F1918" t="s">
        <v>8354</v>
      </c>
      <c r="G1918">
        <v>2025</v>
      </c>
      <c r="H1918" t="s">
        <v>1160</v>
      </c>
      <c r="I1918" t="s">
        <v>138</v>
      </c>
      <c r="J1918">
        <v>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Y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S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3</v>
      </c>
      <c r="BU1918">
        <v>19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C1918">
        <v>0</v>
      </c>
      <c r="DD1918">
        <v>0</v>
      </c>
      <c r="DE1918">
        <v>0</v>
      </c>
      <c r="DF1918">
        <v>0</v>
      </c>
      <c r="DH1918">
        <v>0</v>
      </c>
      <c r="DI1918">
        <v>0</v>
      </c>
    </row>
    <row r="1919" spans="1:113" ht="15" customHeight="1" x14ac:dyDescent="0.25">
      <c r="A1919" t="s">
        <v>8355</v>
      </c>
      <c r="B1919" t="s">
        <v>5645</v>
      </c>
      <c r="C1919" t="s">
        <v>8356</v>
      </c>
      <c r="D1919" t="s">
        <v>1350</v>
      </c>
      <c r="E1919" t="s">
        <v>1307</v>
      </c>
      <c r="F1919" t="s">
        <v>8357</v>
      </c>
      <c r="G1919">
        <v>2025</v>
      </c>
      <c r="H1919" t="s">
        <v>1160</v>
      </c>
      <c r="I1919" t="s">
        <v>93</v>
      </c>
      <c r="J1919">
        <v>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Y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S1919">
        <v>0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</v>
      </c>
      <c r="BA1919">
        <v>2</v>
      </c>
      <c r="BB1919">
        <v>1</v>
      </c>
      <c r="BC1919">
        <v>2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2</v>
      </c>
      <c r="BU1919">
        <v>16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C1919">
        <v>0</v>
      </c>
      <c r="DD1919">
        <v>0</v>
      </c>
      <c r="DE1919">
        <v>0</v>
      </c>
      <c r="DF1919">
        <v>0</v>
      </c>
      <c r="DH1919">
        <v>0</v>
      </c>
      <c r="DI1919">
        <v>0</v>
      </c>
    </row>
    <row r="1920" spans="1:113" ht="15" customHeight="1" x14ac:dyDescent="0.25">
      <c r="A1920" t="s">
        <v>8358</v>
      </c>
      <c r="B1920" t="s">
        <v>8359</v>
      </c>
      <c r="C1920" t="s">
        <v>8360</v>
      </c>
      <c r="D1920" t="s">
        <v>431</v>
      </c>
      <c r="E1920" t="s">
        <v>431</v>
      </c>
      <c r="F1920" t="s">
        <v>8361</v>
      </c>
      <c r="G1920">
        <v>2025</v>
      </c>
      <c r="H1920" t="s">
        <v>1160</v>
      </c>
      <c r="I1920" t="s">
        <v>93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Y1920">
        <v>0</v>
      </c>
      <c r="AA1920">
        <v>9</v>
      </c>
      <c r="AB1920">
        <v>60</v>
      </c>
      <c r="AC1920">
        <v>0</v>
      </c>
      <c r="AD1920">
        <v>1</v>
      </c>
      <c r="AE1920">
        <v>1</v>
      </c>
      <c r="AF1920">
        <v>3</v>
      </c>
      <c r="AG1920">
        <v>-1.6329568617511501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1</v>
      </c>
      <c r="BY1920">
        <v>-1</v>
      </c>
      <c r="BZ1920">
        <v>0</v>
      </c>
      <c r="CA1920">
        <v>0</v>
      </c>
      <c r="CB1920">
        <v>0</v>
      </c>
      <c r="CC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C1920">
        <v>0</v>
      </c>
      <c r="DD1920">
        <v>0</v>
      </c>
      <c r="DE1920">
        <v>0</v>
      </c>
      <c r="DF1920">
        <v>0</v>
      </c>
      <c r="DH1920">
        <v>4</v>
      </c>
      <c r="DI1920">
        <v>4</v>
      </c>
    </row>
    <row r="1921" spans="1:113" ht="15" customHeight="1" x14ac:dyDescent="0.25">
      <c r="A1921" t="s">
        <v>8362</v>
      </c>
      <c r="B1921" t="s">
        <v>8363</v>
      </c>
      <c r="C1921" t="s">
        <v>444</v>
      </c>
      <c r="D1921" t="s">
        <v>431</v>
      </c>
      <c r="E1921" t="s">
        <v>431</v>
      </c>
      <c r="F1921" t="s">
        <v>8364</v>
      </c>
      <c r="G1921">
        <v>2025</v>
      </c>
      <c r="H1921" t="s">
        <v>1160</v>
      </c>
      <c r="I1921" t="s">
        <v>90</v>
      </c>
      <c r="J1921">
        <v>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Y1921">
        <v>0</v>
      </c>
      <c r="AA1921">
        <v>12</v>
      </c>
      <c r="AB1921">
        <v>58</v>
      </c>
      <c r="AC1921">
        <v>0</v>
      </c>
      <c r="AD1921">
        <v>0</v>
      </c>
      <c r="AE1921">
        <v>0</v>
      </c>
      <c r="AF1921">
        <v>4</v>
      </c>
      <c r="AG1921">
        <v>1.88786310568685</v>
      </c>
      <c r="AH1921">
        <v>0</v>
      </c>
      <c r="AI1921">
        <v>2</v>
      </c>
      <c r="AJ1921">
        <v>3</v>
      </c>
      <c r="AK1921">
        <v>15</v>
      </c>
      <c r="AL1921">
        <v>0</v>
      </c>
      <c r="AM1921">
        <v>0</v>
      </c>
      <c r="AN1921">
        <v>0</v>
      </c>
      <c r="AO1921">
        <v>11</v>
      </c>
      <c r="AP1921">
        <v>6</v>
      </c>
      <c r="AQ1921">
        <v>1</v>
      </c>
      <c r="AR1921">
        <v>-0.43239601183449899</v>
      </c>
      <c r="AS1921">
        <v>0</v>
      </c>
      <c r="AT1921">
        <v>1.36363636363636</v>
      </c>
      <c r="AU1921">
        <v>4.8622366288492702E-3</v>
      </c>
      <c r="AV1921">
        <v>2.3605150214592299E-3</v>
      </c>
      <c r="AW1921">
        <v>8.9457154582953703E-3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1</v>
      </c>
      <c r="BY1921">
        <v>22</v>
      </c>
      <c r="BZ1921">
        <v>0</v>
      </c>
      <c r="CA1921">
        <v>0</v>
      </c>
      <c r="CB1921">
        <v>0</v>
      </c>
      <c r="CC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C1921">
        <v>0</v>
      </c>
      <c r="DD1921">
        <v>0</v>
      </c>
      <c r="DE1921">
        <v>0</v>
      </c>
      <c r="DF1921">
        <v>0</v>
      </c>
      <c r="DH1921">
        <v>7.3</v>
      </c>
      <c r="DI1921">
        <v>9.3000000000000007</v>
      </c>
    </row>
    <row r="1922" spans="1:113" ht="15" customHeight="1" x14ac:dyDescent="0.25">
      <c r="A1922" t="s">
        <v>8365</v>
      </c>
      <c r="B1922" t="s">
        <v>8366</v>
      </c>
      <c r="C1922" t="s">
        <v>813</v>
      </c>
      <c r="D1922" t="s">
        <v>10</v>
      </c>
      <c r="E1922" t="s">
        <v>10</v>
      </c>
      <c r="F1922" t="s">
        <v>8367</v>
      </c>
      <c r="G1922">
        <v>2025</v>
      </c>
      <c r="H1922" t="s">
        <v>1160</v>
      </c>
      <c r="I1922" t="s">
        <v>114</v>
      </c>
      <c r="J1922">
        <v>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Y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H1922">
        <v>0</v>
      </c>
      <c r="AI1922">
        <v>3</v>
      </c>
      <c r="AJ1922">
        <v>3</v>
      </c>
      <c r="AK1922">
        <v>75</v>
      </c>
      <c r="AL1922">
        <v>1</v>
      </c>
      <c r="AM1922">
        <v>0</v>
      </c>
      <c r="AN1922">
        <v>0</v>
      </c>
      <c r="AO1922">
        <v>35</v>
      </c>
      <c r="AP1922">
        <v>40</v>
      </c>
      <c r="AQ1922">
        <v>3</v>
      </c>
      <c r="AR1922">
        <v>6.7800701017258698</v>
      </c>
      <c r="AS1922">
        <v>0</v>
      </c>
      <c r="AT1922">
        <v>2.1428571428571401</v>
      </c>
      <c r="AU1922">
        <v>6.2240663900414899E-3</v>
      </c>
      <c r="AV1922">
        <v>7.5888985255854304E-3</v>
      </c>
      <c r="AW1922">
        <v>1.4648328552972E-2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16</v>
      </c>
      <c r="BY1922">
        <v>383</v>
      </c>
      <c r="BZ1922">
        <v>0</v>
      </c>
      <c r="CA1922">
        <v>0</v>
      </c>
      <c r="CB1922">
        <v>0</v>
      </c>
      <c r="CC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C1922">
        <v>0</v>
      </c>
      <c r="DD1922">
        <v>0</v>
      </c>
      <c r="DE1922">
        <v>0</v>
      </c>
      <c r="DF1922">
        <v>0</v>
      </c>
      <c r="DH1922">
        <v>13.5</v>
      </c>
      <c r="DI1922">
        <v>16.5</v>
      </c>
    </row>
    <row r="1923" spans="1:113" ht="15" customHeight="1" x14ac:dyDescent="0.25">
      <c r="A1923" t="s">
        <v>8368</v>
      </c>
      <c r="B1923" t="s">
        <v>8369</v>
      </c>
      <c r="C1923" t="s">
        <v>8370</v>
      </c>
      <c r="D1923" t="s">
        <v>1234</v>
      </c>
      <c r="E1923" t="s">
        <v>1234</v>
      </c>
      <c r="F1923" t="s">
        <v>8371</v>
      </c>
      <c r="G1923">
        <v>2025</v>
      </c>
      <c r="H1923" t="s">
        <v>1160</v>
      </c>
      <c r="I1923" t="s">
        <v>114</v>
      </c>
      <c r="J1923">
        <v>14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Y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S1923">
        <v>0</v>
      </c>
      <c r="AU1923">
        <v>0</v>
      </c>
      <c r="AV1923">
        <v>0</v>
      </c>
      <c r="AW1923">
        <v>0</v>
      </c>
      <c r="AX1923">
        <v>0</v>
      </c>
      <c r="AY1923">
        <v>14</v>
      </c>
      <c r="AZ1923">
        <v>0</v>
      </c>
      <c r="BA1923">
        <v>10</v>
      </c>
      <c r="BB1923">
        <v>4</v>
      </c>
      <c r="BC1923">
        <v>16</v>
      </c>
      <c r="BD1923">
        <v>0</v>
      </c>
      <c r="BE1923">
        <v>4</v>
      </c>
      <c r="BF1923">
        <v>16</v>
      </c>
      <c r="BG1923">
        <v>5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2</v>
      </c>
      <c r="BR1923">
        <v>2</v>
      </c>
      <c r="BS1923">
        <v>0</v>
      </c>
      <c r="BT1923">
        <v>3</v>
      </c>
      <c r="BU1923">
        <v>30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C1923">
        <v>0</v>
      </c>
      <c r="DD1923">
        <v>0</v>
      </c>
      <c r="DE1923">
        <v>0</v>
      </c>
      <c r="DF1923">
        <v>0</v>
      </c>
      <c r="DH1923">
        <v>0</v>
      </c>
      <c r="DI1923">
        <v>0</v>
      </c>
    </row>
    <row r="1924" spans="1:113" ht="15" customHeight="1" x14ac:dyDescent="0.25">
      <c r="A1924" t="s">
        <v>8372</v>
      </c>
      <c r="B1924" t="s">
        <v>8137</v>
      </c>
      <c r="C1924" t="s">
        <v>8373</v>
      </c>
      <c r="D1924" t="s">
        <v>1189</v>
      </c>
      <c r="E1924" t="s">
        <v>1190</v>
      </c>
      <c r="F1924" t="s">
        <v>8374</v>
      </c>
      <c r="G1924">
        <v>2025</v>
      </c>
      <c r="H1924" t="s">
        <v>1160</v>
      </c>
      <c r="I1924" t="s">
        <v>93</v>
      </c>
      <c r="J1924">
        <v>14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Y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S1924">
        <v>0</v>
      </c>
      <c r="AU1924">
        <v>0</v>
      </c>
      <c r="AV1924">
        <v>0</v>
      </c>
      <c r="AW1924">
        <v>0</v>
      </c>
      <c r="AX1924">
        <v>0</v>
      </c>
      <c r="AY1924">
        <v>23</v>
      </c>
      <c r="AZ1924">
        <v>1</v>
      </c>
      <c r="BA1924">
        <v>12</v>
      </c>
      <c r="BB1924">
        <v>5</v>
      </c>
      <c r="BC1924">
        <v>45</v>
      </c>
      <c r="BD1924">
        <v>2</v>
      </c>
      <c r="BE1924">
        <v>5.5</v>
      </c>
      <c r="BF1924">
        <v>44</v>
      </c>
      <c r="BG1924">
        <v>9</v>
      </c>
      <c r="BH1924">
        <v>0</v>
      </c>
      <c r="BI1924">
        <v>0</v>
      </c>
      <c r="BJ1924">
        <v>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1</v>
      </c>
      <c r="BR1924">
        <v>1</v>
      </c>
      <c r="BS1924">
        <v>0</v>
      </c>
      <c r="BT1924">
        <v>2</v>
      </c>
      <c r="BU1924">
        <v>10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C1924">
        <v>0</v>
      </c>
      <c r="DD1924">
        <v>0</v>
      </c>
      <c r="DE1924">
        <v>0</v>
      </c>
      <c r="DF1924">
        <v>0</v>
      </c>
      <c r="DH1924">
        <v>0</v>
      </c>
      <c r="DI1924">
        <v>0</v>
      </c>
    </row>
    <row r="1925" spans="1:113" ht="15" customHeight="1" x14ac:dyDescent="0.25">
      <c r="A1925" t="s">
        <v>8375</v>
      </c>
      <c r="B1925" t="s">
        <v>8376</v>
      </c>
      <c r="C1925" t="s">
        <v>8377</v>
      </c>
      <c r="D1925" t="s">
        <v>1189</v>
      </c>
      <c r="E1925" t="s">
        <v>1190</v>
      </c>
      <c r="F1925" t="s">
        <v>8378</v>
      </c>
      <c r="G1925">
        <v>2025</v>
      </c>
      <c r="H1925" t="s">
        <v>1160</v>
      </c>
      <c r="I1925" t="s">
        <v>93</v>
      </c>
      <c r="J1925">
        <v>15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Y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S1925">
        <v>0</v>
      </c>
      <c r="AU1925">
        <v>0</v>
      </c>
      <c r="AV1925">
        <v>0</v>
      </c>
      <c r="AW1925">
        <v>0</v>
      </c>
      <c r="AX1925">
        <v>0</v>
      </c>
      <c r="AY1925">
        <v>17</v>
      </c>
      <c r="AZ1925">
        <v>0</v>
      </c>
      <c r="BA1925">
        <v>9</v>
      </c>
      <c r="BB1925">
        <v>10</v>
      </c>
      <c r="BC1925">
        <v>87</v>
      </c>
      <c r="BD1925">
        <v>1</v>
      </c>
      <c r="BE1925">
        <v>10.5</v>
      </c>
      <c r="BF1925">
        <v>94.5</v>
      </c>
      <c r="BG1925">
        <v>16</v>
      </c>
      <c r="BH1925">
        <v>0</v>
      </c>
      <c r="BI1925">
        <v>0</v>
      </c>
      <c r="BJ1925">
        <v>5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1</v>
      </c>
      <c r="BR1925">
        <v>1</v>
      </c>
      <c r="BS1925">
        <v>0</v>
      </c>
      <c r="BT1925">
        <v>3</v>
      </c>
      <c r="BU1925">
        <v>15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C1925">
        <v>0</v>
      </c>
      <c r="DD1925">
        <v>0</v>
      </c>
      <c r="DE1925">
        <v>0</v>
      </c>
      <c r="DF1925">
        <v>0</v>
      </c>
      <c r="DH1925">
        <v>0</v>
      </c>
      <c r="DI1925">
        <v>0</v>
      </c>
    </row>
    <row r="1926" spans="1:113" ht="15" customHeight="1" x14ac:dyDescent="0.25">
      <c r="A1926" t="s">
        <v>8379</v>
      </c>
      <c r="B1926" t="s">
        <v>8380</v>
      </c>
      <c r="C1926" t="s">
        <v>8381</v>
      </c>
      <c r="D1926" t="s">
        <v>1234</v>
      </c>
      <c r="E1926" t="s">
        <v>1234</v>
      </c>
      <c r="F1926" t="s">
        <v>8382</v>
      </c>
      <c r="G1926">
        <v>2025</v>
      </c>
      <c r="H1926" t="s">
        <v>1160</v>
      </c>
      <c r="I1926" t="s">
        <v>109</v>
      </c>
      <c r="J1926">
        <v>16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Y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S1926">
        <v>0</v>
      </c>
      <c r="AU1926">
        <v>0</v>
      </c>
      <c r="AV1926">
        <v>0</v>
      </c>
      <c r="AW1926">
        <v>0</v>
      </c>
      <c r="AX1926">
        <v>0</v>
      </c>
      <c r="AY1926">
        <v>58</v>
      </c>
      <c r="AZ1926">
        <v>9</v>
      </c>
      <c r="BA1926">
        <v>89</v>
      </c>
      <c r="BB1926">
        <v>11</v>
      </c>
      <c r="BC1926">
        <v>43</v>
      </c>
      <c r="BD1926">
        <v>0</v>
      </c>
      <c r="BE1926">
        <v>2.5</v>
      </c>
      <c r="BF1926">
        <v>25</v>
      </c>
      <c r="BG1926">
        <v>9</v>
      </c>
      <c r="BH1926">
        <v>2</v>
      </c>
      <c r="BI1926">
        <v>16</v>
      </c>
      <c r="BJ1926">
        <v>3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8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C1926">
        <v>0</v>
      </c>
      <c r="DD1926">
        <v>0</v>
      </c>
      <c r="DE1926">
        <v>0</v>
      </c>
      <c r="DF1926">
        <v>0</v>
      </c>
      <c r="DH1926">
        <v>0</v>
      </c>
      <c r="DI1926">
        <v>0</v>
      </c>
    </row>
    <row r="1927" spans="1:113" ht="15" customHeight="1" x14ac:dyDescent="0.25">
      <c r="A1927" t="s">
        <v>8383</v>
      </c>
      <c r="B1927" t="s">
        <v>8384</v>
      </c>
      <c r="C1927" t="s">
        <v>8385</v>
      </c>
      <c r="D1927" t="s">
        <v>1234</v>
      </c>
      <c r="E1927" t="s">
        <v>1234</v>
      </c>
      <c r="F1927" t="s">
        <v>8386</v>
      </c>
      <c r="G1927">
        <v>2025</v>
      </c>
      <c r="H1927" t="s">
        <v>1160</v>
      </c>
      <c r="I1927" t="s">
        <v>1200</v>
      </c>
      <c r="J1927">
        <v>15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Y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S1927">
        <v>0</v>
      </c>
      <c r="AU1927">
        <v>0</v>
      </c>
      <c r="AV1927">
        <v>0</v>
      </c>
      <c r="AW1927">
        <v>0</v>
      </c>
      <c r="AX1927">
        <v>0</v>
      </c>
      <c r="AY1927">
        <v>12</v>
      </c>
      <c r="AZ1927">
        <v>1</v>
      </c>
      <c r="BA1927">
        <v>9</v>
      </c>
      <c r="BB1927">
        <v>3</v>
      </c>
      <c r="BC1927">
        <v>16</v>
      </c>
      <c r="BD1927">
        <v>1</v>
      </c>
      <c r="BE1927">
        <v>3</v>
      </c>
      <c r="BF1927">
        <v>16</v>
      </c>
      <c r="BG1927">
        <v>6</v>
      </c>
      <c r="BH1927">
        <v>0</v>
      </c>
      <c r="BI1927">
        <v>0</v>
      </c>
      <c r="BJ1927">
        <v>2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3</v>
      </c>
      <c r="BU1927">
        <v>25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C1927">
        <v>0</v>
      </c>
      <c r="DD1927">
        <v>0</v>
      </c>
      <c r="DE1927">
        <v>0</v>
      </c>
      <c r="DF1927">
        <v>0</v>
      </c>
      <c r="DH1927">
        <v>0</v>
      </c>
      <c r="DI1927">
        <v>0</v>
      </c>
    </row>
    <row r="1928" spans="1:113" ht="15" customHeight="1" x14ac:dyDescent="0.25">
      <c r="A1928" t="s">
        <v>8387</v>
      </c>
      <c r="B1928" t="s">
        <v>8388</v>
      </c>
      <c r="C1928" t="s">
        <v>774</v>
      </c>
      <c r="D1928" t="s">
        <v>10</v>
      </c>
      <c r="E1928" t="s">
        <v>10</v>
      </c>
      <c r="F1928" t="s">
        <v>8389</v>
      </c>
      <c r="G1928">
        <v>2025</v>
      </c>
      <c r="H1928" t="s">
        <v>1160</v>
      </c>
      <c r="I1928" t="s">
        <v>89</v>
      </c>
      <c r="J1928">
        <v>11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Y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H1928">
        <v>0</v>
      </c>
      <c r="AI1928">
        <v>10</v>
      </c>
      <c r="AJ1928">
        <v>30</v>
      </c>
      <c r="AK1928">
        <v>135</v>
      </c>
      <c r="AL1928">
        <v>0</v>
      </c>
      <c r="AM1928">
        <v>0</v>
      </c>
      <c r="AN1928">
        <v>0</v>
      </c>
      <c r="AO1928">
        <v>497</v>
      </c>
      <c r="AP1928">
        <v>38</v>
      </c>
      <c r="AQ1928">
        <v>7</v>
      </c>
      <c r="AR1928">
        <v>-12.0383277141266</v>
      </c>
      <c r="AS1928">
        <v>0</v>
      </c>
      <c r="AT1928">
        <v>0.27162977867203197</v>
      </c>
      <c r="AU1928">
        <v>6.0728744939271301E-2</v>
      </c>
      <c r="AV1928">
        <v>0.154925187032419</v>
      </c>
      <c r="AW1928">
        <v>0.19954074833159999</v>
      </c>
      <c r="AX1928">
        <v>0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1</v>
      </c>
      <c r="BU1928">
        <v>10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C1928">
        <v>0</v>
      </c>
      <c r="DD1928">
        <v>0</v>
      </c>
      <c r="DE1928">
        <v>0</v>
      </c>
      <c r="DF1928">
        <v>0</v>
      </c>
      <c r="DH1928">
        <v>13.5</v>
      </c>
      <c r="DI1928">
        <v>23.5</v>
      </c>
    </row>
    <row r="1929" spans="1:113" ht="15" customHeight="1" x14ac:dyDescent="0.25">
      <c r="A1929" t="s">
        <v>8390</v>
      </c>
      <c r="B1929" t="s">
        <v>8391</v>
      </c>
      <c r="C1929" t="s">
        <v>894</v>
      </c>
      <c r="D1929" t="s">
        <v>10</v>
      </c>
      <c r="E1929" t="s">
        <v>10</v>
      </c>
      <c r="F1929" t="s">
        <v>8392</v>
      </c>
      <c r="G1929">
        <v>2025</v>
      </c>
      <c r="H1929" t="s">
        <v>1160</v>
      </c>
      <c r="I1929" t="s">
        <v>101</v>
      </c>
      <c r="J1929">
        <v>13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Y1929">
        <v>0</v>
      </c>
      <c r="AA1929">
        <v>4</v>
      </c>
      <c r="AB1929">
        <v>13</v>
      </c>
      <c r="AC1929">
        <v>0</v>
      </c>
      <c r="AD1929">
        <v>0</v>
      </c>
      <c r="AE1929">
        <v>0</v>
      </c>
      <c r="AF1929">
        <v>1</v>
      </c>
      <c r="AG1929">
        <v>9.8880303557962193E-2</v>
      </c>
      <c r="AH1929">
        <v>0</v>
      </c>
      <c r="AI1929">
        <v>7</v>
      </c>
      <c r="AJ1929">
        <v>16</v>
      </c>
      <c r="AK1929">
        <v>52</v>
      </c>
      <c r="AL1929">
        <v>0</v>
      </c>
      <c r="AM1929">
        <v>0</v>
      </c>
      <c r="AN1929">
        <v>0</v>
      </c>
      <c r="AO1929">
        <v>216</v>
      </c>
      <c r="AP1929">
        <v>33</v>
      </c>
      <c r="AQ1929">
        <v>4</v>
      </c>
      <c r="AR1929">
        <v>-6.3294206738355596</v>
      </c>
      <c r="AS1929">
        <v>0</v>
      </c>
      <c r="AT1929">
        <v>0.240740740740741</v>
      </c>
      <c r="AU1929">
        <v>3.3898305084745797E-2</v>
      </c>
      <c r="AV1929">
        <v>6.3454759106933004E-2</v>
      </c>
      <c r="AW1929">
        <v>9.5265789001971801E-2</v>
      </c>
      <c r="AX1929">
        <v>0</v>
      </c>
      <c r="AY1929">
        <v>3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2</v>
      </c>
      <c r="BY1929">
        <v>49</v>
      </c>
      <c r="BZ1929">
        <v>0</v>
      </c>
      <c r="CA1929">
        <v>0</v>
      </c>
      <c r="CB1929">
        <v>0</v>
      </c>
      <c r="CC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C1929">
        <v>0</v>
      </c>
      <c r="DD1929">
        <v>0</v>
      </c>
      <c r="DE1929">
        <v>0</v>
      </c>
      <c r="DF1929">
        <v>0</v>
      </c>
      <c r="DH1929">
        <v>6.5</v>
      </c>
      <c r="DI1929">
        <v>13.5</v>
      </c>
    </row>
    <row r="1930" spans="1:113" ht="15" customHeight="1" x14ac:dyDescent="0.25">
      <c r="A1930" t="s">
        <v>8393</v>
      </c>
      <c r="B1930" t="s">
        <v>8394</v>
      </c>
      <c r="C1930" t="s">
        <v>659</v>
      </c>
      <c r="D1930" t="s">
        <v>431</v>
      </c>
      <c r="E1930" t="s">
        <v>431</v>
      </c>
      <c r="F1930" t="s">
        <v>8395</v>
      </c>
      <c r="G1930">
        <v>2025</v>
      </c>
      <c r="H1930" t="s">
        <v>1160</v>
      </c>
      <c r="I1930" t="s">
        <v>121</v>
      </c>
      <c r="J1930">
        <v>16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Y1930">
        <v>0</v>
      </c>
      <c r="AA1930">
        <v>196</v>
      </c>
      <c r="AB1930">
        <v>703</v>
      </c>
      <c r="AC1930">
        <v>2</v>
      </c>
      <c r="AD1930">
        <v>1</v>
      </c>
      <c r="AE1930">
        <v>0</v>
      </c>
      <c r="AF1930">
        <v>41</v>
      </c>
      <c r="AG1930">
        <v>-29.1784424367555</v>
      </c>
      <c r="AH1930">
        <v>0</v>
      </c>
      <c r="AI1930">
        <v>24</v>
      </c>
      <c r="AJ1930">
        <v>36</v>
      </c>
      <c r="AK1930">
        <v>208</v>
      </c>
      <c r="AL1930">
        <v>3</v>
      </c>
      <c r="AM1930">
        <v>0</v>
      </c>
      <c r="AN1930">
        <v>0</v>
      </c>
      <c r="AO1930">
        <v>77</v>
      </c>
      <c r="AP1930">
        <v>223</v>
      </c>
      <c r="AQ1930">
        <v>7</v>
      </c>
      <c r="AR1930">
        <v>7.2296453920069803</v>
      </c>
      <c r="AS1930">
        <v>0</v>
      </c>
      <c r="AT1930">
        <v>2.7012987012987</v>
      </c>
      <c r="AU1930">
        <v>6.50994575045208E-2</v>
      </c>
      <c r="AV1930">
        <v>1.61594963273872E-2</v>
      </c>
      <c r="AW1930">
        <v>0.108960833685952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3</v>
      </c>
      <c r="BP1930">
        <v>3</v>
      </c>
      <c r="BQ1930">
        <v>0</v>
      </c>
      <c r="BR1930">
        <v>0</v>
      </c>
      <c r="BS1930">
        <v>1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C1930">
        <v>0</v>
      </c>
      <c r="DD1930">
        <v>0</v>
      </c>
      <c r="DE1930">
        <v>0</v>
      </c>
      <c r="DF1930">
        <v>0</v>
      </c>
      <c r="DH1930">
        <v>121.1</v>
      </c>
      <c r="DI1930">
        <v>145.1</v>
      </c>
    </row>
    <row r="1931" spans="1:113" ht="15" customHeight="1" x14ac:dyDescent="0.25">
      <c r="A1931" t="s">
        <v>8396</v>
      </c>
      <c r="B1931" t="s">
        <v>8397</v>
      </c>
      <c r="C1931" t="s">
        <v>1004</v>
      </c>
      <c r="D1931" t="s">
        <v>439</v>
      </c>
      <c r="E1931" t="s">
        <v>439</v>
      </c>
      <c r="F1931" t="s">
        <v>8398</v>
      </c>
      <c r="G1931">
        <v>2025</v>
      </c>
      <c r="H1931" t="s">
        <v>1160</v>
      </c>
      <c r="I1931" t="s">
        <v>142</v>
      </c>
      <c r="J1931">
        <v>16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Y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H1931">
        <v>0</v>
      </c>
      <c r="AI1931">
        <v>44</v>
      </c>
      <c r="AJ1931">
        <v>55</v>
      </c>
      <c r="AK1931">
        <v>357</v>
      </c>
      <c r="AL1931">
        <v>2</v>
      </c>
      <c r="AM1931">
        <v>0</v>
      </c>
      <c r="AN1931">
        <v>0</v>
      </c>
      <c r="AO1931">
        <v>303</v>
      </c>
      <c r="AP1931">
        <v>159</v>
      </c>
      <c r="AQ1931">
        <v>17</v>
      </c>
      <c r="AR1931">
        <v>3.8344788257476798</v>
      </c>
      <c r="AS1931">
        <v>0</v>
      </c>
      <c r="AT1931">
        <v>1.1782178217821799</v>
      </c>
      <c r="AU1931">
        <v>0.10377358490565999</v>
      </c>
      <c r="AV1931">
        <v>7.5485799701046297E-2</v>
      </c>
      <c r="AW1931">
        <v>0.20850043714922301</v>
      </c>
      <c r="AX1931">
        <v>0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2</v>
      </c>
      <c r="BU1931">
        <v>10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C1931">
        <v>0</v>
      </c>
      <c r="DD1931">
        <v>0</v>
      </c>
      <c r="DE1931">
        <v>0</v>
      </c>
      <c r="DF1931">
        <v>0</v>
      </c>
      <c r="DH1931">
        <v>47.7</v>
      </c>
      <c r="DI1931">
        <v>91.7</v>
      </c>
    </row>
    <row r="1932" spans="1:113" ht="15" customHeight="1" x14ac:dyDescent="0.25">
      <c r="A1932" t="s">
        <v>8399</v>
      </c>
      <c r="B1932" t="s">
        <v>8400</v>
      </c>
      <c r="C1932" t="s">
        <v>8401</v>
      </c>
      <c r="D1932" t="s">
        <v>1243</v>
      </c>
      <c r="E1932" t="s">
        <v>1190</v>
      </c>
      <c r="F1932" t="s">
        <v>8402</v>
      </c>
      <c r="G1932">
        <v>2025</v>
      </c>
      <c r="H1932" t="s">
        <v>1160</v>
      </c>
      <c r="I1932" t="s">
        <v>1200</v>
      </c>
      <c r="J1932">
        <v>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Y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S1932">
        <v>0</v>
      </c>
      <c r="AU1932">
        <v>0</v>
      </c>
      <c r="AV1932">
        <v>0</v>
      </c>
      <c r="AW1932">
        <v>0</v>
      </c>
      <c r="AX1932">
        <v>0</v>
      </c>
      <c r="AY1932">
        <v>1</v>
      </c>
      <c r="AZ1932">
        <v>0</v>
      </c>
      <c r="BA1932">
        <v>10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1</v>
      </c>
      <c r="BU1932">
        <v>15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C1932">
        <v>0</v>
      </c>
      <c r="DD1932">
        <v>0</v>
      </c>
      <c r="DE1932">
        <v>0</v>
      </c>
      <c r="DF1932">
        <v>0</v>
      </c>
      <c r="DH1932">
        <v>0</v>
      </c>
      <c r="DI1932">
        <v>0</v>
      </c>
    </row>
    <row r="1933" spans="1:113" ht="15" customHeight="1" x14ac:dyDescent="0.25">
      <c r="A1933" t="s">
        <v>8403</v>
      </c>
      <c r="B1933" t="s">
        <v>8404</v>
      </c>
      <c r="C1933" t="s">
        <v>576</v>
      </c>
      <c r="D1933" t="s">
        <v>431</v>
      </c>
      <c r="E1933" t="s">
        <v>431</v>
      </c>
      <c r="F1933" t="s">
        <v>8405</v>
      </c>
      <c r="G1933">
        <v>2025</v>
      </c>
      <c r="H1933" t="s">
        <v>1160</v>
      </c>
      <c r="I1933" t="s">
        <v>112</v>
      </c>
      <c r="J1933">
        <v>5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Y1933">
        <v>0</v>
      </c>
      <c r="AA1933">
        <v>38</v>
      </c>
      <c r="AB1933">
        <v>129</v>
      </c>
      <c r="AC1933">
        <v>1</v>
      </c>
      <c r="AD1933">
        <v>1</v>
      </c>
      <c r="AE1933">
        <v>0</v>
      </c>
      <c r="AF1933">
        <v>8</v>
      </c>
      <c r="AG1933">
        <v>-7.48763545637485</v>
      </c>
      <c r="AH1933">
        <v>0</v>
      </c>
      <c r="AI1933">
        <v>1</v>
      </c>
      <c r="AJ1933">
        <v>1</v>
      </c>
      <c r="AK1933">
        <v>5</v>
      </c>
      <c r="AL1933">
        <v>0</v>
      </c>
      <c r="AM1933">
        <v>0</v>
      </c>
      <c r="AN1933">
        <v>0</v>
      </c>
      <c r="AO1933">
        <v>-5</v>
      </c>
      <c r="AP1933">
        <v>10</v>
      </c>
      <c r="AQ1933">
        <v>0</v>
      </c>
      <c r="AR1933">
        <v>-0.119361729361117</v>
      </c>
      <c r="AS1933">
        <v>0</v>
      </c>
      <c r="AT1933">
        <v>-1</v>
      </c>
      <c r="AU1933">
        <v>1.6474464579901199E-3</v>
      </c>
      <c r="AV1933">
        <v>-9.8638784770171592E-4</v>
      </c>
      <c r="AW1933">
        <v>1.7806981935939699E-3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1</v>
      </c>
      <c r="BU1933">
        <v>5</v>
      </c>
      <c r="BV1933">
        <v>0</v>
      </c>
      <c r="BW1933">
        <v>0</v>
      </c>
      <c r="BX1933">
        <v>3</v>
      </c>
      <c r="BY1933">
        <v>72</v>
      </c>
      <c r="BZ1933">
        <v>0</v>
      </c>
      <c r="CA1933">
        <v>0</v>
      </c>
      <c r="CB1933">
        <v>0</v>
      </c>
      <c r="CC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C1933">
        <v>0</v>
      </c>
      <c r="DD1933">
        <v>0</v>
      </c>
      <c r="DE1933">
        <v>0</v>
      </c>
      <c r="DF1933">
        <v>0</v>
      </c>
      <c r="DH1933">
        <v>19.399999999999999</v>
      </c>
      <c r="DI1933">
        <v>20.399999999999999</v>
      </c>
    </row>
    <row r="1934" spans="1:113" ht="15" customHeight="1" x14ac:dyDescent="0.25">
      <c r="A1934" t="s">
        <v>8406</v>
      </c>
      <c r="B1934" t="s">
        <v>8407</v>
      </c>
      <c r="C1934" t="s">
        <v>748</v>
      </c>
      <c r="D1934" t="s">
        <v>10</v>
      </c>
      <c r="E1934" t="s">
        <v>10</v>
      </c>
      <c r="F1934" t="s">
        <v>8408</v>
      </c>
      <c r="G1934">
        <v>2025</v>
      </c>
      <c r="H1934" t="s">
        <v>1160</v>
      </c>
      <c r="I1934" t="s">
        <v>1200</v>
      </c>
      <c r="J1934">
        <v>10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Y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H1934">
        <v>0</v>
      </c>
      <c r="AI1934">
        <v>10</v>
      </c>
      <c r="AJ1934">
        <v>23</v>
      </c>
      <c r="AK1934">
        <v>92</v>
      </c>
      <c r="AL1934">
        <v>1</v>
      </c>
      <c r="AM1934">
        <v>0</v>
      </c>
      <c r="AN1934">
        <v>0</v>
      </c>
      <c r="AO1934">
        <v>296</v>
      </c>
      <c r="AP1934">
        <v>25</v>
      </c>
      <c r="AQ1934">
        <v>7</v>
      </c>
      <c r="AR1934">
        <v>-8.7641068652453598</v>
      </c>
      <c r="AS1934">
        <v>0</v>
      </c>
      <c r="AT1934">
        <v>0.31081081081081102</v>
      </c>
      <c r="AU1934">
        <v>3.9586919104991403E-2</v>
      </c>
      <c r="AV1934">
        <v>5.4532056005895398E-2</v>
      </c>
      <c r="AW1934">
        <v>9.7552817861613794E-2</v>
      </c>
      <c r="AX1934">
        <v>0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C1934">
        <v>0</v>
      </c>
      <c r="DD1934">
        <v>0</v>
      </c>
      <c r="DE1934">
        <v>0</v>
      </c>
      <c r="DF1934">
        <v>0</v>
      </c>
      <c r="DH1934">
        <v>15.2</v>
      </c>
      <c r="DI1934">
        <v>25.2</v>
      </c>
    </row>
    <row r="1935" spans="1:113" ht="15" customHeight="1" x14ac:dyDescent="0.25">
      <c r="A1935" t="s">
        <v>8409</v>
      </c>
      <c r="B1935" t="s">
        <v>8410</v>
      </c>
      <c r="C1935" t="s">
        <v>8411</v>
      </c>
      <c r="D1935" t="s">
        <v>1189</v>
      </c>
      <c r="E1935" t="s">
        <v>1190</v>
      </c>
      <c r="F1935" t="s">
        <v>8412</v>
      </c>
      <c r="G1935">
        <v>2025</v>
      </c>
      <c r="H1935" t="s">
        <v>1160</v>
      </c>
      <c r="I1935" t="s">
        <v>89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Y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S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1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C1935">
        <v>0</v>
      </c>
      <c r="DD1935">
        <v>0</v>
      </c>
      <c r="DE1935">
        <v>0</v>
      </c>
      <c r="DF1935">
        <v>0</v>
      </c>
      <c r="DH1935">
        <v>0</v>
      </c>
      <c r="DI1935">
        <v>0</v>
      </c>
    </row>
    <row r="1936" spans="1:113" ht="15" customHeight="1" x14ac:dyDescent="0.25">
      <c r="A1936" t="s">
        <v>8413</v>
      </c>
      <c r="B1936" t="s">
        <v>8414</v>
      </c>
      <c r="C1936" t="s">
        <v>8415</v>
      </c>
      <c r="D1936" t="s">
        <v>1234</v>
      </c>
      <c r="E1936" t="s">
        <v>1234</v>
      </c>
      <c r="F1936" t="s">
        <v>8416</v>
      </c>
      <c r="G1936">
        <v>2025</v>
      </c>
      <c r="H1936" t="s">
        <v>1160</v>
      </c>
      <c r="I1936" t="s">
        <v>1200</v>
      </c>
      <c r="J1936">
        <v>12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Y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S1936">
        <v>0</v>
      </c>
      <c r="AU1936">
        <v>0</v>
      </c>
      <c r="AV1936">
        <v>0</v>
      </c>
      <c r="AW1936">
        <v>0</v>
      </c>
      <c r="AX1936">
        <v>0</v>
      </c>
      <c r="AY1936">
        <v>14</v>
      </c>
      <c r="AZ1936">
        <v>2</v>
      </c>
      <c r="BA1936">
        <v>9</v>
      </c>
      <c r="BB1936">
        <v>2</v>
      </c>
      <c r="BC1936">
        <v>2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2</v>
      </c>
      <c r="BU1936">
        <v>15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C1936">
        <v>0</v>
      </c>
      <c r="DD1936">
        <v>0</v>
      </c>
      <c r="DE1936">
        <v>0</v>
      </c>
      <c r="DF1936">
        <v>0</v>
      </c>
      <c r="DH1936">
        <v>0</v>
      </c>
      <c r="DI1936">
        <v>0</v>
      </c>
    </row>
    <row r="1937" spans="1:113" ht="15" customHeight="1" x14ac:dyDescent="0.25">
      <c r="A1937" t="s">
        <v>8417</v>
      </c>
      <c r="B1937" t="s">
        <v>7321</v>
      </c>
      <c r="C1937" t="s">
        <v>8418</v>
      </c>
      <c r="D1937" t="s">
        <v>1189</v>
      </c>
      <c r="E1937" t="s">
        <v>1190</v>
      </c>
      <c r="F1937" t="s">
        <v>8419</v>
      </c>
      <c r="G1937">
        <v>2025</v>
      </c>
      <c r="H1937" t="s">
        <v>1160</v>
      </c>
      <c r="I1937" t="s">
        <v>137</v>
      </c>
      <c r="J1937">
        <v>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Y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S1937">
        <v>0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</v>
      </c>
      <c r="BA1937">
        <v>3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C1937">
        <v>0</v>
      </c>
      <c r="DD1937">
        <v>0</v>
      </c>
      <c r="DE1937">
        <v>0</v>
      </c>
      <c r="DF1937">
        <v>0</v>
      </c>
      <c r="DH1937">
        <v>0</v>
      </c>
      <c r="DI1937">
        <v>0</v>
      </c>
    </row>
    <row r="1938" spans="1:113" ht="15" customHeight="1" x14ac:dyDescent="0.25">
      <c r="A1938" t="s">
        <v>8420</v>
      </c>
      <c r="B1938" t="s">
        <v>8421</v>
      </c>
      <c r="C1938" t="s">
        <v>8422</v>
      </c>
      <c r="D1938" t="s">
        <v>1234</v>
      </c>
      <c r="E1938" t="s">
        <v>1234</v>
      </c>
      <c r="F1938" t="s">
        <v>8423</v>
      </c>
      <c r="G1938">
        <v>2025</v>
      </c>
      <c r="H1938" t="s">
        <v>1160</v>
      </c>
      <c r="I1938" t="s">
        <v>126</v>
      </c>
      <c r="J1938">
        <v>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Y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S1938">
        <v>0</v>
      </c>
      <c r="AU1938">
        <v>0</v>
      </c>
      <c r="AV1938">
        <v>0</v>
      </c>
      <c r="AW1938">
        <v>0</v>
      </c>
      <c r="AX1938">
        <v>0</v>
      </c>
      <c r="AY1938">
        <v>1</v>
      </c>
      <c r="AZ1938">
        <v>0</v>
      </c>
      <c r="BA1938">
        <v>1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C1938">
        <v>0</v>
      </c>
      <c r="DD1938">
        <v>0</v>
      </c>
      <c r="DE1938">
        <v>0</v>
      </c>
      <c r="DF1938">
        <v>0</v>
      </c>
      <c r="DH1938">
        <v>0</v>
      </c>
      <c r="DI1938">
        <v>0</v>
      </c>
    </row>
    <row r="1939" spans="1:113" ht="15" customHeight="1" x14ac:dyDescent="0.25">
      <c r="A1939" t="s">
        <v>8424</v>
      </c>
      <c r="B1939" t="s">
        <v>8425</v>
      </c>
      <c r="C1939" t="s">
        <v>632</v>
      </c>
      <c r="D1939" t="s">
        <v>439</v>
      </c>
      <c r="E1939" t="s">
        <v>439</v>
      </c>
      <c r="F1939" t="s">
        <v>8426</v>
      </c>
      <c r="G1939">
        <v>2025</v>
      </c>
      <c r="H1939" t="s">
        <v>1160</v>
      </c>
      <c r="I1939" t="s">
        <v>118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Y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H1939">
        <v>0</v>
      </c>
      <c r="AI1939">
        <v>1</v>
      </c>
      <c r="AJ1939">
        <v>2</v>
      </c>
      <c r="AK1939">
        <v>3</v>
      </c>
      <c r="AL1939">
        <v>0</v>
      </c>
      <c r="AM1939">
        <v>0</v>
      </c>
      <c r="AN1939">
        <v>0</v>
      </c>
      <c r="AO1939">
        <v>10</v>
      </c>
      <c r="AP1939">
        <v>0</v>
      </c>
      <c r="AQ1939">
        <v>0</v>
      </c>
      <c r="AR1939">
        <v>-0.84175069699995198</v>
      </c>
      <c r="AS1939">
        <v>0</v>
      </c>
      <c r="AT1939">
        <v>0.3</v>
      </c>
      <c r="AU1939">
        <v>4.3478260869565201E-3</v>
      </c>
      <c r="AV1939">
        <v>2.3348120476301701E-3</v>
      </c>
      <c r="AW1939">
        <v>8.1561075637759002E-3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C1939">
        <v>0</v>
      </c>
      <c r="DD1939">
        <v>0</v>
      </c>
      <c r="DE1939">
        <v>0</v>
      </c>
      <c r="DF1939">
        <v>0</v>
      </c>
      <c r="DH1939">
        <v>0.3</v>
      </c>
      <c r="DI1939">
        <v>1.3</v>
      </c>
    </row>
    <row r="1940" spans="1:113" ht="15" customHeight="1" x14ac:dyDescent="0.25">
      <c r="A1940" t="s">
        <v>8427</v>
      </c>
      <c r="B1940" t="s">
        <v>8428</v>
      </c>
      <c r="C1940" t="s">
        <v>723</v>
      </c>
      <c r="D1940" t="s">
        <v>10</v>
      </c>
      <c r="E1940" t="s">
        <v>10</v>
      </c>
      <c r="F1940" t="s">
        <v>8429</v>
      </c>
      <c r="G1940">
        <v>2025</v>
      </c>
      <c r="H1940" t="s">
        <v>1160</v>
      </c>
      <c r="I1940" t="s">
        <v>96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Y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S1940">
        <v>0</v>
      </c>
      <c r="AU1940">
        <v>0</v>
      </c>
      <c r="AV1940">
        <v>0</v>
      </c>
      <c r="AW1940">
        <v>0</v>
      </c>
      <c r="AX1940">
        <v>0</v>
      </c>
      <c r="AY1940">
        <v>1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C1940">
        <v>0</v>
      </c>
      <c r="DD1940">
        <v>0</v>
      </c>
      <c r="DE1940">
        <v>0</v>
      </c>
      <c r="DF1940">
        <v>0</v>
      </c>
      <c r="DH1940">
        <v>0</v>
      </c>
      <c r="DI1940">
        <v>0</v>
      </c>
    </row>
    <row r="1941" spans="1:113" ht="15" customHeight="1" x14ac:dyDescent="0.25">
      <c r="A1941" t="s">
        <v>8430</v>
      </c>
      <c r="B1941" t="s">
        <v>8431</v>
      </c>
      <c r="C1941" t="s">
        <v>8432</v>
      </c>
      <c r="D1941" t="s">
        <v>1234</v>
      </c>
      <c r="E1941" t="s">
        <v>1234</v>
      </c>
      <c r="F1941" t="s">
        <v>8433</v>
      </c>
      <c r="G1941">
        <v>2025</v>
      </c>
      <c r="H1941" t="s">
        <v>1160</v>
      </c>
      <c r="I1941" t="s">
        <v>115</v>
      </c>
      <c r="J1941">
        <v>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Y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S1941">
        <v>0</v>
      </c>
      <c r="AU1941">
        <v>0</v>
      </c>
      <c r="AV1941">
        <v>0</v>
      </c>
      <c r="AW1941">
        <v>0</v>
      </c>
      <c r="AX1941">
        <v>0</v>
      </c>
      <c r="AY1941">
        <v>1</v>
      </c>
      <c r="AZ1941">
        <v>0</v>
      </c>
      <c r="BA1941">
        <v>6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C1941">
        <v>0</v>
      </c>
      <c r="DD1941">
        <v>0</v>
      </c>
      <c r="DE1941">
        <v>0</v>
      </c>
      <c r="DF1941">
        <v>0</v>
      </c>
      <c r="DH1941">
        <v>0</v>
      </c>
      <c r="DI1941">
        <v>0</v>
      </c>
    </row>
    <row r="1942" spans="1:113" ht="15" customHeight="1" x14ac:dyDescent="0.25">
      <c r="A1942" t="s">
        <v>8434</v>
      </c>
      <c r="B1942" t="s">
        <v>8435</v>
      </c>
      <c r="C1942" t="s">
        <v>8436</v>
      </c>
      <c r="D1942" t="s">
        <v>1350</v>
      </c>
      <c r="E1942" t="s">
        <v>1307</v>
      </c>
      <c r="F1942" t="s">
        <v>8437</v>
      </c>
      <c r="G1942">
        <v>2025</v>
      </c>
      <c r="H1942" t="s">
        <v>1160</v>
      </c>
      <c r="I1942" t="s">
        <v>97</v>
      </c>
      <c r="J1942">
        <v>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Y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S1942">
        <v>0</v>
      </c>
      <c r="AU1942">
        <v>0</v>
      </c>
      <c r="AV1942">
        <v>0</v>
      </c>
      <c r="AW1942">
        <v>0</v>
      </c>
      <c r="AX1942">
        <v>0</v>
      </c>
      <c r="AY1942">
        <v>20</v>
      </c>
      <c r="AZ1942">
        <v>1</v>
      </c>
      <c r="BA1942">
        <v>2</v>
      </c>
      <c r="BB1942">
        <v>1</v>
      </c>
      <c r="BC1942">
        <v>14</v>
      </c>
      <c r="BD1942">
        <v>0</v>
      </c>
      <c r="BE1942">
        <v>1</v>
      </c>
      <c r="BF1942">
        <v>14</v>
      </c>
      <c r="BG1942">
        <v>1</v>
      </c>
      <c r="BH1942">
        <v>0</v>
      </c>
      <c r="BI1942">
        <v>0</v>
      </c>
      <c r="BJ1942">
        <v>1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4</v>
      </c>
      <c r="BU1942">
        <v>29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C1942">
        <v>0</v>
      </c>
      <c r="DD1942">
        <v>0</v>
      </c>
      <c r="DE1942">
        <v>0</v>
      </c>
      <c r="DF1942">
        <v>0</v>
      </c>
      <c r="DH1942">
        <v>0</v>
      </c>
      <c r="DI1942">
        <v>0</v>
      </c>
    </row>
    <row r="1943" spans="1:113" ht="15" customHeight="1" x14ac:dyDescent="0.25">
      <c r="A1943" t="s">
        <v>8438</v>
      </c>
      <c r="B1943" t="s">
        <v>8439</v>
      </c>
      <c r="C1943" t="s">
        <v>8440</v>
      </c>
      <c r="D1943" t="s">
        <v>1297</v>
      </c>
      <c r="E1943" t="s">
        <v>1220</v>
      </c>
      <c r="F1943" t="s">
        <v>8441</v>
      </c>
      <c r="G1943">
        <v>2025</v>
      </c>
      <c r="H1943" t="s">
        <v>1160</v>
      </c>
      <c r="I1943" t="s">
        <v>140</v>
      </c>
      <c r="J1943">
        <v>5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Y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S1943">
        <v>0</v>
      </c>
      <c r="AU1943">
        <v>0</v>
      </c>
      <c r="AV1943">
        <v>0</v>
      </c>
      <c r="AW1943">
        <v>0</v>
      </c>
      <c r="AX1943">
        <v>0</v>
      </c>
      <c r="AY1943">
        <v>1</v>
      </c>
      <c r="AZ1943">
        <v>0</v>
      </c>
      <c r="BA1943">
        <v>1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5</v>
      </c>
      <c r="BU1943">
        <v>40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C1943">
        <v>0</v>
      </c>
      <c r="DD1943">
        <v>0</v>
      </c>
      <c r="DE1943">
        <v>0</v>
      </c>
      <c r="DF1943">
        <v>0</v>
      </c>
      <c r="DH1943">
        <v>0</v>
      </c>
      <c r="DI1943">
        <v>0</v>
      </c>
    </row>
    <row r="1944" spans="1:113" ht="15" customHeight="1" x14ac:dyDescent="0.25">
      <c r="A1944" t="s">
        <v>8442</v>
      </c>
      <c r="B1944" t="s">
        <v>8443</v>
      </c>
      <c r="C1944" t="s">
        <v>8444</v>
      </c>
      <c r="D1944" t="s">
        <v>1189</v>
      </c>
      <c r="E1944" t="s">
        <v>1190</v>
      </c>
      <c r="F1944" t="s">
        <v>8445</v>
      </c>
      <c r="G1944">
        <v>2025</v>
      </c>
      <c r="H1944" t="s">
        <v>1160</v>
      </c>
      <c r="I1944" t="s">
        <v>123</v>
      </c>
      <c r="J1944">
        <v>16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Y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S1944">
        <v>0</v>
      </c>
      <c r="AU1944">
        <v>0</v>
      </c>
      <c r="AV1944">
        <v>0</v>
      </c>
      <c r="AW1944">
        <v>0</v>
      </c>
      <c r="AX1944">
        <v>0</v>
      </c>
      <c r="AY1944">
        <v>14</v>
      </c>
      <c r="AZ1944">
        <v>0</v>
      </c>
      <c r="BA1944">
        <v>24</v>
      </c>
      <c r="BB1944">
        <v>3</v>
      </c>
      <c r="BC1944">
        <v>6</v>
      </c>
      <c r="BD1944">
        <v>0</v>
      </c>
      <c r="BE1944">
        <v>1.5</v>
      </c>
      <c r="BF1944">
        <v>2</v>
      </c>
      <c r="BG1944">
        <v>8</v>
      </c>
      <c r="BH1944">
        <v>1</v>
      </c>
      <c r="BI1944">
        <v>14</v>
      </c>
      <c r="BJ1944">
        <v>1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C1944">
        <v>0</v>
      </c>
      <c r="DD1944">
        <v>0</v>
      </c>
      <c r="DE1944">
        <v>0</v>
      </c>
      <c r="DF1944">
        <v>0</v>
      </c>
      <c r="DH1944">
        <v>0</v>
      </c>
      <c r="DI1944">
        <v>0</v>
      </c>
    </row>
    <row r="1945" spans="1:113" ht="15" customHeight="1" x14ac:dyDescent="0.25">
      <c r="A1945" t="s">
        <v>8446</v>
      </c>
      <c r="B1945" t="s">
        <v>8447</v>
      </c>
      <c r="C1945" t="s">
        <v>8448</v>
      </c>
      <c r="D1945" t="s">
        <v>1350</v>
      </c>
      <c r="E1945" t="s">
        <v>1307</v>
      </c>
      <c r="F1945" t="s">
        <v>8449</v>
      </c>
      <c r="G1945">
        <v>2025</v>
      </c>
      <c r="H1945" t="s">
        <v>1160</v>
      </c>
      <c r="I1945" t="s">
        <v>89</v>
      </c>
      <c r="J1945">
        <v>11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Y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S1945">
        <v>0</v>
      </c>
      <c r="AU1945">
        <v>0</v>
      </c>
      <c r="AV1945">
        <v>0</v>
      </c>
      <c r="AW1945">
        <v>0</v>
      </c>
      <c r="AX1945">
        <v>0</v>
      </c>
      <c r="AY1945">
        <v>29</v>
      </c>
      <c r="AZ1945">
        <v>0</v>
      </c>
      <c r="BA1945">
        <v>13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3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1</v>
      </c>
      <c r="BR1945">
        <v>1</v>
      </c>
      <c r="BS1945">
        <v>0</v>
      </c>
      <c r="BT1945">
        <v>4</v>
      </c>
      <c r="BU1945">
        <v>53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C1945">
        <v>0</v>
      </c>
      <c r="DD1945">
        <v>0</v>
      </c>
      <c r="DE1945">
        <v>0</v>
      </c>
      <c r="DF1945">
        <v>0</v>
      </c>
      <c r="DH1945">
        <v>0</v>
      </c>
      <c r="DI1945">
        <v>0</v>
      </c>
    </row>
    <row r="1946" spans="1:113" ht="15" customHeight="1" x14ac:dyDescent="0.25">
      <c r="A1946" t="s">
        <v>8450</v>
      </c>
      <c r="B1946" t="s">
        <v>8451</v>
      </c>
      <c r="C1946" t="s">
        <v>8452</v>
      </c>
      <c r="D1946" t="s">
        <v>1243</v>
      </c>
      <c r="E1946" t="s">
        <v>1190</v>
      </c>
      <c r="F1946" t="s">
        <v>8453</v>
      </c>
      <c r="G1946">
        <v>2025</v>
      </c>
      <c r="H1946" t="s">
        <v>1160</v>
      </c>
      <c r="I1946" t="s">
        <v>138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Y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S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3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C1946">
        <v>0</v>
      </c>
      <c r="DD1946">
        <v>0</v>
      </c>
      <c r="DE1946">
        <v>0</v>
      </c>
      <c r="DF1946">
        <v>0</v>
      </c>
      <c r="DH1946">
        <v>0</v>
      </c>
      <c r="DI1946">
        <v>0</v>
      </c>
    </row>
    <row r="1947" spans="1:113" ht="15" customHeight="1" x14ac:dyDescent="0.25">
      <c r="A1947" t="s">
        <v>8454</v>
      </c>
      <c r="B1947" t="s">
        <v>8455</v>
      </c>
      <c r="C1947" t="s">
        <v>8456</v>
      </c>
      <c r="D1947" t="s">
        <v>1684</v>
      </c>
      <c r="E1947" t="s">
        <v>1307</v>
      </c>
      <c r="F1947" t="s">
        <v>8457</v>
      </c>
      <c r="G1947">
        <v>2025</v>
      </c>
      <c r="H1947" t="s">
        <v>1160</v>
      </c>
      <c r="I1947" t="s">
        <v>138</v>
      </c>
      <c r="J1947">
        <v>16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Y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S1947">
        <v>0</v>
      </c>
      <c r="AU1947">
        <v>0</v>
      </c>
      <c r="AV1947">
        <v>0</v>
      </c>
      <c r="AW1947">
        <v>0</v>
      </c>
      <c r="AX1947">
        <v>0</v>
      </c>
      <c r="AY1947">
        <v>45</v>
      </c>
      <c r="AZ1947">
        <v>1</v>
      </c>
      <c r="BA1947">
        <v>34</v>
      </c>
      <c r="BB1947">
        <v>3</v>
      </c>
      <c r="BC1947">
        <v>6</v>
      </c>
      <c r="BD1947">
        <v>0</v>
      </c>
      <c r="BE1947">
        <v>0</v>
      </c>
      <c r="BF1947">
        <v>0</v>
      </c>
      <c r="BG1947">
        <v>0</v>
      </c>
      <c r="BH1947">
        <v>2</v>
      </c>
      <c r="BI1947">
        <v>29</v>
      </c>
      <c r="BJ1947">
        <v>6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1</v>
      </c>
      <c r="BR1947">
        <v>1</v>
      </c>
      <c r="BS1947">
        <v>0</v>
      </c>
      <c r="BT1947">
        <v>1</v>
      </c>
      <c r="BU1947">
        <v>28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C1947">
        <v>0</v>
      </c>
      <c r="DD1947">
        <v>0</v>
      </c>
      <c r="DE1947">
        <v>0</v>
      </c>
      <c r="DF1947">
        <v>0</v>
      </c>
      <c r="DH1947">
        <v>0</v>
      </c>
      <c r="DI1947">
        <v>0</v>
      </c>
    </row>
    <row r="1948" spans="1:113" ht="15" customHeight="1" x14ac:dyDescent="0.25">
      <c r="A1948" t="s">
        <v>8458</v>
      </c>
      <c r="B1948" t="s">
        <v>4586</v>
      </c>
      <c r="C1948" t="s">
        <v>502</v>
      </c>
      <c r="D1948" t="s">
        <v>431</v>
      </c>
      <c r="E1948" t="s">
        <v>431</v>
      </c>
      <c r="F1948" t="s">
        <v>8459</v>
      </c>
      <c r="G1948">
        <v>2025</v>
      </c>
      <c r="H1948" t="s">
        <v>1160</v>
      </c>
      <c r="I1948" t="s">
        <v>96</v>
      </c>
      <c r="J1948">
        <v>17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Y1948">
        <v>0</v>
      </c>
      <c r="AA1948">
        <v>20</v>
      </c>
      <c r="AB1948">
        <v>94</v>
      </c>
      <c r="AC1948">
        <v>0</v>
      </c>
      <c r="AD1948">
        <v>0</v>
      </c>
      <c r="AE1948">
        <v>0</v>
      </c>
      <c r="AF1948">
        <v>6</v>
      </c>
      <c r="AG1948">
        <v>-1.5703037780476701</v>
      </c>
      <c r="AH1948">
        <v>0</v>
      </c>
      <c r="AI1948">
        <v>3</v>
      </c>
      <c r="AJ1948">
        <v>3</v>
      </c>
      <c r="AK1948">
        <v>13</v>
      </c>
      <c r="AL1948">
        <v>0</v>
      </c>
      <c r="AM1948">
        <v>0</v>
      </c>
      <c r="AN1948">
        <v>0</v>
      </c>
      <c r="AO1948">
        <v>2</v>
      </c>
      <c r="AP1948">
        <v>11</v>
      </c>
      <c r="AQ1948">
        <v>1</v>
      </c>
      <c r="AR1948">
        <v>-0.581759611261077</v>
      </c>
      <c r="AS1948">
        <v>0</v>
      </c>
      <c r="AT1948">
        <v>6.5</v>
      </c>
      <c r="AU1948">
        <v>6.2500000000000003E-3</v>
      </c>
      <c r="AV1948">
        <v>5.79710144927536E-4</v>
      </c>
      <c r="AW1948">
        <v>9.7807971014492803E-3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1</v>
      </c>
      <c r="BM1948">
        <v>0</v>
      </c>
      <c r="BN1948">
        <v>0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20</v>
      </c>
      <c r="BW1948">
        <v>163</v>
      </c>
      <c r="BX1948">
        <v>31</v>
      </c>
      <c r="BY1948">
        <v>733</v>
      </c>
      <c r="BZ1948">
        <v>0</v>
      </c>
      <c r="CA1948">
        <v>0</v>
      </c>
      <c r="CB1948">
        <v>0</v>
      </c>
      <c r="CC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C1948">
        <v>0</v>
      </c>
      <c r="DD1948">
        <v>0</v>
      </c>
      <c r="DE1948">
        <v>0</v>
      </c>
      <c r="DF1948">
        <v>0</v>
      </c>
      <c r="DH1948">
        <v>10.7</v>
      </c>
      <c r="DI1948">
        <v>13.7</v>
      </c>
    </row>
    <row r="1949" spans="1:113" ht="15" customHeight="1" x14ac:dyDescent="0.25">
      <c r="A1949" t="s">
        <v>8460</v>
      </c>
      <c r="B1949" t="s">
        <v>8461</v>
      </c>
      <c r="C1949" t="s">
        <v>8462</v>
      </c>
      <c r="D1949" t="s">
        <v>1234</v>
      </c>
      <c r="E1949" t="s">
        <v>1234</v>
      </c>
      <c r="F1949" t="s">
        <v>8463</v>
      </c>
      <c r="G1949">
        <v>2025</v>
      </c>
      <c r="H1949" t="s">
        <v>1160</v>
      </c>
      <c r="I1949" t="s">
        <v>90</v>
      </c>
      <c r="J1949">
        <v>14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Y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S1949">
        <v>0</v>
      </c>
      <c r="AU1949">
        <v>0</v>
      </c>
      <c r="AV1949">
        <v>0</v>
      </c>
      <c r="AW1949">
        <v>0</v>
      </c>
      <c r="AX1949">
        <v>0</v>
      </c>
      <c r="AY1949">
        <v>29</v>
      </c>
      <c r="AZ1949">
        <v>1</v>
      </c>
      <c r="BA1949">
        <v>46</v>
      </c>
      <c r="BB1949">
        <v>2</v>
      </c>
      <c r="BC1949">
        <v>3</v>
      </c>
      <c r="BD1949">
        <v>1</v>
      </c>
      <c r="BE1949">
        <v>0.5</v>
      </c>
      <c r="BF1949">
        <v>4</v>
      </c>
      <c r="BG1949">
        <v>1</v>
      </c>
      <c r="BH1949">
        <v>0</v>
      </c>
      <c r="BI1949">
        <v>0</v>
      </c>
      <c r="BJ1949">
        <v>2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C1949">
        <v>0</v>
      </c>
      <c r="DD1949">
        <v>0</v>
      </c>
      <c r="DE1949">
        <v>0</v>
      </c>
      <c r="DF1949">
        <v>0</v>
      </c>
      <c r="DH1949">
        <v>0</v>
      </c>
      <c r="DI1949">
        <v>0</v>
      </c>
    </row>
    <row r="1950" spans="1:113" ht="15" customHeight="1" x14ac:dyDescent="0.25">
      <c r="A1950" t="s">
        <v>8464</v>
      </c>
      <c r="B1950" t="s">
        <v>8465</v>
      </c>
      <c r="C1950" t="s">
        <v>716</v>
      </c>
      <c r="D1950" t="s">
        <v>10</v>
      </c>
      <c r="E1950" t="s">
        <v>10</v>
      </c>
      <c r="F1950" t="s">
        <v>8466</v>
      </c>
      <c r="G1950">
        <v>2025</v>
      </c>
      <c r="H1950" t="s">
        <v>1160</v>
      </c>
      <c r="I1950" t="s">
        <v>123</v>
      </c>
      <c r="J1950">
        <v>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Y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H1950">
        <v>0</v>
      </c>
      <c r="AI1950">
        <v>2</v>
      </c>
      <c r="AJ1950">
        <v>3</v>
      </c>
      <c r="AK1950">
        <v>4</v>
      </c>
      <c r="AL1950">
        <v>0</v>
      </c>
      <c r="AM1950">
        <v>0</v>
      </c>
      <c r="AN1950">
        <v>0</v>
      </c>
      <c r="AO1950">
        <v>22</v>
      </c>
      <c r="AP1950">
        <v>4</v>
      </c>
      <c r="AQ1950">
        <v>0</v>
      </c>
      <c r="AR1950">
        <v>-1.62522926169913</v>
      </c>
      <c r="AS1950">
        <v>0</v>
      </c>
      <c r="AT1950">
        <v>0.18181818181818199</v>
      </c>
      <c r="AU1950">
        <v>5.4644808743169399E-3</v>
      </c>
      <c r="AV1950">
        <v>4.8532980366203403E-3</v>
      </c>
      <c r="AW1950">
        <v>1.15940299371096E-2</v>
      </c>
      <c r="AX1950">
        <v>0</v>
      </c>
      <c r="AY1950">
        <v>1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1</v>
      </c>
      <c r="BY1950">
        <v>30</v>
      </c>
      <c r="BZ1950">
        <v>0</v>
      </c>
      <c r="CA1950">
        <v>0</v>
      </c>
      <c r="CB1950">
        <v>0</v>
      </c>
      <c r="CC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C1950">
        <v>0</v>
      </c>
      <c r="DD1950">
        <v>0</v>
      </c>
      <c r="DE1950">
        <v>0</v>
      </c>
      <c r="DF1950">
        <v>0</v>
      </c>
      <c r="DH1950">
        <v>0.4</v>
      </c>
      <c r="DI1950">
        <v>2.4</v>
      </c>
    </row>
    <row r="1951" spans="1:113" ht="15" customHeight="1" x14ac:dyDescent="0.25">
      <c r="A1951" t="s">
        <v>8467</v>
      </c>
      <c r="B1951" t="s">
        <v>8468</v>
      </c>
      <c r="C1951" t="s">
        <v>8469</v>
      </c>
      <c r="D1951" t="s">
        <v>1189</v>
      </c>
      <c r="E1951" t="s">
        <v>1190</v>
      </c>
      <c r="F1951" t="s">
        <v>8470</v>
      </c>
      <c r="G1951">
        <v>2025</v>
      </c>
      <c r="H1951" t="s">
        <v>1160</v>
      </c>
      <c r="I1951" t="s">
        <v>140</v>
      </c>
      <c r="J1951">
        <v>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Y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S1951">
        <v>0</v>
      </c>
      <c r="AU1951">
        <v>0</v>
      </c>
      <c r="AV1951">
        <v>0</v>
      </c>
      <c r="AW1951">
        <v>0</v>
      </c>
      <c r="AX1951">
        <v>0</v>
      </c>
      <c r="AY1951">
        <v>1</v>
      </c>
      <c r="AZ1951">
        <v>0</v>
      </c>
      <c r="BA1951">
        <v>2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C1951">
        <v>0</v>
      </c>
      <c r="DD1951">
        <v>0</v>
      </c>
      <c r="DE1951">
        <v>0</v>
      </c>
      <c r="DF1951">
        <v>0</v>
      </c>
      <c r="DH1951">
        <v>0</v>
      </c>
      <c r="DI1951">
        <v>0</v>
      </c>
    </row>
    <row r="1952" spans="1:113" ht="15" customHeight="1" x14ac:dyDescent="0.25">
      <c r="A1952" t="s">
        <v>8471</v>
      </c>
      <c r="B1952" t="s">
        <v>8472</v>
      </c>
      <c r="C1952" t="s">
        <v>947</v>
      </c>
      <c r="D1952" t="s">
        <v>10</v>
      </c>
      <c r="E1952" t="s">
        <v>10</v>
      </c>
      <c r="F1952" t="s">
        <v>8473</v>
      </c>
      <c r="G1952">
        <v>2025</v>
      </c>
      <c r="H1952" t="s">
        <v>1160</v>
      </c>
      <c r="I1952" t="s">
        <v>140</v>
      </c>
      <c r="J1952">
        <v>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Y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H1952">
        <v>0</v>
      </c>
      <c r="AI1952">
        <v>13</v>
      </c>
      <c r="AJ1952">
        <v>22</v>
      </c>
      <c r="AK1952">
        <v>161</v>
      </c>
      <c r="AL1952">
        <v>5</v>
      </c>
      <c r="AM1952">
        <v>0</v>
      </c>
      <c r="AN1952">
        <v>0</v>
      </c>
      <c r="AO1952">
        <v>337</v>
      </c>
      <c r="AP1952">
        <v>33</v>
      </c>
      <c r="AQ1952">
        <v>7</v>
      </c>
      <c r="AR1952">
        <v>10.2457756163878</v>
      </c>
      <c r="AS1952">
        <v>0</v>
      </c>
      <c r="AT1952">
        <v>0.47774480712166201</v>
      </c>
      <c r="AU1952">
        <v>4.8351648351648402E-2</v>
      </c>
      <c r="AV1952">
        <v>8.9675359233634899E-2</v>
      </c>
      <c r="AW1952">
        <v>0.13530022399101699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1</v>
      </c>
      <c r="BU1952">
        <v>5</v>
      </c>
      <c r="BV1952">
        <v>16</v>
      </c>
      <c r="BW1952">
        <v>238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C1952">
        <v>0</v>
      </c>
      <c r="DD1952">
        <v>0</v>
      </c>
      <c r="DE1952">
        <v>0</v>
      </c>
      <c r="DF1952">
        <v>0</v>
      </c>
      <c r="DH1952">
        <v>52.1</v>
      </c>
      <c r="DI1952">
        <v>65.099999999999994</v>
      </c>
    </row>
    <row r="1953" spans="1:113" ht="15" customHeight="1" x14ac:dyDescent="0.25">
      <c r="A1953" t="s">
        <v>8474</v>
      </c>
      <c r="B1953" t="s">
        <v>8475</v>
      </c>
      <c r="C1953" t="s">
        <v>8476</v>
      </c>
      <c r="D1953" t="s">
        <v>431</v>
      </c>
      <c r="E1953" t="s">
        <v>431</v>
      </c>
      <c r="F1953" t="s">
        <v>8477</v>
      </c>
      <c r="G1953">
        <v>2025</v>
      </c>
      <c r="H1953" t="s">
        <v>1160</v>
      </c>
      <c r="I1953" t="s">
        <v>140</v>
      </c>
      <c r="J1953">
        <v>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Y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S1953">
        <v>0</v>
      </c>
      <c r="AU1953">
        <v>0</v>
      </c>
      <c r="AV1953">
        <v>0</v>
      </c>
      <c r="AW1953">
        <v>0</v>
      </c>
      <c r="AX1953">
        <v>0</v>
      </c>
      <c r="AY1953">
        <v>2</v>
      </c>
      <c r="AZ1953">
        <v>0</v>
      </c>
      <c r="BA1953">
        <v>1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2</v>
      </c>
      <c r="BU1953">
        <v>20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C1953">
        <v>0</v>
      </c>
      <c r="DD1953">
        <v>0</v>
      </c>
      <c r="DE1953">
        <v>0</v>
      </c>
      <c r="DF1953">
        <v>0</v>
      </c>
      <c r="DH1953">
        <v>0</v>
      </c>
      <c r="DI1953">
        <v>0</v>
      </c>
    </row>
    <row r="1954" spans="1:113" ht="15" customHeight="1" x14ac:dyDescent="0.25">
      <c r="A1954" t="s">
        <v>8478</v>
      </c>
      <c r="B1954" t="s">
        <v>8479</v>
      </c>
      <c r="C1954" t="s">
        <v>8480</v>
      </c>
      <c r="D1954" t="s">
        <v>1297</v>
      </c>
      <c r="E1954" t="s">
        <v>1220</v>
      </c>
      <c r="F1954" t="s">
        <v>8481</v>
      </c>
      <c r="G1954">
        <v>2025</v>
      </c>
      <c r="H1954" t="s">
        <v>1160</v>
      </c>
      <c r="I1954" t="s">
        <v>140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Y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S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1</v>
      </c>
      <c r="BU1954">
        <v>10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C1954">
        <v>0</v>
      </c>
      <c r="DD1954">
        <v>0</v>
      </c>
      <c r="DE1954">
        <v>0</v>
      </c>
      <c r="DF1954">
        <v>0</v>
      </c>
      <c r="DH1954">
        <v>0</v>
      </c>
      <c r="DI1954">
        <v>0</v>
      </c>
    </row>
    <row r="1955" spans="1:113" ht="15" customHeight="1" x14ac:dyDescent="0.25">
      <c r="A1955" t="s">
        <v>8482</v>
      </c>
      <c r="B1955" t="s">
        <v>8483</v>
      </c>
      <c r="C1955" t="s">
        <v>8484</v>
      </c>
      <c r="D1955" t="s">
        <v>1209</v>
      </c>
      <c r="E1955" t="s">
        <v>1169</v>
      </c>
      <c r="F1955" t="s">
        <v>8485</v>
      </c>
      <c r="G1955">
        <v>2025</v>
      </c>
      <c r="H1955" t="s">
        <v>1160</v>
      </c>
      <c r="I1955" t="s">
        <v>138</v>
      </c>
      <c r="J1955">
        <v>17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Y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S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C1955">
        <v>0</v>
      </c>
      <c r="DD1955">
        <v>0</v>
      </c>
      <c r="DE1955">
        <v>0</v>
      </c>
      <c r="DF1955">
        <v>0</v>
      </c>
      <c r="DH1955">
        <v>0</v>
      </c>
      <c r="DI1955">
        <v>0</v>
      </c>
    </row>
    <row r="1956" spans="1:113" ht="15" customHeight="1" x14ac:dyDescent="0.25">
      <c r="A1956" t="s">
        <v>8486</v>
      </c>
      <c r="B1956" t="s">
        <v>2212</v>
      </c>
      <c r="C1956" t="s">
        <v>8487</v>
      </c>
      <c r="D1956" t="s">
        <v>1189</v>
      </c>
      <c r="E1956" t="s">
        <v>1190</v>
      </c>
      <c r="F1956" t="s">
        <v>8488</v>
      </c>
      <c r="G1956">
        <v>2025</v>
      </c>
      <c r="H1956" t="s">
        <v>1160</v>
      </c>
      <c r="I1956" t="s">
        <v>141</v>
      </c>
      <c r="J1956">
        <v>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Y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S1956">
        <v>0</v>
      </c>
      <c r="AU1956">
        <v>0</v>
      </c>
      <c r="AV1956">
        <v>0</v>
      </c>
      <c r="AW1956">
        <v>0</v>
      </c>
      <c r="AX1956">
        <v>0</v>
      </c>
      <c r="AY1956">
        <v>10</v>
      </c>
      <c r="AZ1956">
        <v>1</v>
      </c>
      <c r="BA1956">
        <v>9</v>
      </c>
      <c r="BB1956">
        <v>4</v>
      </c>
      <c r="BC1956">
        <v>15</v>
      </c>
      <c r="BD1956">
        <v>0</v>
      </c>
      <c r="BE1956">
        <v>1</v>
      </c>
      <c r="BF1956">
        <v>8</v>
      </c>
      <c r="BG1956">
        <v>3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1</v>
      </c>
      <c r="BP1956">
        <v>1</v>
      </c>
      <c r="BQ1956">
        <v>0</v>
      </c>
      <c r="BR1956">
        <v>0</v>
      </c>
      <c r="BS1956">
        <v>0</v>
      </c>
      <c r="BT1956">
        <v>2</v>
      </c>
      <c r="BU1956">
        <v>9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C1956">
        <v>0</v>
      </c>
      <c r="DD1956">
        <v>0</v>
      </c>
      <c r="DE1956">
        <v>0</v>
      </c>
      <c r="DF1956">
        <v>0</v>
      </c>
      <c r="DH1956">
        <v>0</v>
      </c>
      <c r="DI1956">
        <v>0</v>
      </c>
    </row>
    <row r="1957" spans="1:113" ht="15" customHeight="1" x14ac:dyDescent="0.25">
      <c r="A1957" t="s">
        <v>8489</v>
      </c>
      <c r="B1957" t="s">
        <v>2473</v>
      </c>
      <c r="C1957" t="s">
        <v>8490</v>
      </c>
      <c r="D1957" t="s">
        <v>1297</v>
      </c>
      <c r="E1957" t="s">
        <v>1220</v>
      </c>
      <c r="F1957" t="s">
        <v>8491</v>
      </c>
      <c r="G1957">
        <v>2025</v>
      </c>
      <c r="H1957" t="s">
        <v>1160</v>
      </c>
      <c r="I1957" t="s">
        <v>137</v>
      </c>
      <c r="J1957">
        <v>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Y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S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</v>
      </c>
      <c r="BA1957">
        <v>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3</v>
      </c>
      <c r="BU1957">
        <v>25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C1957">
        <v>0</v>
      </c>
      <c r="DD1957">
        <v>0</v>
      </c>
      <c r="DE1957">
        <v>0</v>
      </c>
      <c r="DF1957">
        <v>0</v>
      </c>
      <c r="DH1957">
        <v>0</v>
      </c>
      <c r="DI1957">
        <v>0</v>
      </c>
    </row>
    <row r="1958" spans="1:113" ht="15" customHeight="1" x14ac:dyDescent="0.25">
      <c r="A1958" t="s">
        <v>8492</v>
      </c>
      <c r="B1958" t="s">
        <v>5792</v>
      </c>
      <c r="C1958" t="s">
        <v>8493</v>
      </c>
      <c r="D1958" t="s">
        <v>1243</v>
      </c>
      <c r="E1958" t="s">
        <v>1190</v>
      </c>
      <c r="F1958" t="s">
        <v>8494</v>
      </c>
      <c r="G1958">
        <v>2025</v>
      </c>
      <c r="H1958" t="s">
        <v>1160</v>
      </c>
      <c r="I1958" t="s">
        <v>120</v>
      </c>
      <c r="J1958">
        <v>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Y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S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4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0</v>
      </c>
      <c r="BI1958">
        <v>0</v>
      </c>
      <c r="BJ1958">
        <v>1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C1958">
        <v>0</v>
      </c>
      <c r="DD1958">
        <v>0</v>
      </c>
      <c r="DE1958">
        <v>0</v>
      </c>
      <c r="DF1958">
        <v>0</v>
      </c>
      <c r="DH1958">
        <v>0</v>
      </c>
      <c r="DI1958">
        <v>0</v>
      </c>
    </row>
    <row r="1959" spans="1:113" ht="15" customHeight="1" x14ac:dyDescent="0.25">
      <c r="A1959" t="s">
        <v>8495</v>
      </c>
      <c r="B1959" t="s">
        <v>8496</v>
      </c>
      <c r="C1959" t="s">
        <v>560</v>
      </c>
      <c r="D1959" t="s">
        <v>439</v>
      </c>
      <c r="E1959" t="s">
        <v>439</v>
      </c>
      <c r="F1959" t="s">
        <v>8497</v>
      </c>
      <c r="G1959">
        <v>2025</v>
      </c>
      <c r="H1959" t="s">
        <v>1160</v>
      </c>
      <c r="I1959" t="s">
        <v>109</v>
      </c>
      <c r="J1959">
        <v>16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Y1959">
        <v>0</v>
      </c>
      <c r="AA1959">
        <v>7</v>
      </c>
      <c r="AB1959">
        <v>13</v>
      </c>
      <c r="AC1959">
        <v>1</v>
      </c>
      <c r="AD1959">
        <v>1</v>
      </c>
      <c r="AE1959">
        <v>1</v>
      </c>
      <c r="AF1959">
        <v>3</v>
      </c>
      <c r="AG1959">
        <v>-1.7708569074748099</v>
      </c>
      <c r="AH1959">
        <v>0</v>
      </c>
      <c r="AI1959">
        <v>72</v>
      </c>
      <c r="AJ1959">
        <v>107</v>
      </c>
      <c r="AK1959">
        <v>731</v>
      </c>
      <c r="AL1959">
        <v>6</v>
      </c>
      <c r="AM1959">
        <v>0</v>
      </c>
      <c r="AN1959">
        <v>0</v>
      </c>
      <c r="AO1959">
        <v>646</v>
      </c>
      <c r="AP1959">
        <v>352</v>
      </c>
      <c r="AQ1959">
        <v>32</v>
      </c>
      <c r="AR1959">
        <v>1.40015056461898</v>
      </c>
      <c r="AS1959">
        <v>0</v>
      </c>
      <c r="AT1959">
        <v>1.1315789473684199</v>
      </c>
      <c r="AU1959">
        <v>0.20498084291187699</v>
      </c>
      <c r="AV1959">
        <v>0.17067371202113599</v>
      </c>
      <c r="AW1959">
        <v>0.42694286278261101</v>
      </c>
      <c r="AX1959">
        <v>0</v>
      </c>
      <c r="AY1959">
        <v>0</v>
      </c>
      <c r="AZ1959">
        <v>0</v>
      </c>
      <c r="BA1959">
        <v>1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1</v>
      </c>
      <c r="BQ1959">
        <v>0</v>
      </c>
      <c r="BR1959">
        <v>0</v>
      </c>
      <c r="BS1959">
        <v>0</v>
      </c>
      <c r="BT1959">
        <v>5</v>
      </c>
      <c r="BU1959">
        <v>30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C1959">
        <v>0</v>
      </c>
      <c r="DD1959">
        <v>0</v>
      </c>
      <c r="DE1959">
        <v>0</v>
      </c>
      <c r="DF1959">
        <v>0</v>
      </c>
      <c r="DH1959">
        <v>114.4</v>
      </c>
      <c r="DI1959">
        <v>186.4</v>
      </c>
    </row>
    <row r="1960" spans="1:113" ht="15" customHeight="1" x14ac:dyDescent="0.25">
      <c r="A1960" t="s">
        <v>8498</v>
      </c>
      <c r="B1960" t="s">
        <v>8499</v>
      </c>
      <c r="C1960" t="s">
        <v>728</v>
      </c>
      <c r="D1960" t="s">
        <v>431</v>
      </c>
      <c r="E1960" t="s">
        <v>431</v>
      </c>
      <c r="F1960" t="s">
        <v>8500</v>
      </c>
      <c r="G1960">
        <v>2025</v>
      </c>
      <c r="H1960" t="s">
        <v>1160</v>
      </c>
      <c r="I1960" t="s">
        <v>131</v>
      </c>
      <c r="J1960">
        <v>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Y1960">
        <v>0</v>
      </c>
      <c r="AA1960">
        <v>124</v>
      </c>
      <c r="AB1960">
        <v>545</v>
      </c>
      <c r="AC1960">
        <v>4</v>
      </c>
      <c r="AD1960">
        <v>0</v>
      </c>
      <c r="AE1960">
        <v>0</v>
      </c>
      <c r="AF1960">
        <v>31</v>
      </c>
      <c r="AG1960">
        <v>-0.77573892346871298</v>
      </c>
      <c r="AH1960">
        <v>0</v>
      </c>
      <c r="AI1960">
        <v>32</v>
      </c>
      <c r="AJ1960">
        <v>35</v>
      </c>
      <c r="AK1960">
        <v>192</v>
      </c>
      <c r="AL1960">
        <v>1</v>
      </c>
      <c r="AM1960">
        <v>1</v>
      </c>
      <c r="AN1960">
        <v>0</v>
      </c>
      <c r="AO1960">
        <v>-54</v>
      </c>
      <c r="AP1960">
        <v>245</v>
      </c>
      <c r="AQ1960">
        <v>7</v>
      </c>
      <c r="AR1960">
        <v>-0.59145228349370904</v>
      </c>
      <c r="AS1960">
        <v>0</v>
      </c>
      <c r="AT1960">
        <v>-3.5555555555555598</v>
      </c>
      <c r="AU1960">
        <v>6.4338235294117599E-2</v>
      </c>
      <c r="AV1960">
        <v>-1.1878574571051501E-2</v>
      </c>
      <c r="AW1960">
        <v>8.8192350741440398E-2</v>
      </c>
      <c r="AX1960">
        <v>0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1</v>
      </c>
      <c r="BY1960">
        <v>30</v>
      </c>
      <c r="BZ1960">
        <v>0</v>
      </c>
      <c r="CA1960">
        <v>0</v>
      </c>
      <c r="CB1960">
        <v>0</v>
      </c>
      <c r="CC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C1960">
        <v>0</v>
      </c>
      <c r="DD1960">
        <v>0</v>
      </c>
      <c r="DE1960">
        <v>0</v>
      </c>
      <c r="DF1960">
        <v>0</v>
      </c>
      <c r="DH1960">
        <v>103.7</v>
      </c>
      <c r="DI1960">
        <v>135.69999999999999</v>
      </c>
    </row>
    <row r="1961" spans="1:113" ht="15" customHeight="1" x14ac:dyDescent="0.25">
      <c r="A1961" t="s">
        <v>8501</v>
      </c>
      <c r="B1961" t="s">
        <v>8502</v>
      </c>
      <c r="C1961" t="s">
        <v>633</v>
      </c>
      <c r="D1961" t="s">
        <v>10</v>
      </c>
      <c r="E1961" t="s">
        <v>10</v>
      </c>
      <c r="F1961" t="s">
        <v>8503</v>
      </c>
      <c r="G1961">
        <v>2025</v>
      </c>
      <c r="H1961" t="s">
        <v>1160</v>
      </c>
      <c r="I1961" t="s">
        <v>118</v>
      </c>
      <c r="J1961">
        <v>14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Y1961">
        <v>0</v>
      </c>
      <c r="AA1961">
        <v>10</v>
      </c>
      <c r="AB1961">
        <v>49</v>
      </c>
      <c r="AC1961">
        <v>0</v>
      </c>
      <c r="AD1961">
        <v>0</v>
      </c>
      <c r="AE1961">
        <v>0</v>
      </c>
      <c r="AF1961">
        <v>3</v>
      </c>
      <c r="AG1961">
        <v>1.6796603409457</v>
      </c>
      <c r="AH1961">
        <v>0</v>
      </c>
      <c r="AI1961">
        <v>29</v>
      </c>
      <c r="AJ1961">
        <v>44</v>
      </c>
      <c r="AK1961">
        <v>361</v>
      </c>
      <c r="AL1961">
        <v>0</v>
      </c>
      <c r="AM1961">
        <v>0</v>
      </c>
      <c r="AN1961">
        <v>0</v>
      </c>
      <c r="AO1961">
        <v>552</v>
      </c>
      <c r="AP1961">
        <v>101</v>
      </c>
      <c r="AQ1961">
        <v>16</v>
      </c>
      <c r="AR1961">
        <v>16.798845552614999</v>
      </c>
      <c r="AS1961">
        <v>0</v>
      </c>
      <c r="AT1961">
        <v>0.65398550724637705</v>
      </c>
      <c r="AU1961">
        <v>9.5652173913043495E-2</v>
      </c>
      <c r="AV1961">
        <v>0.12888162502918499</v>
      </c>
      <c r="AW1961">
        <v>0.23369539838999501</v>
      </c>
      <c r="AX1961">
        <v>0</v>
      </c>
      <c r="AY1961">
        <v>1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6</v>
      </c>
      <c r="BW1961">
        <v>28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C1961">
        <v>0</v>
      </c>
      <c r="DD1961">
        <v>0</v>
      </c>
      <c r="DE1961">
        <v>0</v>
      </c>
      <c r="DF1961">
        <v>0</v>
      </c>
      <c r="DH1961">
        <v>41</v>
      </c>
      <c r="DI1961">
        <v>70</v>
      </c>
    </row>
    <row r="1962" spans="1:113" ht="15" customHeight="1" x14ac:dyDescent="0.25">
      <c r="A1962" t="s">
        <v>8504</v>
      </c>
      <c r="B1962" t="s">
        <v>8505</v>
      </c>
      <c r="C1962" t="s">
        <v>8506</v>
      </c>
      <c r="D1962" t="s">
        <v>1158</v>
      </c>
      <c r="E1962" t="s">
        <v>1158</v>
      </c>
      <c r="F1962" t="s">
        <v>8507</v>
      </c>
      <c r="G1962">
        <v>2025</v>
      </c>
      <c r="H1962" t="s">
        <v>1160</v>
      </c>
      <c r="I1962" t="s">
        <v>109</v>
      </c>
      <c r="J1962">
        <v>8</v>
      </c>
      <c r="K1962">
        <v>120</v>
      </c>
      <c r="L1962">
        <v>212</v>
      </c>
      <c r="M1962">
        <v>1400</v>
      </c>
      <c r="N1962">
        <v>7</v>
      </c>
      <c r="O1962">
        <v>10</v>
      </c>
      <c r="P1962">
        <v>23</v>
      </c>
      <c r="Q1962">
        <v>-164</v>
      </c>
      <c r="R1962">
        <v>2</v>
      </c>
      <c r="S1962">
        <v>1</v>
      </c>
      <c r="T1962">
        <v>1525</v>
      </c>
      <c r="U1962">
        <v>830</v>
      </c>
      <c r="V1962">
        <v>54</v>
      </c>
      <c r="W1962">
        <v>-59.300074444728203</v>
      </c>
      <c r="X1962">
        <v>-4.9996492648736002</v>
      </c>
      <c r="Y1962">
        <v>0</v>
      </c>
      <c r="Z1962">
        <v>0.91803278688524603</v>
      </c>
      <c r="AA1962">
        <v>21</v>
      </c>
      <c r="AB1962">
        <v>169</v>
      </c>
      <c r="AC1962">
        <v>1</v>
      </c>
      <c r="AD1962">
        <v>0</v>
      </c>
      <c r="AE1962">
        <v>0</v>
      </c>
      <c r="AF1962">
        <v>7</v>
      </c>
      <c r="AG1962">
        <v>9.7833455872170205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S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4</v>
      </c>
      <c r="BU1962">
        <v>44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C1962">
        <v>0</v>
      </c>
      <c r="DD1962">
        <v>0</v>
      </c>
      <c r="DE1962">
        <v>0</v>
      </c>
      <c r="DF1962">
        <v>0</v>
      </c>
      <c r="DH1962">
        <v>84.9</v>
      </c>
      <c r="DI1962">
        <v>84.9</v>
      </c>
    </row>
    <row r="1963" spans="1:113" ht="15" customHeight="1" x14ac:dyDescent="0.25">
      <c r="A1963" t="s">
        <v>8508</v>
      </c>
      <c r="B1963" t="s">
        <v>8509</v>
      </c>
      <c r="C1963" t="s">
        <v>626</v>
      </c>
      <c r="D1963" t="s">
        <v>10</v>
      </c>
      <c r="E1963" t="s">
        <v>10</v>
      </c>
      <c r="F1963" t="s">
        <v>8510</v>
      </c>
      <c r="G1963">
        <v>2025</v>
      </c>
      <c r="H1963" t="s">
        <v>1160</v>
      </c>
      <c r="I1963" t="s">
        <v>111</v>
      </c>
      <c r="J1963">
        <v>14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Y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H1963">
        <v>0</v>
      </c>
      <c r="AI1963">
        <v>16</v>
      </c>
      <c r="AJ1963">
        <v>27</v>
      </c>
      <c r="AK1963">
        <v>239</v>
      </c>
      <c r="AL1963">
        <v>6</v>
      </c>
      <c r="AM1963">
        <v>0</v>
      </c>
      <c r="AN1963">
        <v>0</v>
      </c>
      <c r="AO1963">
        <v>352</v>
      </c>
      <c r="AP1963">
        <v>55</v>
      </c>
      <c r="AQ1963">
        <v>14</v>
      </c>
      <c r="AR1963">
        <v>17.8311329407702</v>
      </c>
      <c r="AS1963">
        <v>0</v>
      </c>
      <c r="AT1963">
        <v>0.67897727272727304</v>
      </c>
      <c r="AU1963">
        <v>4.9090909090909102E-2</v>
      </c>
      <c r="AV1963">
        <v>9.4319399785637706E-2</v>
      </c>
      <c r="AW1963">
        <v>0.13965994348631</v>
      </c>
      <c r="AX1963">
        <v>0</v>
      </c>
      <c r="AY1963">
        <v>1</v>
      </c>
      <c r="AZ1963">
        <v>0</v>
      </c>
      <c r="BA1963">
        <v>1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2</v>
      </c>
      <c r="BU1963">
        <v>20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C1963">
        <v>0</v>
      </c>
      <c r="DD1963">
        <v>0</v>
      </c>
      <c r="DE1963">
        <v>0</v>
      </c>
      <c r="DF1963">
        <v>0</v>
      </c>
      <c r="DH1963">
        <v>59.9</v>
      </c>
      <c r="DI1963">
        <v>75.900000000000006</v>
      </c>
    </row>
    <row r="1964" spans="1:113" ht="15" customHeight="1" x14ac:dyDescent="0.25">
      <c r="A1964" t="s">
        <v>8511</v>
      </c>
      <c r="B1964" t="s">
        <v>8512</v>
      </c>
      <c r="C1964" t="s">
        <v>8513</v>
      </c>
      <c r="D1964" t="s">
        <v>1350</v>
      </c>
      <c r="E1964" t="s">
        <v>1307</v>
      </c>
      <c r="F1964" t="s">
        <v>8514</v>
      </c>
      <c r="G1964">
        <v>2025</v>
      </c>
      <c r="H1964" t="s">
        <v>1160</v>
      </c>
      <c r="I1964" t="s">
        <v>123</v>
      </c>
      <c r="J1964">
        <v>16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Y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>
        <v>0</v>
      </c>
      <c r="AU1964">
        <v>0</v>
      </c>
      <c r="AV1964">
        <v>0</v>
      </c>
      <c r="AW1964">
        <v>0</v>
      </c>
      <c r="AX1964">
        <v>0</v>
      </c>
      <c r="AY1964">
        <v>29</v>
      </c>
      <c r="AZ1964">
        <v>1</v>
      </c>
      <c r="BA1964">
        <v>18</v>
      </c>
      <c r="BB1964">
        <v>4</v>
      </c>
      <c r="BC1964">
        <v>18</v>
      </c>
      <c r="BD1964">
        <v>0</v>
      </c>
      <c r="BE1964">
        <v>1</v>
      </c>
      <c r="BF1964">
        <v>8</v>
      </c>
      <c r="BG1964">
        <v>1</v>
      </c>
      <c r="BH1964">
        <v>0</v>
      </c>
      <c r="BI1964">
        <v>0</v>
      </c>
      <c r="BJ1964">
        <v>7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6</v>
      </c>
      <c r="BU1964">
        <v>51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C1964">
        <v>0</v>
      </c>
      <c r="DD1964">
        <v>0</v>
      </c>
      <c r="DE1964">
        <v>0</v>
      </c>
      <c r="DF1964">
        <v>0</v>
      </c>
      <c r="DH1964">
        <v>0</v>
      </c>
      <c r="DI1964">
        <v>0</v>
      </c>
    </row>
    <row r="1965" spans="1:113" ht="15" customHeight="1" x14ac:dyDescent="0.25">
      <c r="A1965" t="s">
        <v>8515</v>
      </c>
      <c r="B1965" t="s">
        <v>1217</v>
      </c>
      <c r="C1965" t="s">
        <v>8516</v>
      </c>
      <c r="D1965" t="s">
        <v>1243</v>
      </c>
      <c r="E1965" t="s">
        <v>1190</v>
      </c>
      <c r="F1965" t="s">
        <v>8517</v>
      </c>
      <c r="G1965">
        <v>2025</v>
      </c>
      <c r="H1965" t="s">
        <v>1160</v>
      </c>
      <c r="I1965" t="s">
        <v>111</v>
      </c>
      <c r="J1965">
        <v>13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Y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S1965">
        <v>0</v>
      </c>
      <c r="AU1965">
        <v>0</v>
      </c>
      <c r="AV1965">
        <v>0</v>
      </c>
      <c r="AW1965">
        <v>0</v>
      </c>
      <c r="AX1965">
        <v>0</v>
      </c>
      <c r="AY1965">
        <v>8</v>
      </c>
      <c r="AZ1965">
        <v>0</v>
      </c>
      <c r="BA1965">
        <v>10</v>
      </c>
      <c r="BB1965">
        <v>2</v>
      </c>
      <c r="BC1965">
        <v>3</v>
      </c>
      <c r="BD1965">
        <v>0</v>
      </c>
      <c r="BE1965">
        <v>1</v>
      </c>
      <c r="BF1965">
        <v>0</v>
      </c>
      <c r="BG1965">
        <v>3</v>
      </c>
      <c r="BH1965">
        <v>0</v>
      </c>
      <c r="BI1965">
        <v>0</v>
      </c>
      <c r="BJ1965">
        <v>4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C1965">
        <v>0</v>
      </c>
      <c r="DD1965">
        <v>0</v>
      </c>
      <c r="DE1965">
        <v>0</v>
      </c>
      <c r="DF1965">
        <v>0</v>
      </c>
      <c r="DH1965">
        <v>0</v>
      </c>
      <c r="DI1965">
        <v>0</v>
      </c>
    </row>
    <row r="1966" spans="1:113" ht="15" customHeight="1" x14ac:dyDescent="0.25">
      <c r="A1966" t="s">
        <v>8518</v>
      </c>
      <c r="B1966" t="s">
        <v>8519</v>
      </c>
      <c r="C1966" t="s">
        <v>8520</v>
      </c>
      <c r="D1966" t="s">
        <v>1158</v>
      </c>
      <c r="E1966" t="s">
        <v>1158</v>
      </c>
      <c r="F1966" t="s">
        <v>8521</v>
      </c>
      <c r="G1966">
        <v>2025</v>
      </c>
      <c r="H1966" t="s">
        <v>1160</v>
      </c>
      <c r="I1966" t="s">
        <v>140</v>
      </c>
      <c r="J1966">
        <v>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Y1966">
        <v>0</v>
      </c>
      <c r="AA1966">
        <v>3</v>
      </c>
      <c r="AB1966">
        <v>4</v>
      </c>
      <c r="AC1966">
        <v>0</v>
      </c>
      <c r="AD1966">
        <v>1</v>
      </c>
      <c r="AE1966">
        <v>1</v>
      </c>
      <c r="AF1966">
        <v>1</v>
      </c>
      <c r="AG1966">
        <v>-6.4411384095437798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C1966">
        <v>0</v>
      </c>
      <c r="DD1966">
        <v>0</v>
      </c>
      <c r="DE1966">
        <v>0</v>
      </c>
      <c r="DF1966">
        <v>0</v>
      </c>
      <c r="DH1966">
        <v>-1.6</v>
      </c>
      <c r="DI1966">
        <v>-1.6</v>
      </c>
    </row>
    <row r="1967" spans="1:113" ht="15" customHeight="1" x14ac:dyDescent="0.25">
      <c r="A1967" t="s">
        <v>8522</v>
      </c>
      <c r="B1967" t="s">
        <v>2610</v>
      </c>
      <c r="C1967" t="s">
        <v>8523</v>
      </c>
      <c r="D1967" t="s">
        <v>1158</v>
      </c>
      <c r="E1967" t="s">
        <v>1158</v>
      </c>
      <c r="F1967" t="s">
        <v>8524</v>
      </c>
      <c r="G1967">
        <v>2025</v>
      </c>
      <c r="H1967" t="s">
        <v>1160</v>
      </c>
      <c r="I1967" t="s">
        <v>142</v>
      </c>
      <c r="J1967">
        <v>17</v>
      </c>
      <c r="K1967">
        <v>323</v>
      </c>
      <c r="L1967">
        <v>540</v>
      </c>
      <c r="M1967">
        <v>3169</v>
      </c>
      <c r="N1967">
        <v>15</v>
      </c>
      <c r="O1967">
        <v>7</v>
      </c>
      <c r="P1967">
        <v>55</v>
      </c>
      <c r="Q1967">
        <v>-410</v>
      </c>
      <c r="R1967">
        <v>9</v>
      </c>
      <c r="S1967">
        <v>7</v>
      </c>
      <c r="T1967">
        <v>3905</v>
      </c>
      <c r="U1967">
        <v>1547</v>
      </c>
      <c r="V1967">
        <v>153</v>
      </c>
      <c r="W1967">
        <v>-109.093751088605</v>
      </c>
      <c r="X1967">
        <v>-2.9296753610781101</v>
      </c>
      <c r="Y1967">
        <v>0</v>
      </c>
      <c r="Z1967">
        <v>0.81152368758002602</v>
      </c>
      <c r="AA1967">
        <v>39</v>
      </c>
      <c r="AB1967">
        <v>159</v>
      </c>
      <c r="AC1967">
        <v>2</v>
      </c>
      <c r="AD1967">
        <v>1</v>
      </c>
      <c r="AE1967">
        <v>0</v>
      </c>
      <c r="AF1967">
        <v>16</v>
      </c>
      <c r="AG1967">
        <v>8.4942998303798198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S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1</v>
      </c>
      <c r="BP1967">
        <v>2</v>
      </c>
      <c r="BQ1967">
        <v>0</v>
      </c>
      <c r="BR1967">
        <v>0</v>
      </c>
      <c r="BS1967">
        <v>0</v>
      </c>
      <c r="BT1967">
        <v>1</v>
      </c>
      <c r="BU1967">
        <v>16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C1967">
        <v>0</v>
      </c>
      <c r="DD1967">
        <v>0</v>
      </c>
      <c r="DE1967">
        <v>0</v>
      </c>
      <c r="DF1967">
        <v>0</v>
      </c>
      <c r="DH1967">
        <v>186.66</v>
      </c>
      <c r="DI1967">
        <v>186.66</v>
      </c>
    </row>
    <row r="1968" spans="1:113" ht="15" customHeight="1" x14ac:dyDescent="0.25">
      <c r="A1968" t="s">
        <v>8525</v>
      </c>
      <c r="B1968" t="s">
        <v>8526</v>
      </c>
      <c r="C1968" t="s">
        <v>8527</v>
      </c>
      <c r="D1968" t="s">
        <v>1234</v>
      </c>
      <c r="E1968" t="s">
        <v>1234</v>
      </c>
      <c r="F1968" t="s">
        <v>8528</v>
      </c>
      <c r="G1968">
        <v>2025</v>
      </c>
      <c r="H1968" t="s">
        <v>1160</v>
      </c>
      <c r="I1968" t="s">
        <v>139</v>
      </c>
      <c r="J1968">
        <v>15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Y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S1968">
        <v>0</v>
      </c>
      <c r="AU1968">
        <v>0</v>
      </c>
      <c r="AV1968">
        <v>0</v>
      </c>
      <c r="AW1968">
        <v>0</v>
      </c>
      <c r="AX1968">
        <v>0</v>
      </c>
      <c r="AY1968">
        <v>23</v>
      </c>
      <c r="AZ1968">
        <v>2</v>
      </c>
      <c r="BA1968">
        <v>18</v>
      </c>
      <c r="BB1968">
        <v>7</v>
      </c>
      <c r="BC1968">
        <v>33</v>
      </c>
      <c r="BD1968">
        <v>2</v>
      </c>
      <c r="BE1968">
        <v>4</v>
      </c>
      <c r="BF1968">
        <v>22.5</v>
      </c>
      <c r="BG1968">
        <v>23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2</v>
      </c>
      <c r="BR1968">
        <v>2</v>
      </c>
      <c r="BS1968">
        <v>0</v>
      </c>
      <c r="BT1968">
        <v>5</v>
      </c>
      <c r="BU1968">
        <v>24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C1968">
        <v>0</v>
      </c>
      <c r="DD1968">
        <v>0</v>
      </c>
      <c r="DE1968">
        <v>0</v>
      </c>
      <c r="DF1968">
        <v>0</v>
      </c>
      <c r="DH1968">
        <v>0</v>
      </c>
      <c r="DI1968">
        <v>0</v>
      </c>
    </row>
    <row r="1969" spans="1:113" ht="15" customHeight="1" x14ac:dyDescent="0.25">
      <c r="A1969" t="s">
        <v>8529</v>
      </c>
      <c r="B1969" t="s">
        <v>8530</v>
      </c>
      <c r="C1969" t="s">
        <v>8531</v>
      </c>
      <c r="D1969" t="s">
        <v>1243</v>
      </c>
      <c r="E1969" t="s">
        <v>1190</v>
      </c>
      <c r="F1969" t="s">
        <v>8532</v>
      </c>
      <c r="G1969">
        <v>2025</v>
      </c>
      <c r="H1969" t="s">
        <v>1160</v>
      </c>
      <c r="I1969" t="s">
        <v>103</v>
      </c>
      <c r="J1969">
        <v>12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Y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>
        <v>0</v>
      </c>
      <c r="AU1969">
        <v>0</v>
      </c>
      <c r="AV1969">
        <v>0</v>
      </c>
      <c r="AW1969">
        <v>0</v>
      </c>
      <c r="AX1969">
        <v>0</v>
      </c>
      <c r="AY1969">
        <v>11</v>
      </c>
      <c r="AZ1969">
        <v>0</v>
      </c>
      <c r="BA1969">
        <v>16</v>
      </c>
      <c r="BB1969">
        <v>1</v>
      </c>
      <c r="BC1969">
        <v>4</v>
      </c>
      <c r="BD1969">
        <v>0</v>
      </c>
      <c r="BE1969">
        <v>3</v>
      </c>
      <c r="BF1969">
        <v>9</v>
      </c>
      <c r="BG1969">
        <v>5</v>
      </c>
      <c r="BH1969">
        <v>0</v>
      </c>
      <c r="BI1969">
        <v>0</v>
      </c>
      <c r="BJ1969">
        <v>1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1</v>
      </c>
      <c r="BR1969">
        <v>1</v>
      </c>
      <c r="BS1969">
        <v>0</v>
      </c>
      <c r="BT1969">
        <v>1</v>
      </c>
      <c r="BU1969">
        <v>15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C1969">
        <v>0</v>
      </c>
      <c r="DD1969">
        <v>0</v>
      </c>
      <c r="DE1969">
        <v>0</v>
      </c>
      <c r="DF1969">
        <v>0</v>
      </c>
      <c r="DH1969">
        <v>0</v>
      </c>
      <c r="DI1969">
        <v>0</v>
      </c>
    </row>
    <row r="1970" spans="1:113" ht="15" customHeight="1" x14ac:dyDescent="0.25">
      <c r="A1970" t="s">
        <v>8533</v>
      </c>
      <c r="B1970" t="s">
        <v>8534</v>
      </c>
      <c r="C1970" t="s">
        <v>8535</v>
      </c>
      <c r="D1970" t="s">
        <v>1243</v>
      </c>
      <c r="E1970" t="s">
        <v>1190</v>
      </c>
      <c r="F1970" t="s">
        <v>8536</v>
      </c>
      <c r="G1970">
        <v>2025</v>
      </c>
      <c r="H1970" t="s">
        <v>1160</v>
      </c>
      <c r="I1970" t="s">
        <v>109</v>
      </c>
      <c r="J1970">
        <v>17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Y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>
        <v>0</v>
      </c>
      <c r="AU1970">
        <v>0</v>
      </c>
      <c r="AV1970">
        <v>0</v>
      </c>
      <c r="AW1970">
        <v>0</v>
      </c>
      <c r="AX1970">
        <v>0</v>
      </c>
      <c r="AY1970">
        <v>26</v>
      </c>
      <c r="AZ1970">
        <v>2</v>
      </c>
      <c r="BA1970">
        <v>21</v>
      </c>
      <c r="BB1970">
        <v>7</v>
      </c>
      <c r="BC1970">
        <v>19</v>
      </c>
      <c r="BD1970">
        <v>0</v>
      </c>
      <c r="BE1970">
        <v>0.5</v>
      </c>
      <c r="BF1970">
        <v>2.5</v>
      </c>
      <c r="BG1970">
        <v>4</v>
      </c>
      <c r="BH1970">
        <v>0</v>
      </c>
      <c r="BI1970">
        <v>0</v>
      </c>
      <c r="BJ1970">
        <v>4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1</v>
      </c>
      <c r="BU1970">
        <v>5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C1970">
        <v>0</v>
      </c>
      <c r="DD1970">
        <v>0</v>
      </c>
      <c r="DE1970">
        <v>0</v>
      </c>
      <c r="DF1970">
        <v>0</v>
      </c>
      <c r="DH1970">
        <v>0</v>
      </c>
      <c r="DI1970">
        <v>0</v>
      </c>
    </row>
    <row r="1971" spans="1:113" ht="15" customHeight="1" x14ac:dyDescent="0.25">
      <c r="A1971" t="s">
        <v>8537</v>
      </c>
      <c r="B1971" t="s">
        <v>8538</v>
      </c>
      <c r="C1971" t="s">
        <v>8539</v>
      </c>
      <c r="D1971" t="s">
        <v>1219</v>
      </c>
      <c r="E1971" t="s">
        <v>1220</v>
      </c>
      <c r="F1971" t="s">
        <v>8540</v>
      </c>
      <c r="G1971">
        <v>2025</v>
      </c>
      <c r="H1971" t="s">
        <v>1160</v>
      </c>
      <c r="I1971" t="s">
        <v>143</v>
      </c>
      <c r="J1971">
        <v>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Y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S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2</v>
      </c>
      <c r="BP1971">
        <v>2</v>
      </c>
      <c r="BQ1971">
        <v>0</v>
      </c>
      <c r="BR1971">
        <v>0</v>
      </c>
      <c r="BS1971">
        <v>0</v>
      </c>
      <c r="BT1971">
        <v>9</v>
      </c>
      <c r="BU1971">
        <v>60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C1971">
        <v>0</v>
      </c>
      <c r="DD1971">
        <v>0</v>
      </c>
      <c r="DE1971">
        <v>0</v>
      </c>
      <c r="DF1971">
        <v>0</v>
      </c>
      <c r="DH1971">
        <v>0</v>
      </c>
      <c r="DI1971">
        <v>0</v>
      </c>
    </row>
    <row r="1972" spans="1:113" ht="15" customHeight="1" x14ac:dyDescent="0.25">
      <c r="A1972" t="s">
        <v>8541</v>
      </c>
      <c r="B1972" t="s">
        <v>8542</v>
      </c>
      <c r="C1972" t="s">
        <v>8543</v>
      </c>
      <c r="D1972" t="s">
        <v>1684</v>
      </c>
      <c r="E1972" t="s">
        <v>1307</v>
      </c>
      <c r="F1972" t="s">
        <v>8544</v>
      </c>
      <c r="G1972">
        <v>2025</v>
      </c>
      <c r="H1972" t="s">
        <v>1160</v>
      </c>
      <c r="I1972" t="s">
        <v>97</v>
      </c>
      <c r="J1972">
        <v>17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Y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>
        <v>0</v>
      </c>
      <c r="AU1972">
        <v>0</v>
      </c>
      <c r="AV1972">
        <v>0</v>
      </c>
      <c r="AW1972">
        <v>0</v>
      </c>
      <c r="AX1972">
        <v>0</v>
      </c>
      <c r="AY1972">
        <v>48</v>
      </c>
      <c r="AZ1972">
        <v>1</v>
      </c>
      <c r="BA1972">
        <v>35</v>
      </c>
      <c r="BB1972">
        <v>1</v>
      </c>
      <c r="BC1972">
        <v>3</v>
      </c>
      <c r="BD1972">
        <v>0</v>
      </c>
      <c r="BE1972">
        <v>0</v>
      </c>
      <c r="BF1972">
        <v>0</v>
      </c>
      <c r="BG1972">
        <v>1</v>
      </c>
      <c r="BH1972">
        <v>2</v>
      </c>
      <c r="BI1972">
        <v>9</v>
      </c>
      <c r="BJ1972">
        <v>4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1</v>
      </c>
      <c r="BU1972">
        <v>2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C1972">
        <v>0</v>
      </c>
      <c r="DD1972">
        <v>0</v>
      </c>
      <c r="DE1972">
        <v>0</v>
      </c>
      <c r="DF1972">
        <v>0</v>
      </c>
      <c r="DH1972">
        <v>0</v>
      </c>
      <c r="DI1972">
        <v>0</v>
      </c>
    </row>
    <row r="1973" spans="1:113" ht="15" customHeight="1" x14ac:dyDescent="0.25">
      <c r="A1973" t="s">
        <v>8545</v>
      </c>
      <c r="B1973" t="s">
        <v>8546</v>
      </c>
      <c r="C1973" t="s">
        <v>8547</v>
      </c>
      <c r="D1973" t="s">
        <v>1158</v>
      </c>
      <c r="E1973" t="s">
        <v>1158</v>
      </c>
      <c r="F1973" t="s">
        <v>8548</v>
      </c>
      <c r="G1973">
        <v>2025</v>
      </c>
      <c r="H1973" t="s">
        <v>1160</v>
      </c>
      <c r="I1973" t="s">
        <v>139</v>
      </c>
      <c r="J1973">
        <v>14</v>
      </c>
      <c r="K1973">
        <v>216</v>
      </c>
      <c r="L1973">
        <v>339</v>
      </c>
      <c r="M1973">
        <v>2272</v>
      </c>
      <c r="N1973">
        <v>15</v>
      </c>
      <c r="O1973">
        <v>5</v>
      </c>
      <c r="P1973">
        <v>35</v>
      </c>
      <c r="Q1973">
        <v>-152</v>
      </c>
      <c r="R1973">
        <v>2</v>
      </c>
      <c r="S1973">
        <v>1</v>
      </c>
      <c r="T1973">
        <v>2773</v>
      </c>
      <c r="U1973">
        <v>1161</v>
      </c>
      <c r="V1973">
        <v>102</v>
      </c>
      <c r="W1973">
        <v>3.4194322537895698</v>
      </c>
      <c r="X1973">
        <v>-0.19310220034289099</v>
      </c>
      <c r="Y1973">
        <v>1</v>
      </c>
      <c r="Z1973">
        <v>0.81932924630364201</v>
      </c>
      <c r="AA1973">
        <v>86</v>
      </c>
      <c r="AB1973">
        <v>487</v>
      </c>
      <c r="AC1973">
        <v>9</v>
      </c>
      <c r="AD1973">
        <v>3</v>
      </c>
      <c r="AE1973">
        <v>1</v>
      </c>
      <c r="AF1973">
        <v>41</v>
      </c>
      <c r="AG1973">
        <v>38.124047072928597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S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1</v>
      </c>
      <c r="BP1973">
        <v>2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C1973">
        <v>0</v>
      </c>
      <c r="DD1973">
        <v>0</v>
      </c>
      <c r="DE1973">
        <v>0</v>
      </c>
      <c r="DF1973">
        <v>0</v>
      </c>
      <c r="DH1973">
        <v>241.58</v>
      </c>
      <c r="DI1973">
        <v>241.58</v>
      </c>
    </row>
    <row r="1974" spans="1:113" ht="15" customHeight="1" x14ac:dyDescent="0.25">
      <c r="A1974" t="s">
        <v>8549</v>
      </c>
      <c r="B1974" t="s">
        <v>8550</v>
      </c>
      <c r="C1974" t="s">
        <v>8551</v>
      </c>
      <c r="D1974" t="s">
        <v>1243</v>
      </c>
      <c r="E1974" t="s">
        <v>1190</v>
      </c>
      <c r="F1974" t="s">
        <v>8552</v>
      </c>
      <c r="G1974">
        <v>2025</v>
      </c>
      <c r="H1974" t="s">
        <v>1160</v>
      </c>
      <c r="I1974" t="s">
        <v>139</v>
      </c>
      <c r="J1974">
        <v>11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Y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S1974">
        <v>0</v>
      </c>
      <c r="AU1974">
        <v>0</v>
      </c>
      <c r="AV1974">
        <v>0</v>
      </c>
      <c r="AW1974">
        <v>0</v>
      </c>
      <c r="AX1974">
        <v>0</v>
      </c>
      <c r="AY1974">
        <v>9</v>
      </c>
      <c r="AZ1974">
        <v>0</v>
      </c>
      <c r="BA1974">
        <v>11</v>
      </c>
      <c r="BB1974">
        <v>4</v>
      </c>
      <c r="BC1974">
        <v>26</v>
      </c>
      <c r="BD1974">
        <v>0</v>
      </c>
      <c r="BE1974">
        <v>3.5</v>
      </c>
      <c r="BF1974">
        <v>26.5</v>
      </c>
      <c r="BG1974">
        <v>6</v>
      </c>
      <c r="BH1974">
        <v>0</v>
      </c>
      <c r="BI1974">
        <v>0</v>
      </c>
      <c r="BJ1974">
        <v>1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C1974">
        <v>0</v>
      </c>
      <c r="DD1974">
        <v>0</v>
      </c>
      <c r="DE1974">
        <v>0</v>
      </c>
      <c r="DF1974">
        <v>0</v>
      </c>
      <c r="DH1974">
        <v>0</v>
      </c>
      <c r="DI1974">
        <v>0</v>
      </c>
    </row>
    <row r="1975" spans="1:113" ht="15" customHeight="1" x14ac:dyDescent="0.25">
      <c r="A1975" t="s">
        <v>8553</v>
      </c>
      <c r="B1975" t="s">
        <v>8554</v>
      </c>
      <c r="C1975" t="s">
        <v>8555</v>
      </c>
      <c r="D1975" t="s">
        <v>1219</v>
      </c>
      <c r="E1975" t="s">
        <v>1220</v>
      </c>
      <c r="F1975" t="s">
        <v>8556</v>
      </c>
      <c r="G1975">
        <v>2025</v>
      </c>
      <c r="H1975" t="s">
        <v>1160</v>
      </c>
      <c r="I1975" t="s">
        <v>114</v>
      </c>
      <c r="J1975">
        <v>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Y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S1975">
        <v>0</v>
      </c>
      <c r="AU1975">
        <v>0</v>
      </c>
      <c r="AV1975">
        <v>0</v>
      </c>
      <c r="AW1975">
        <v>0</v>
      </c>
      <c r="AX1975">
        <v>0</v>
      </c>
      <c r="AY1975">
        <v>2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5</v>
      </c>
      <c r="BU1975">
        <v>30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C1975">
        <v>0</v>
      </c>
      <c r="DD1975">
        <v>0</v>
      </c>
      <c r="DE1975">
        <v>0</v>
      </c>
      <c r="DF1975">
        <v>0</v>
      </c>
      <c r="DH1975">
        <v>0</v>
      </c>
      <c r="DI1975">
        <v>0</v>
      </c>
    </row>
    <row r="1976" spans="1:113" ht="15" customHeight="1" x14ac:dyDescent="0.25">
      <c r="A1976" t="s">
        <v>8557</v>
      </c>
      <c r="B1976" t="s">
        <v>8558</v>
      </c>
      <c r="C1976" t="s">
        <v>8559</v>
      </c>
      <c r="D1976" t="s">
        <v>1158</v>
      </c>
      <c r="E1976" t="s">
        <v>1158</v>
      </c>
      <c r="F1976" t="s">
        <v>8560</v>
      </c>
      <c r="G1976">
        <v>2025</v>
      </c>
      <c r="H1976" t="s">
        <v>1160</v>
      </c>
      <c r="I1976" t="s">
        <v>109</v>
      </c>
      <c r="J1976">
        <v>10</v>
      </c>
      <c r="K1976">
        <v>110</v>
      </c>
      <c r="L1976">
        <v>185</v>
      </c>
      <c r="M1976">
        <v>937</v>
      </c>
      <c r="N1976">
        <v>7</v>
      </c>
      <c r="O1976">
        <v>2</v>
      </c>
      <c r="P1976">
        <v>19</v>
      </c>
      <c r="Q1976">
        <v>-127</v>
      </c>
      <c r="R1976">
        <v>0</v>
      </c>
      <c r="S1976">
        <v>0</v>
      </c>
      <c r="T1976">
        <v>1078</v>
      </c>
      <c r="U1976">
        <v>500</v>
      </c>
      <c r="V1976">
        <v>45</v>
      </c>
      <c r="W1976">
        <v>-44.897841835956797</v>
      </c>
      <c r="X1976">
        <v>-7.5070568211170903</v>
      </c>
      <c r="Y1976">
        <v>0</v>
      </c>
      <c r="Z1976">
        <v>0.86920222634508304</v>
      </c>
      <c r="AA1976">
        <v>14</v>
      </c>
      <c r="AB1976">
        <v>86</v>
      </c>
      <c r="AC1976">
        <v>0</v>
      </c>
      <c r="AD1976">
        <v>0</v>
      </c>
      <c r="AE1976">
        <v>0</v>
      </c>
      <c r="AF1976">
        <v>4</v>
      </c>
      <c r="AG1976">
        <v>0.42800254124449599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S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1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1</v>
      </c>
      <c r="BU1976">
        <v>2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C1976">
        <v>0</v>
      </c>
      <c r="DD1976">
        <v>0</v>
      </c>
      <c r="DE1976">
        <v>0</v>
      </c>
      <c r="DF1976">
        <v>0</v>
      </c>
      <c r="DH1976">
        <v>70.08</v>
      </c>
      <c r="DI1976">
        <v>70.08</v>
      </c>
    </row>
    <row r="1977" spans="1:113" ht="15" customHeight="1" x14ac:dyDescent="0.25">
      <c r="A1977" t="s">
        <v>8561</v>
      </c>
      <c r="B1977" t="s">
        <v>8562</v>
      </c>
      <c r="C1977" t="s">
        <v>1002</v>
      </c>
      <c r="D1977" t="s">
        <v>10</v>
      </c>
      <c r="E1977" t="s">
        <v>10</v>
      </c>
      <c r="F1977" t="s">
        <v>8563</v>
      </c>
      <c r="G1977">
        <v>2025</v>
      </c>
      <c r="H1977" t="s">
        <v>1160</v>
      </c>
      <c r="I1977" t="s">
        <v>142</v>
      </c>
      <c r="J1977">
        <v>17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Y1977">
        <v>0</v>
      </c>
      <c r="AA1977">
        <v>11</v>
      </c>
      <c r="AB1977">
        <v>18</v>
      </c>
      <c r="AC1977">
        <v>0</v>
      </c>
      <c r="AD1977">
        <v>0</v>
      </c>
      <c r="AE1977">
        <v>0</v>
      </c>
      <c r="AF1977">
        <v>0</v>
      </c>
      <c r="AG1977">
        <v>-4.2346575084957303</v>
      </c>
      <c r="AH1977">
        <v>0</v>
      </c>
      <c r="AI1977">
        <v>48</v>
      </c>
      <c r="AJ1977">
        <v>74</v>
      </c>
      <c r="AK1977">
        <v>423</v>
      </c>
      <c r="AL1977">
        <v>4</v>
      </c>
      <c r="AM1977">
        <v>0</v>
      </c>
      <c r="AN1977">
        <v>0</v>
      </c>
      <c r="AO1977">
        <v>599</v>
      </c>
      <c r="AP1977">
        <v>220</v>
      </c>
      <c r="AQ1977">
        <v>20</v>
      </c>
      <c r="AR1977">
        <v>1.56623321907596</v>
      </c>
      <c r="AS1977">
        <v>0</v>
      </c>
      <c r="AT1977">
        <v>0.70617696160267096</v>
      </c>
      <c r="AU1977">
        <v>0.13962264150943399</v>
      </c>
      <c r="AV1977">
        <v>0.149227703039362</v>
      </c>
      <c r="AW1977">
        <v>0.31389335439170502</v>
      </c>
      <c r="AX1977">
        <v>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1</v>
      </c>
      <c r="BU1977">
        <v>10</v>
      </c>
      <c r="BV1977">
        <v>23</v>
      </c>
      <c r="BW1977">
        <v>398</v>
      </c>
      <c r="BX1977">
        <v>62</v>
      </c>
      <c r="BY1977">
        <v>1588</v>
      </c>
      <c r="BZ1977">
        <v>0</v>
      </c>
      <c r="CA1977">
        <v>0</v>
      </c>
      <c r="CB1977">
        <v>0</v>
      </c>
      <c r="CC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C1977">
        <v>0</v>
      </c>
      <c r="DD1977">
        <v>0</v>
      </c>
      <c r="DE1977">
        <v>0</v>
      </c>
      <c r="DF1977">
        <v>0</v>
      </c>
      <c r="DH1977">
        <v>80.099999999999994</v>
      </c>
      <c r="DI1977">
        <v>128.1</v>
      </c>
    </row>
    <row r="1978" spans="1:113" ht="15" customHeight="1" x14ac:dyDescent="0.25">
      <c r="A1978" t="s">
        <v>8564</v>
      </c>
      <c r="B1978" t="s">
        <v>8565</v>
      </c>
      <c r="C1978" t="s">
        <v>8566</v>
      </c>
      <c r="D1978" t="s">
        <v>1243</v>
      </c>
      <c r="E1978" t="s">
        <v>1190</v>
      </c>
      <c r="F1978" t="s">
        <v>8567</v>
      </c>
      <c r="G1978">
        <v>2025</v>
      </c>
      <c r="H1978" t="s">
        <v>1160</v>
      </c>
      <c r="I1978" t="s">
        <v>90</v>
      </c>
      <c r="J1978">
        <v>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Y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S1978">
        <v>0</v>
      </c>
      <c r="AU1978">
        <v>0</v>
      </c>
      <c r="AV1978">
        <v>0</v>
      </c>
      <c r="AW1978">
        <v>0</v>
      </c>
      <c r="AX1978">
        <v>0</v>
      </c>
      <c r="AY1978">
        <v>7</v>
      </c>
      <c r="AZ1978">
        <v>1</v>
      </c>
      <c r="BA1978">
        <v>3</v>
      </c>
      <c r="BB1978">
        <v>5</v>
      </c>
      <c r="BC1978">
        <v>21</v>
      </c>
      <c r="BD1978">
        <v>0</v>
      </c>
      <c r="BE1978">
        <v>2</v>
      </c>
      <c r="BF1978">
        <v>10</v>
      </c>
      <c r="BG1978">
        <v>5</v>
      </c>
      <c r="BH1978">
        <v>0</v>
      </c>
      <c r="BI1978">
        <v>0</v>
      </c>
      <c r="BJ1978">
        <v>2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1</v>
      </c>
      <c r="BS1978">
        <v>1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C1978">
        <v>0</v>
      </c>
      <c r="DD1978">
        <v>0</v>
      </c>
      <c r="DE1978">
        <v>0</v>
      </c>
      <c r="DF1978">
        <v>0</v>
      </c>
      <c r="DH1978">
        <v>0</v>
      </c>
      <c r="DI1978">
        <v>0</v>
      </c>
    </row>
    <row r="1979" spans="1:113" ht="15" customHeight="1" x14ac:dyDescent="0.25">
      <c r="A1979" t="s">
        <v>8568</v>
      </c>
      <c r="B1979" t="s">
        <v>6407</v>
      </c>
      <c r="C1979" t="s">
        <v>8569</v>
      </c>
      <c r="D1979" t="s">
        <v>1234</v>
      </c>
      <c r="E1979" t="s">
        <v>1234</v>
      </c>
      <c r="F1979" t="s">
        <v>8570</v>
      </c>
      <c r="G1979">
        <v>2025</v>
      </c>
      <c r="H1979" t="s">
        <v>1160</v>
      </c>
      <c r="I1979" t="s">
        <v>120</v>
      </c>
      <c r="J1979">
        <v>16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Y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S1979">
        <v>0</v>
      </c>
      <c r="AU1979">
        <v>0</v>
      </c>
      <c r="AV1979">
        <v>0</v>
      </c>
      <c r="AW1979">
        <v>0</v>
      </c>
      <c r="AX1979">
        <v>0</v>
      </c>
      <c r="AY1979">
        <v>42</v>
      </c>
      <c r="AZ1979">
        <v>2</v>
      </c>
      <c r="BA1979">
        <v>36</v>
      </c>
      <c r="BB1979">
        <v>2</v>
      </c>
      <c r="BC1979">
        <v>3</v>
      </c>
      <c r="BD1979">
        <v>1</v>
      </c>
      <c r="BE1979">
        <v>0</v>
      </c>
      <c r="BF1979">
        <v>0</v>
      </c>
      <c r="BG1979">
        <v>1</v>
      </c>
      <c r="BH1979">
        <v>1</v>
      </c>
      <c r="BI1979">
        <v>0</v>
      </c>
      <c r="BJ1979">
        <v>3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1</v>
      </c>
      <c r="BR1979">
        <v>1</v>
      </c>
      <c r="BS1979">
        <v>0</v>
      </c>
      <c r="BT1979">
        <v>2</v>
      </c>
      <c r="BU1979">
        <v>36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C1979">
        <v>0</v>
      </c>
      <c r="DD1979">
        <v>0</v>
      </c>
      <c r="DE1979">
        <v>0</v>
      </c>
      <c r="DF1979">
        <v>0</v>
      </c>
      <c r="DH1979">
        <v>0</v>
      </c>
      <c r="DI1979">
        <v>0</v>
      </c>
    </row>
    <row r="1980" spans="1:113" ht="15" customHeight="1" x14ac:dyDescent="0.25">
      <c r="A1980" t="s">
        <v>8571</v>
      </c>
      <c r="B1980" t="s">
        <v>8572</v>
      </c>
      <c r="C1980" t="s">
        <v>8573</v>
      </c>
      <c r="D1980" t="s">
        <v>1350</v>
      </c>
      <c r="E1980" t="s">
        <v>1307</v>
      </c>
      <c r="F1980" t="s">
        <v>8574</v>
      </c>
      <c r="G1980">
        <v>2025</v>
      </c>
      <c r="H1980" t="s">
        <v>1160</v>
      </c>
      <c r="I1980" t="s">
        <v>99</v>
      </c>
      <c r="J1980">
        <v>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Y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S1980">
        <v>0</v>
      </c>
      <c r="AU1980">
        <v>0</v>
      </c>
      <c r="AV1980">
        <v>0</v>
      </c>
      <c r="AW1980">
        <v>0</v>
      </c>
      <c r="AX1980">
        <v>0</v>
      </c>
      <c r="AY1980">
        <v>14</v>
      </c>
      <c r="AZ1980">
        <v>0</v>
      </c>
      <c r="BA1980">
        <v>4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2</v>
      </c>
      <c r="BI1980">
        <v>1</v>
      </c>
      <c r="BJ1980">
        <v>5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C1980">
        <v>0</v>
      </c>
      <c r="DD1980">
        <v>0</v>
      </c>
      <c r="DE1980">
        <v>0</v>
      </c>
      <c r="DF1980">
        <v>0</v>
      </c>
      <c r="DH1980">
        <v>0</v>
      </c>
      <c r="DI1980">
        <v>0</v>
      </c>
    </row>
    <row r="1981" spans="1:113" ht="15" customHeight="1" x14ac:dyDescent="0.25">
      <c r="A1981" t="s">
        <v>8575</v>
      </c>
      <c r="B1981" t="s">
        <v>2093</v>
      </c>
      <c r="C1981" t="s">
        <v>8576</v>
      </c>
      <c r="D1981" t="s">
        <v>1243</v>
      </c>
      <c r="E1981" t="s">
        <v>1190</v>
      </c>
      <c r="F1981" t="s">
        <v>8577</v>
      </c>
      <c r="G1981">
        <v>2025</v>
      </c>
      <c r="H1981" t="s">
        <v>1160</v>
      </c>
      <c r="I1981" t="s">
        <v>99</v>
      </c>
      <c r="J1981">
        <v>15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Y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S1981">
        <v>0</v>
      </c>
      <c r="AU1981">
        <v>0</v>
      </c>
      <c r="AV1981">
        <v>0</v>
      </c>
      <c r="AW1981">
        <v>0</v>
      </c>
      <c r="AX1981">
        <v>0</v>
      </c>
      <c r="AY1981">
        <v>15</v>
      </c>
      <c r="AZ1981">
        <v>2</v>
      </c>
      <c r="BA1981">
        <v>22</v>
      </c>
      <c r="BB1981">
        <v>8</v>
      </c>
      <c r="BC1981">
        <v>11</v>
      </c>
      <c r="BD1981">
        <v>0</v>
      </c>
      <c r="BE1981">
        <v>1</v>
      </c>
      <c r="BF1981">
        <v>3</v>
      </c>
      <c r="BG1981">
        <v>4</v>
      </c>
      <c r="BH1981">
        <v>0</v>
      </c>
      <c r="BI1981">
        <v>0</v>
      </c>
      <c r="BJ1981">
        <v>4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1</v>
      </c>
      <c r="BR1981">
        <v>1</v>
      </c>
      <c r="BS1981">
        <v>0</v>
      </c>
      <c r="BT1981">
        <v>1</v>
      </c>
      <c r="BU1981">
        <v>15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C1981">
        <v>0</v>
      </c>
      <c r="DD1981">
        <v>0</v>
      </c>
      <c r="DE1981">
        <v>0</v>
      </c>
      <c r="DF1981">
        <v>0</v>
      </c>
      <c r="DH1981">
        <v>0</v>
      </c>
      <c r="DI1981">
        <v>0</v>
      </c>
    </row>
    <row r="1982" spans="1:113" ht="15" customHeight="1" x14ac:dyDescent="0.25">
      <c r="A1982" t="s">
        <v>8578</v>
      </c>
      <c r="B1982" t="s">
        <v>8579</v>
      </c>
      <c r="C1982" t="s">
        <v>8580</v>
      </c>
      <c r="D1982" t="s">
        <v>1243</v>
      </c>
      <c r="E1982" t="s">
        <v>1190</v>
      </c>
      <c r="F1982" t="s">
        <v>8581</v>
      </c>
      <c r="G1982">
        <v>2025</v>
      </c>
      <c r="H1982" t="s">
        <v>1160</v>
      </c>
      <c r="I1982" t="s">
        <v>141</v>
      </c>
      <c r="J1982">
        <v>10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Y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S1982">
        <v>0</v>
      </c>
      <c r="AU1982">
        <v>0</v>
      </c>
      <c r="AV1982">
        <v>0</v>
      </c>
      <c r="AW1982">
        <v>0</v>
      </c>
      <c r="AX1982">
        <v>0</v>
      </c>
      <c r="AY1982">
        <v>11</v>
      </c>
      <c r="AZ1982">
        <v>1</v>
      </c>
      <c r="BA1982">
        <v>9</v>
      </c>
      <c r="BB1982">
        <v>2</v>
      </c>
      <c r="BC1982">
        <v>9</v>
      </c>
      <c r="BD1982">
        <v>0</v>
      </c>
      <c r="BE1982">
        <v>1</v>
      </c>
      <c r="BF1982">
        <v>8</v>
      </c>
      <c r="BG1982">
        <v>1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C1982">
        <v>0</v>
      </c>
      <c r="DD1982">
        <v>0</v>
      </c>
      <c r="DE1982">
        <v>0</v>
      </c>
      <c r="DF1982">
        <v>0</v>
      </c>
      <c r="DH1982">
        <v>0</v>
      </c>
      <c r="DI1982">
        <v>0</v>
      </c>
    </row>
    <row r="1983" spans="1:113" ht="15" customHeight="1" x14ac:dyDescent="0.25">
      <c r="A1983" t="s">
        <v>8582</v>
      </c>
      <c r="B1983" t="s">
        <v>8583</v>
      </c>
      <c r="C1983" t="s">
        <v>878</v>
      </c>
      <c r="D1983" t="s">
        <v>431</v>
      </c>
      <c r="E1983" t="s">
        <v>431</v>
      </c>
      <c r="F1983" t="s">
        <v>8584</v>
      </c>
      <c r="G1983">
        <v>2025</v>
      </c>
      <c r="H1983" t="s">
        <v>1160</v>
      </c>
      <c r="I1983" t="s">
        <v>139</v>
      </c>
      <c r="J1983">
        <v>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Y1983">
        <v>0</v>
      </c>
      <c r="AA1983">
        <v>101</v>
      </c>
      <c r="AB1983">
        <v>410</v>
      </c>
      <c r="AC1983">
        <v>5</v>
      </c>
      <c r="AD1983">
        <v>1</v>
      </c>
      <c r="AE1983">
        <v>1</v>
      </c>
      <c r="AF1983">
        <v>27</v>
      </c>
      <c r="AG1983">
        <v>-12.096826651538301</v>
      </c>
      <c r="AH1983">
        <v>1</v>
      </c>
      <c r="AI1983">
        <v>24</v>
      </c>
      <c r="AJ1983">
        <v>32</v>
      </c>
      <c r="AK1983">
        <v>207</v>
      </c>
      <c r="AL1983">
        <v>2</v>
      </c>
      <c r="AM1983">
        <v>0</v>
      </c>
      <c r="AN1983">
        <v>0</v>
      </c>
      <c r="AO1983">
        <v>-5</v>
      </c>
      <c r="AP1983">
        <v>209</v>
      </c>
      <c r="AQ1983">
        <v>11</v>
      </c>
      <c r="AR1983">
        <v>3.3481657442753199</v>
      </c>
      <c r="AS1983">
        <v>0</v>
      </c>
      <c r="AT1983">
        <v>-41.4</v>
      </c>
      <c r="AU1983">
        <v>6.3618290258449298E-2</v>
      </c>
      <c r="AV1983">
        <v>-1.11781801922647E-3</v>
      </c>
      <c r="AW1983">
        <v>9.4644962774215399E-2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1</v>
      </c>
      <c r="BU1983">
        <v>15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C1983">
        <v>0</v>
      </c>
      <c r="DD1983">
        <v>0</v>
      </c>
      <c r="DE1983">
        <v>0</v>
      </c>
      <c r="DF1983">
        <v>0</v>
      </c>
      <c r="DH1983">
        <v>103.7</v>
      </c>
      <c r="DI1983">
        <v>127.7</v>
      </c>
    </row>
    <row r="1984" spans="1:113" ht="15" customHeight="1" x14ac:dyDescent="0.25">
      <c r="A1984" t="s">
        <v>8585</v>
      </c>
      <c r="B1984" t="s">
        <v>8586</v>
      </c>
      <c r="C1984" t="s">
        <v>8587</v>
      </c>
      <c r="D1984" t="s">
        <v>1684</v>
      </c>
      <c r="E1984" t="s">
        <v>1307</v>
      </c>
      <c r="F1984" t="s">
        <v>8588</v>
      </c>
      <c r="G1984">
        <v>2025</v>
      </c>
      <c r="H1984" t="s">
        <v>1160</v>
      </c>
      <c r="I1984" t="s">
        <v>114</v>
      </c>
      <c r="J1984">
        <v>17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Y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S1984">
        <v>0</v>
      </c>
      <c r="AU1984">
        <v>0</v>
      </c>
      <c r="AV1984">
        <v>0</v>
      </c>
      <c r="AW1984">
        <v>0</v>
      </c>
      <c r="AX1984">
        <v>0</v>
      </c>
      <c r="AY1984">
        <v>41</v>
      </c>
      <c r="AZ1984">
        <v>1</v>
      </c>
      <c r="BA1984">
        <v>37</v>
      </c>
      <c r="BB1984">
        <v>4</v>
      </c>
      <c r="BC1984">
        <v>9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3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2</v>
      </c>
      <c r="BR1984">
        <v>2</v>
      </c>
      <c r="BS1984">
        <v>0</v>
      </c>
      <c r="BT1984">
        <v>1</v>
      </c>
      <c r="BU1984">
        <v>5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C1984">
        <v>0</v>
      </c>
      <c r="DD1984">
        <v>0</v>
      </c>
      <c r="DE1984">
        <v>0</v>
      </c>
      <c r="DF1984">
        <v>0</v>
      </c>
      <c r="DH1984">
        <v>0</v>
      </c>
      <c r="DI1984">
        <v>0</v>
      </c>
    </row>
    <row r="1985" spans="1:113" ht="15" customHeight="1" x14ac:dyDescent="0.25">
      <c r="A1985" t="s">
        <v>8589</v>
      </c>
      <c r="B1985" t="s">
        <v>8590</v>
      </c>
      <c r="C1985" t="s">
        <v>693</v>
      </c>
      <c r="D1985" t="s">
        <v>10</v>
      </c>
      <c r="E1985" t="s">
        <v>10</v>
      </c>
      <c r="F1985" t="s">
        <v>8591</v>
      </c>
      <c r="G1985">
        <v>2025</v>
      </c>
      <c r="H1985" t="s">
        <v>1160</v>
      </c>
      <c r="I1985" t="s">
        <v>106</v>
      </c>
      <c r="J1985">
        <v>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Y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-0.66119154018815596</v>
      </c>
      <c r="AH1985">
        <v>0</v>
      </c>
      <c r="AI1985">
        <v>28</v>
      </c>
      <c r="AJ1985">
        <v>45</v>
      </c>
      <c r="AK1985">
        <v>298</v>
      </c>
      <c r="AL1985">
        <v>1</v>
      </c>
      <c r="AM1985">
        <v>1</v>
      </c>
      <c r="AN1985">
        <v>0</v>
      </c>
      <c r="AO1985">
        <v>354</v>
      </c>
      <c r="AP1985">
        <v>140</v>
      </c>
      <c r="AQ1985">
        <v>12</v>
      </c>
      <c r="AR1985">
        <v>-2.3070901150441299</v>
      </c>
      <c r="AS1985">
        <v>0</v>
      </c>
      <c r="AT1985">
        <v>0.84180790960452001</v>
      </c>
      <c r="AU1985">
        <v>8.2266910420475306E-2</v>
      </c>
      <c r="AV1985">
        <v>7.2540983606557405E-2</v>
      </c>
      <c r="AW1985">
        <v>0.17417905415530299</v>
      </c>
      <c r="AX1985">
        <v>0</v>
      </c>
      <c r="AY1985">
        <v>10</v>
      </c>
      <c r="AZ1985">
        <v>1</v>
      </c>
      <c r="BA1985">
        <v>4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3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3</v>
      </c>
      <c r="BU1985">
        <v>35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C1985">
        <v>0</v>
      </c>
      <c r="DD1985">
        <v>0</v>
      </c>
      <c r="DE1985">
        <v>0</v>
      </c>
      <c r="DF1985">
        <v>0</v>
      </c>
      <c r="DH1985">
        <v>35.799999999999997</v>
      </c>
      <c r="DI1985">
        <v>63.8</v>
      </c>
    </row>
    <row r="1986" spans="1:113" ht="15" customHeight="1" x14ac:dyDescent="0.25">
      <c r="A1986" t="s">
        <v>8592</v>
      </c>
      <c r="B1986" t="s">
        <v>8593</v>
      </c>
      <c r="C1986" t="s">
        <v>703</v>
      </c>
      <c r="D1986" t="s">
        <v>431</v>
      </c>
      <c r="E1986" t="s">
        <v>431</v>
      </c>
      <c r="F1986" t="s">
        <v>8594</v>
      </c>
      <c r="G1986">
        <v>2025</v>
      </c>
      <c r="H1986" t="s">
        <v>1160</v>
      </c>
      <c r="I1986" t="s">
        <v>106</v>
      </c>
      <c r="J1986">
        <v>15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Y1986">
        <v>0</v>
      </c>
      <c r="AA1986">
        <v>83</v>
      </c>
      <c r="AB1986">
        <v>307</v>
      </c>
      <c r="AC1986">
        <v>5</v>
      </c>
      <c r="AD1986">
        <v>1</v>
      </c>
      <c r="AE1986">
        <v>1</v>
      </c>
      <c r="AF1986">
        <v>23</v>
      </c>
      <c r="AG1986">
        <v>-10.188328399251199</v>
      </c>
      <c r="AH1986">
        <v>0</v>
      </c>
      <c r="AI1986">
        <v>10</v>
      </c>
      <c r="AJ1986">
        <v>14</v>
      </c>
      <c r="AK1986">
        <v>79</v>
      </c>
      <c r="AL1986">
        <v>2</v>
      </c>
      <c r="AM1986">
        <v>0</v>
      </c>
      <c r="AN1986">
        <v>0</v>
      </c>
      <c r="AO1986">
        <v>8</v>
      </c>
      <c r="AP1986">
        <v>80</v>
      </c>
      <c r="AQ1986">
        <v>3</v>
      </c>
      <c r="AR1986">
        <v>5.4954159854678402</v>
      </c>
      <c r="AS1986">
        <v>0</v>
      </c>
      <c r="AT1986">
        <v>9.875</v>
      </c>
      <c r="AU1986">
        <v>2.5594149908592299E-2</v>
      </c>
      <c r="AV1986">
        <v>1.63934426229508E-3</v>
      </c>
      <c r="AW1986">
        <v>3.9538765846495003E-2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2</v>
      </c>
      <c r="BU1986">
        <v>23</v>
      </c>
      <c r="BV1986">
        <v>0</v>
      </c>
      <c r="BW1986">
        <v>0</v>
      </c>
      <c r="BX1986">
        <v>19</v>
      </c>
      <c r="BY1986">
        <v>539</v>
      </c>
      <c r="BZ1986">
        <v>0</v>
      </c>
      <c r="CA1986">
        <v>0</v>
      </c>
      <c r="CB1986">
        <v>0</v>
      </c>
      <c r="CC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C1986">
        <v>0</v>
      </c>
      <c r="DD1986">
        <v>0</v>
      </c>
      <c r="DE1986">
        <v>0</v>
      </c>
      <c r="DF1986">
        <v>0</v>
      </c>
      <c r="DH1986">
        <v>78.599999999999994</v>
      </c>
      <c r="DI1986">
        <v>88.6</v>
      </c>
    </row>
    <row r="1987" spans="1:113" ht="15" customHeight="1" x14ac:dyDescent="0.25">
      <c r="A1987" t="s">
        <v>8595</v>
      </c>
      <c r="B1987" t="s">
        <v>8596</v>
      </c>
      <c r="C1987" t="s">
        <v>8597</v>
      </c>
      <c r="D1987" t="s">
        <v>1350</v>
      </c>
      <c r="E1987" t="s">
        <v>1307</v>
      </c>
      <c r="F1987" t="s">
        <v>8598</v>
      </c>
      <c r="G1987">
        <v>2025</v>
      </c>
      <c r="H1987" t="s">
        <v>1160</v>
      </c>
      <c r="I1987" t="s">
        <v>115</v>
      </c>
      <c r="J1987">
        <v>16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Y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S1987">
        <v>0</v>
      </c>
      <c r="AU1987">
        <v>0</v>
      </c>
      <c r="AV1987">
        <v>0</v>
      </c>
      <c r="AW1987">
        <v>0</v>
      </c>
      <c r="AX1987">
        <v>0</v>
      </c>
      <c r="AY1987">
        <v>24</v>
      </c>
      <c r="AZ1987">
        <v>0</v>
      </c>
      <c r="BA1987">
        <v>11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1</v>
      </c>
      <c r="BI1987">
        <v>0</v>
      </c>
      <c r="BJ1987">
        <v>5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1</v>
      </c>
      <c r="BR1987">
        <v>1</v>
      </c>
      <c r="BS1987">
        <v>0</v>
      </c>
      <c r="BT1987">
        <v>2</v>
      </c>
      <c r="BU1987">
        <v>14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C1987">
        <v>0</v>
      </c>
      <c r="DD1987">
        <v>0</v>
      </c>
      <c r="DE1987">
        <v>0</v>
      </c>
      <c r="DF1987">
        <v>0</v>
      </c>
      <c r="DH1987">
        <v>0</v>
      </c>
      <c r="DI1987">
        <v>0</v>
      </c>
    </row>
    <row r="1988" spans="1:113" ht="15" customHeight="1" x14ac:dyDescent="0.25">
      <c r="A1988" t="s">
        <v>8599</v>
      </c>
      <c r="B1988" t="s">
        <v>8600</v>
      </c>
      <c r="C1988" t="s">
        <v>8601</v>
      </c>
      <c r="D1988" t="s">
        <v>1243</v>
      </c>
      <c r="E1988" t="s">
        <v>1190</v>
      </c>
      <c r="F1988" t="s">
        <v>8602</v>
      </c>
      <c r="G1988">
        <v>2025</v>
      </c>
      <c r="H1988" t="s">
        <v>1160</v>
      </c>
      <c r="I1988" t="s">
        <v>141</v>
      </c>
      <c r="J1988">
        <v>11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Y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S1988">
        <v>0</v>
      </c>
      <c r="AU1988">
        <v>0</v>
      </c>
      <c r="AV1988">
        <v>0</v>
      </c>
      <c r="AW1988">
        <v>0</v>
      </c>
      <c r="AX1988">
        <v>0</v>
      </c>
      <c r="AY1988">
        <v>4</v>
      </c>
      <c r="AZ1988">
        <v>0</v>
      </c>
      <c r="BA1988">
        <v>13</v>
      </c>
      <c r="BB1988">
        <v>1</v>
      </c>
      <c r="BC1988">
        <v>15</v>
      </c>
      <c r="BD1988">
        <v>2</v>
      </c>
      <c r="BE1988">
        <v>1</v>
      </c>
      <c r="BF1988">
        <v>15</v>
      </c>
      <c r="BG1988">
        <v>4</v>
      </c>
      <c r="BH1988">
        <v>0</v>
      </c>
      <c r="BI1988">
        <v>0</v>
      </c>
      <c r="BJ1988">
        <v>2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2</v>
      </c>
      <c r="BR1988">
        <v>2</v>
      </c>
      <c r="BS1988">
        <v>0</v>
      </c>
      <c r="BT1988">
        <v>1</v>
      </c>
      <c r="BU1988">
        <v>15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C1988">
        <v>0</v>
      </c>
      <c r="DD1988">
        <v>0</v>
      </c>
      <c r="DE1988">
        <v>0</v>
      </c>
      <c r="DF1988">
        <v>0</v>
      </c>
      <c r="DH1988">
        <v>0</v>
      </c>
      <c r="DI1988">
        <v>0</v>
      </c>
    </row>
    <row r="1989" spans="1:113" ht="15" customHeight="1" x14ac:dyDescent="0.25">
      <c r="A1989" t="s">
        <v>8603</v>
      </c>
      <c r="B1989" t="s">
        <v>8604</v>
      </c>
      <c r="C1989" t="s">
        <v>8605</v>
      </c>
      <c r="D1989" t="s">
        <v>1234</v>
      </c>
      <c r="E1989" t="s">
        <v>1234</v>
      </c>
      <c r="F1989" t="s">
        <v>8606</v>
      </c>
      <c r="G1989">
        <v>2025</v>
      </c>
      <c r="H1989" t="s">
        <v>1160</v>
      </c>
      <c r="I1989" t="s">
        <v>97</v>
      </c>
      <c r="J1989">
        <v>17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Y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S1989">
        <v>0</v>
      </c>
      <c r="AU1989">
        <v>0</v>
      </c>
      <c r="AV1989">
        <v>0</v>
      </c>
      <c r="AW1989">
        <v>0</v>
      </c>
      <c r="AX1989">
        <v>0</v>
      </c>
      <c r="AY1989">
        <v>15</v>
      </c>
      <c r="AZ1989">
        <v>2</v>
      </c>
      <c r="BA1989">
        <v>24</v>
      </c>
      <c r="BB1989">
        <v>7</v>
      </c>
      <c r="BC1989">
        <v>28</v>
      </c>
      <c r="BD1989">
        <v>0</v>
      </c>
      <c r="BE1989">
        <v>3.5</v>
      </c>
      <c r="BF1989">
        <v>23</v>
      </c>
      <c r="BG1989">
        <v>14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1</v>
      </c>
      <c r="BR1989">
        <v>1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C1989">
        <v>0</v>
      </c>
      <c r="DD1989">
        <v>0</v>
      </c>
      <c r="DE1989">
        <v>0</v>
      </c>
      <c r="DF1989">
        <v>0</v>
      </c>
      <c r="DH1989">
        <v>0</v>
      </c>
      <c r="DI1989">
        <v>0</v>
      </c>
    </row>
    <row r="1990" spans="1:113" ht="15" customHeight="1" x14ac:dyDescent="0.25">
      <c r="A1990" t="s">
        <v>8607</v>
      </c>
      <c r="B1990" t="s">
        <v>8608</v>
      </c>
      <c r="C1990" t="s">
        <v>8609</v>
      </c>
      <c r="D1990" t="s">
        <v>1234</v>
      </c>
      <c r="E1990" t="s">
        <v>1234</v>
      </c>
      <c r="F1990" t="s">
        <v>8610</v>
      </c>
      <c r="G1990">
        <v>2025</v>
      </c>
      <c r="H1990" t="s">
        <v>1160</v>
      </c>
      <c r="I1990" t="s">
        <v>106</v>
      </c>
      <c r="J1990">
        <v>6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Y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S1990">
        <v>0</v>
      </c>
      <c r="AU1990">
        <v>0</v>
      </c>
      <c r="AV1990">
        <v>0</v>
      </c>
      <c r="AW1990">
        <v>0</v>
      </c>
      <c r="AX1990">
        <v>0</v>
      </c>
      <c r="AY1990">
        <v>5</v>
      </c>
      <c r="AZ1990">
        <v>0</v>
      </c>
      <c r="BA1990">
        <v>9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C1990">
        <v>0</v>
      </c>
      <c r="DD1990">
        <v>0</v>
      </c>
      <c r="DE1990">
        <v>0</v>
      </c>
      <c r="DF1990">
        <v>0</v>
      </c>
      <c r="DH1990">
        <v>0</v>
      </c>
      <c r="DI1990">
        <v>0</v>
      </c>
    </row>
    <row r="1991" spans="1:113" ht="15" customHeight="1" x14ac:dyDescent="0.25">
      <c r="A1991" t="s">
        <v>8611</v>
      </c>
      <c r="B1991" t="s">
        <v>8612</v>
      </c>
      <c r="C1991" t="s">
        <v>8613</v>
      </c>
      <c r="D1991" t="s">
        <v>1243</v>
      </c>
      <c r="E1991" t="s">
        <v>1190</v>
      </c>
      <c r="F1991" t="s">
        <v>8614</v>
      </c>
      <c r="G1991">
        <v>2025</v>
      </c>
      <c r="H1991" t="s">
        <v>1160</v>
      </c>
      <c r="I1991" t="s">
        <v>99</v>
      </c>
      <c r="J1991">
        <v>10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Y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>
        <v>0</v>
      </c>
      <c r="AU1991">
        <v>0</v>
      </c>
      <c r="AV1991">
        <v>0</v>
      </c>
      <c r="AW1991">
        <v>0</v>
      </c>
      <c r="AX1991">
        <v>0</v>
      </c>
      <c r="AY1991">
        <v>7</v>
      </c>
      <c r="AZ1991">
        <v>0</v>
      </c>
      <c r="BA1991">
        <v>9</v>
      </c>
      <c r="BB1991">
        <v>1</v>
      </c>
      <c r="BC1991">
        <v>7</v>
      </c>
      <c r="BD1991">
        <v>0</v>
      </c>
      <c r="BE1991">
        <v>1</v>
      </c>
      <c r="BF1991">
        <v>7</v>
      </c>
      <c r="BG1991">
        <v>1</v>
      </c>
      <c r="BH1991">
        <v>0</v>
      </c>
      <c r="BI1991">
        <v>0</v>
      </c>
      <c r="BJ1991">
        <v>1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1</v>
      </c>
      <c r="BU1991">
        <v>3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C1991">
        <v>0</v>
      </c>
      <c r="DD1991">
        <v>0</v>
      </c>
      <c r="DE1991">
        <v>0</v>
      </c>
      <c r="DF1991">
        <v>0</v>
      </c>
      <c r="DH1991">
        <v>0</v>
      </c>
      <c r="DI1991">
        <v>0</v>
      </c>
    </row>
    <row r="1992" spans="1:113" ht="15" customHeight="1" x14ac:dyDescent="0.25">
      <c r="A1992" t="s">
        <v>8615</v>
      </c>
      <c r="B1992" t="s">
        <v>8616</v>
      </c>
      <c r="C1992" t="s">
        <v>8617</v>
      </c>
      <c r="D1992" t="s">
        <v>1189</v>
      </c>
      <c r="E1992" t="s">
        <v>1190</v>
      </c>
      <c r="F1992" t="s">
        <v>8618</v>
      </c>
      <c r="G1992">
        <v>2025</v>
      </c>
      <c r="H1992" t="s">
        <v>1160</v>
      </c>
      <c r="I1992" t="s">
        <v>112</v>
      </c>
      <c r="J1992">
        <v>17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Y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>
        <v>0</v>
      </c>
      <c r="AU1992">
        <v>0</v>
      </c>
      <c r="AV1992">
        <v>0</v>
      </c>
      <c r="AW1992">
        <v>0</v>
      </c>
      <c r="AX1992">
        <v>0</v>
      </c>
      <c r="AY1992">
        <v>19</v>
      </c>
      <c r="AZ1992">
        <v>1</v>
      </c>
      <c r="BA1992">
        <v>20</v>
      </c>
      <c r="BB1992">
        <v>9</v>
      </c>
      <c r="BC1992">
        <v>40</v>
      </c>
      <c r="BD1992">
        <v>1</v>
      </c>
      <c r="BE1992">
        <v>2</v>
      </c>
      <c r="BF1992">
        <v>15</v>
      </c>
      <c r="BG1992">
        <v>12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2</v>
      </c>
      <c r="BU1992">
        <v>16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C1992">
        <v>0</v>
      </c>
      <c r="DD1992">
        <v>0</v>
      </c>
      <c r="DE1992">
        <v>0</v>
      </c>
      <c r="DF1992">
        <v>0</v>
      </c>
      <c r="DH1992">
        <v>0</v>
      </c>
      <c r="DI1992">
        <v>0</v>
      </c>
    </row>
    <row r="1993" spans="1:113" ht="15" customHeight="1" x14ac:dyDescent="0.25">
      <c r="A1993" t="s">
        <v>8619</v>
      </c>
      <c r="B1993" t="s">
        <v>8620</v>
      </c>
      <c r="C1993" t="s">
        <v>8621</v>
      </c>
      <c r="D1993" t="s">
        <v>1219</v>
      </c>
      <c r="E1993" t="s">
        <v>1220</v>
      </c>
      <c r="F1993" t="s">
        <v>8622</v>
      </c>
      <c r="G1993">
        <v>2025</v>
      </c>
      <c r="H1993" t="s">
        <v>1160</v>
      </c>
      <c r="I1993" t="s">
        <v>118</v>
      </c>
      <c r="J1993">
        <v>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Y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S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2</v>
      </c>
      <c r="BU1993">
        <v>15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C1993">
        <v>0</v>
      </c>
      <c r="DD1993">
        <v>0</v>
      </c>
      <c r="DE1993">
        <v>0</v>
      </c>
      <c r="DF1993">
        <v>0</v>
      </c>
      <c r="DH1993">
        <v>0</v>
      </c>
      <c r="DI1993">
        <v>0</v>
      </c>
    </row>
    <row r="1994" spans="1:113" ht="15" customHeight="1" x14ac:dyDescent="0.25">
      <c r="A1994" t="s">
        <v>8623</v>
      </c>
      <c r="B1994" t="s">
        <v>8624</v>
      </c>
      <c r="C1994" t="s">
        <v>8625</v>
      </c>
      <c r="D1994" t="s">
        <v>10</v>
      </c>
      <c r="E1994" t="s">
        <v>10</v>
      </c>
      <c r="F1994" t="s">
        <v>8626</v>
      </c>
      <c r="G1994">
        <v>2025</v>
      </c>
      <c r="H1994" t="s">
        <v>1160</v>
      </c>
      <c r="I1994" t="s">
        <v>131</v>
      </c>
      <c r="J1994">
        <v>16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Y1994">
        <v>0</v>
      </c>
      <c r="AA1994">
        <v>2</v>
      </c>
      <c r="AB1994">
        <v>10</v>
      </c>
      <c r="AC1994">
        <v>0</v>
      </c>
      <c r="AD1994">
        <v>0</v>
      </c>
      <c r="AE1994">
        <v>0</v>
      </c>
      <c r="AF1994">
        <v>0</v>
      </c>
      <c r="AG1994">
        <v>-1.19711994775571E-2</v>
      </c>
      <c r="AH1994">
        <v>0</v>
      </c>
      <c r="AI1994">
        <v>30</v>
      </c>
      <c r="AJ1994">
        <v>43</v>
      </c>
      <c r="AK1994">
        <v>324</v>
      </c>
      <c r="AL1994">
        <v>1</v>
      </c>
      <c r="AM1994">
        <v>0</v>
      </c>
      <c r="AN1994">
        <v>0</v>
      </c>
      <c r="AO1994">
        <v>398</v>
      </c>
      <c r="AP1994">
        <v>139</v>
      </c>
      <c r="AQ1994">
        <v>18</v>
      </c>
      <c r="AR1994">
        <v>15.327282243097599</v>
      </c>
      <c r="AS1994">
        <v>0</v>
      </c>
      <c r="AT1994">
        <v>0.81407035175879405</v>
      </c>
      <c r="AU1994">
        <v>7.9044117647058806E-2</v>
      </c>
      <c r="AV1994">
        <v>8.7549494060712704E-2</v>
      </c>
      <c r="AW1994">
        <v>0.17985082231308699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C1994">
        <v>0</v>
      </c>
      <c r="DD1994">
        <v>0</v>
      </c>
      <c r="DE1994">
        <v>0</v>
      </c>
      <c r="DF1994">
        <v>0</v>
      </c>
      <c r="DH1994">
        <v>39.4</v>
      </c>
      <c r="DI1994">
        <v>69.400000000000006</v>
      </c>
    </row>
    <row r="1995" spans="1:113" ht="15" customHeight="1" x14ac:dyDescent="0.25">
      <c r="A1995" t="s">
        <v>8627</v>
      </c>
      <c r="B1995" t="s">
        <v>8628</v>
      </c>
      <c r="C1995" t="s">
        <v>8629</v>
      </c>
      <c r="D1995" t="s">
        <v>1297</v>
      </c>
      <c r="E1995" t="s">
        <v>1220</v>
      </c>
      <c r="F1995" t="s">
        <v>8630</v>
      </c>
      <c r="G1995">
        <v>2025</v>
      </c>
      <c r="H1995" t="s">
        <v>1160</v>
      </c>
      <c r="I1995" t="s">
        <v>111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Y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7</v>
      </c>
      <c r="BU1995">
        <v>55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C1995">
        <v>0</v>
      </c>
      <c r="DD1995">
        <v>0</v>
      </c>
      <c r="DE1995">
        <v>0</v>
      </c>
      <c r="DF1995">
        <v>0</v>
      </c>
      <c r="DH1995">
        <v>0</v>
      </c>
      <c r="DI1995">
        <v>0</v>
      </c>
    </row>
    <row r="1996" spans="1:113" ht="15" customHeight="1" x14ac:dyDescent="0.25">
      <c r="A1996" t="s">
        <v>8631</v>
      </c>
      <c r="B1996" t="s">
        <v>8632</v>
      </c>
      <c r="C1996" t="s">
        <v>760</v>
      </c>
      <c r="D1996" t="s">
        <v>10</v>
      </c>
      <c r="E1996" t="s">
        <v>10</v>
      </c>
      <c r="F1996" t="s">
        <v>8633</v>
      </c>
      <c r="G1996">
        <v>2025</v>
      </c>
      <c r="H1996" t="s">
        <v>1160</v>
      </c>
      <c r="I1996" t="s">
        <v>89</v>
      </c>
      <c r="J1996">
        <v>14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Y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H1996">
        <v>0</v>
      </c>
      <c r="AI1996">
        <v>20</v>
      </c>
      <c r="AJ1996">
        <v>29</v>
      </c>
      <c r="AK1996">
        <v>224</v>
      </c>
      <c r="AL1996">
        <v>0</v>
      </c>
      <c r="AM1996">
        <v>0</v>
      </c>
      <c r="AN1996">
        <v>0</v>
      </c>
      <c r="AO1996">
        <v>240</v>
      </c>
      <c r="AP1996">
        <v>68</v>
      </c>
      <c r="AQ1996">
        <v>11</v>
      </c>
      <c r="AR1996">
        <v>-2.0305611165089199</v>
      </c>
      <c r="AS1996">
        <v>0</v>
      </c>
      <c r="AT1996">
        <v>0.93333333333333302</v>
      </c>
      <c r="AU1996">
        <v>5.8704453441295497E-2</v>
      </c>
      <c r="AV1996">
        <v>7.4812967581047399E-2</v>
      </c>
      <c r="AW1996">
        <v>0.140425757468676</v>
      </c>
      <c r="AX1996">
        <v>0</v>
      </c>
      <c r="AY1996">
        <v>2</v>
      </c>
      <c r="AZ1996">
        <v>0</v>
      </c>
      <c r="BA1996">
        <v>1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3</v>
      </c>
      <c r="BU1996">
        <v>25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C1996">
        <v>0</v>
      </c>
      <c r="DD1996">
        <v>0</v>
      </c>
      <c r="DE1996">
        <v>0</v>
      </c>
      <c r="DF1996">
        <v>0</v>
      </c>
      <c r="DH1996">
        <v>22.4</v>
      </c>
      <c r="DI1996">
        <v>42.4</v>
      </c>
    </row>
    <row r="1997" spans="1:113" ht="15" customHeight="1" x14ac:dyDescent="0.25">
      <c r="A1997" t="s">
        <v>8634</v>
      </c>
      <c r="B1997" t="s">
        <v>8635</v>
      </c>
      <c r="C1997" t="s">
        <v>599</v>
      </c>
      <c r="D1997" t="s">
        <v>431</v>
      </c>
      <c r="E1997" t="s">
        <v>431</v>
      </c>
      <c r="F1997" t="s">
        <v>8636</v>
      </c>
      <c r="G1997">
        <v>2025</v>
      </c>
      <c r="H1997" t="s">
        <v>1160</v>
      </c>
      <c r="I1997" t="s">
        <v>115</v>
      </c>
      <c r="J1997">
        <v>17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0</v>
      </c>
      <c r="V1997">
        <v>0</v>
      </c>
      <c r="W1997">
        <v>-0.45860766939586001</v>
      </c>
      <c r="X1997">
        <v>-77.061682939529405</v>
      </c>
      <c r="Y1997">
        <v>0</v>
      </c>
      <c r="Z1997">
        <v>0</v>
      </c>
      <c r="AA1997">
        <v>146</v>
      </c>
      <c r="AB1997">
        <v>540</v>
      </c>
      <c r="AC1997">
        <v>7</v>
      </c>
      <c r="AD1997">
        <v>1</v>
      </c>
      <c r="AE1997">
        <v>1</v>
      </c>
      <c r="AF1997">
        <v>29</v>
      </c>
      <c r="AG1997">
        <v>-22.887165030931499</v>
      </c>
      <c r="AH1997">
        <v>0</v>
      </c>
      <c r="AI1997">
        <v>47</v>
      </c>
      <c r="AJ1997">
        <v>58</v>
      </c>
      <c r="AK1997">
        <v>356</v>
      </c>
      <c r="AL1997">
        <v>5</v>
      </c>
      <c r="AM1997">
        <v>0</v>
      </c>
      <c r="AN1997">
        <v>0</v>
      </c>
      <c r="AO1997">
        <v>28</v>
      </c>
      <c r="AP1997">
        <v>360</v>
      </c>
      <c r="AQ1997">
        <v>18</v>
      </c>
      <c r="AR1997">
        <v>19.075492267793098</v>
      </c>
      <c r="AS1997">
        <v>0</v>
      </c>
      <c r="AT1997">
        <v>12.714285714285699</v>
      </c>
      <c r="AU1997">
        <v>9.9315068493150693E-2</v>
      </c>
      <c r="AV1997">
        <v>6.2388591800356498E-3</v>
      </c>
      <c r="AW1997">
        <v>0.15333980416575099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16</v>
      </c>
      <c r="BY1997">
        <v>353</v>
      </c>
      <c r="BZ1997">
        <v>0</v>
      </c>
      <c r="CA1997">
        <v>0</v>
      </c>
      <c r="CB1997">
        <v>0</v>
      </c>
      <c r="CC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C1997">
        <v>0</v>
      </c>
      <c r="DD1997">
        <v>0</v>
      </c>
      <c r="DE1997">
        <v>0</v>
      </c>
      <c r="DF1997">
        <v>0</v>
      </c>
      <c r="DH1997">
        <v>159.6</v>
      </c>
      <c r="DI1997">
        <v>206.6</v>
      </c>
    </row>
    <row r="1998" spans="1:113" ht="15" customHeight="1" x14ac:dyDescent="0.25">
      <c r="A1998" t="s">
        <v>8637</v>
      </c>
      <c r="B1998" t="s">
        <v>8638</v>
      </c>
      <c r="C1998" t="s">
        <v>8639</v>
      </c>
      <c r="D1998" t="s">
        <v>1350</v>
      </c>
      <c r="E1998" t="s">
        <v>1307</v>
      </c>
      <c r="F1998" t="s">
        <v>8640</v>
      </c>
      <c r="G1998">
        <v>2025</v>
      </c>
      <c r="H1998" t="s">
        <v>1160</v>
      </c>
      <c r="I1998" t="s">
        <v>143</v>
      </c>
      <c r="J1998">
        <v>10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Y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S1998">
        <v>0</v>
      </c>
      <c r="AU1998">
        <v>0</v>
      </c>
      <c r="AV1998">
        <v>0</v>
      </c>
      <c r="AW1998">
        <v>0</v>
      </c>
      <c r="AX1998">
        <v>0</v>
      </c>
      <c r="AY1998">
        <v>18</v>
      </c>
      <c r="AZ1998">
        <v>1</v>
      </c>
      <c r="BA1998">
        <v>13</v>
      </c>
      <c r="BB1998">
        <v>1</v>
      </c>
      <c r="BC1998">
        <v>2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6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1</v>
      </c>
      <c r="BU1998">
        <v>5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C1998">
        <v>0</v>
      </c>
      <c r="DD1998">
        <v>0</v>
      </c>
      <c r="DE1998">
        <v>0</v>
      </c>
      <c r="DF1998">
        <v>0</v>
      </c>
      <c r="DH1998">
        <v>0</v>
      </c>
      <c r="DI1998">
        <v>0</v>
      </c>
    </row>
    <row r="1999" spans="1:113" ht="15" customHeight="1" x14ac:dyDescent="0.25">
      <c r="A1999" t="s">
        <v>8641</v>
      </c>
      <c r="B1999" t="s">
        <v>8642</v>
      </c>
      <c r="C1999" t="s">
        <v>8643</v>
      </c>
      <c r="D1999" t="s">
        <v>1684</v>
      </c>
      <c r="E1999" t="s">
        <v>1307</v>
      </c>
      <c r="F1999" t="s">
        <v>8644</v>
      </c>
      <c r="G1999">
        <v>2025</v>
      </c>
      <c r="H1999" t="s">
        <v>1160</v>
      </c>
      <c r="I1999" t="s">
        <v>140</v>
      </c>
      <c r="J1999">
        <v>14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Y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S1999">
        <v>0</v>
      </c>
      <c r="AU1999">
        <v>0</v>
      </c>
      <c r="AV1999">
        <v>0</v>
      </c>
      <c r="AW1999">
        <v>0</v>
      </c>
      <c r="AX1999">
        <v>0</v>
      </c>
      <c r="AY1999">
        <v>55</v>
      </c>
      <c r="AZ1999">
        <v>1</v>
      </c>
      <c r="BA1999">
        <v>25</v>
      </c>
      <c r="BB1999">
        <v>8</v>
      </c>
      <c r="BC1999">
        <v>23</v>
      </c>
      <c r="BD1999">
        <v>0</v>
      </c>
      <c r="BE1999">
        <v>2.5</v>
      </c>
      <c r="BF1999">
        <v>13</v>
      </c>
      <c r="BG1999">
        <v>4</v>
      </c>
      <c r="BH1999">
        <v>1</v>
      </c>
      <c r="BI1999">
        <v>0</v>
      </c>
      <c r="BJ1999">
        <v>11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2</v>
      </c>
      <c r="BU1999">
        <v>20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C1999">
        <v>0</v>
      </c>
      <c r="DD1999">
        <v>0</v>
      </c>
      <c r="DE1999">
        <v>0</v>
      </c>
      <c r="DF1999">
        <v>0</v>
      </c>
      <c r="DH1999">
        <v>0</v>
      </c>
      <c r="DI1999">
        <v>0</v>
      </c>
    </row>
    <row r="2000" spans="1:113" ht="15" customHeight="1" x14ac:dyDescent="0.25">
      <c r="A2000" t="s">
        <v>8645</v>
      </c>
      <c r="B2000" t="s">
        <v>8646</v>
      </c>
      <c r="C2000" t="s">
        <v>817</v>
      </c>
      <c r="D2000" t="s">
        <v>431</v>
      </c>
      <c r="E2000" t="s">
        <v>431</v>
      </c>
      <c r="F2000" t="s">
        <v>8647</v>
      </c>
      <c r="G2000">
        <v>2025</v>
      </c>
      <c r="H2000" t="s">
        <v>1160</v>
      </c>
      <c r="I2000" t="s">
        <v>114</v>
      </c>
      <c r="J2000">
        <v>17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Y2000">
        <v>0</v>
      </c>
      <c r="AA2000">
        <v>180</v>
      </c>
      <c r="AB2000">
        <v>911</v>
      </c>
      <c r="AC2000">
        <v>9</v>
      </c>
      <c r="AD2000">
        <v>1</v>
      </c>
      <c r="AE2000">
        <v>1</v>
      </c>
      <c r="AF2000">
        <v>46</v>
      </c>
      <c r="AG2000">
        <v>8.4343347971859401</v>
      </c>
      <c r="AH2000">
        <v>0</v>
      </c>
      <c r="AI2000">
        <v>35</v>
      </c>
      <c r="AJ2000">
        <v>42</v>
      </c>
      <c r="AK2000">
        <v>221</v>
      </c>
      <c r="AL2000">
        <v>1</v>
      </c>
      <c r="AM2000">
        <v>0</v>
      </c>
      <c r="AN2000">
        <v>0</v>
      </c>
      <c r="AO2000">
        <v>-1</v>
      </c>
      <c r="AP2000">
        <v>244</v>
      </c>
      <c r="AQ2000">
        <v>7</v>
      </c>
      <c r="AR2000">
        <v>2.6789682244892399</v>
      </c>
      <c r="AS2000">
        <v>0</v>
      </c>
      <c r="AT2000">
        <v>-221</v>
      </c>
      <c r="AU2000">
        <v>8.7136929460580895E-2</v>
      </c>
      <c r="AV2000">
        <v>-2.1682567215958401E-4</v>
      </c>
      <c r="AW2000">
        <v>0.13055361622035999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3</v>
      </c>
      <c r="BU2000">
        <v>30</v>
      </c>
      <c r="BV2000">
        <v>0</v>
      </c>
      <c r="BW2000">
        <v>0</v>
      </c>
      <c r="BX2000">
        <v>9</v>
      </c>
      <c r="BY2000">
        <v>209</v>
      </c>
      <c r="BZ2000">
        <v>0</v>
      </c>
      <c r="CA2000">
        <v>0</v>
      </c>
      <c r="CB2000">
        <v>0</v>
      </c>
      <c r="CC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C2000">
        <v>0</v>
      </c>
      <c r="DD2000">
        <v>0</v>
      </c>
      <c r="DE2000">
        <v>0</v>
      </c>
      <c r="DF2000">
        <v>0</v>
      </c>
      <c r="DH2000">
        <v>171.2</v>
      </c>
      <c r="DI2000">
        <v>206.2</v>
      </c>
    </row>
    <row r="2001" spans="1:113" ht="15" customHeight="1" x14ac:dyDescent="0.25">
      <c r="A2001" t="s">
        <v>8648</v>
      </c>
      <c r="B2001" t="s">
        <v>8649</v>
      </c>
      <c r="C2001" t="s">
        <v>522</v>
      </c>
      <c r="D2001" t="s">
        <v>10</v>
      </c>
      <c r="E2001" t="s">
        <v>10</v>
      </c>
      <c r="F2001" t="s">
        <v>8650</v>
      </c>
      <c r="G2001">
        <v>2025</v>
      </c>
      <c r="H2001" t="s">
        <v>1160</v>
      </c>
      <c r="I2001" t="s">
        <v>104</v>
      </c>
      <c r="J2001">
        <v>15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Y2001">
        <v>0</v>
      </c>
      <c r="AA2001">
        <v>6</v>
      </c>
      <c r="AB2001">
        <v>37</v>
      </c>
      <c r="AC2001">
        <v>0</v>
      </c>
      <c r="AD2001">
        <v>0</v>
      </c>
      <c r="AE2001">
        <v>0</v>
      </c>
      <c r="AF2001">
        <v>3</v>
      </c>
      <c r="AG2001">
        <v>2.2874993349541901</v>
      </c>
      <c r="AH2001">
        <v>0</v>
      </c>
      <c r="AI2001">
        <v>47</v>
      </c>
      <c r="AJ2001">
        <v>60</v>
      </c>
      <c r="AK2001">
        <v>652</v>
      </c>
      <c r="AL2001">
        <v>2</v>
      </c>
      <c r="AM2001">
        <v>0</v>
      </c>
      <c r="AN2001">
        <v>0</v>
      </c>
      <c r="AO2001">
        <v>460</v>
      </c>
      <c r="AP2001">
        <v>334</v>
      </c>
      <c r="AQ2001">
        <v>27</v>
      </c>
      <c r="AR2001">
        <v>30.070644080435201</v>
      </c>
      <c r="AS2001">
        <v>0</v>
      </c>
      <c r="AT2001">
        <v>1.4173913043478299</v>
      </c>
      <c r="AU2001">
        <v>0.112781954887218</v>
      </c>
      <c r="AV2001">
        <v>9.3042071197410994E-2</v>
      </c>
      <c r="AW2001">
        <v>0.234302382169015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8</v>
      </c>
      <c r="BY2001">
        <v>223</v>
      </c>
      <c r="BZ2001">
        <v>0</v>
      </c>
      <c r="CA2001">
        <v>0</v>
      </c>
      <c r="CB2001">
        <v>0</v>
      </c>
      <c r="CC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C2001">
        <v>0</v>
      </c>
      <c r="DD2001">
        <v>0</v>
      </c>
      <c r="DE2001">
        <v>0</v>
      </c>
      <c r="DF2001">
        <v>0</v>
      </c>
      <c r="DH2001">
        <v>80.900000000000006</v>
      </c>
      <c r="DI2001">
        <v>127.9</v>
      </c>
    </row>
    <row r="2002" spans="1:113" ht="15" customHeight="1" x14ac:dyDescent="0.25">
      <c r="A2002" t="s">
        <v>8651</v>
      </c>
      <c r="B2002" t="s">
        <v>8652</v>
      </c>
      <c r="C2002" t="s">
        <v>895</v>
      </c>
      <c r="D2002" t="s">
        <v>439</v>
      </c>
      <c r="E2002" t="s">
        <v>439</v>
      </c>
      <c r="F2002" t="s">
        <v>8653</v>
      </c>
      <c r="G2002">
        <v>2025</v>
      </c>
      <c r="H2002" t="s">
        <v>1160</v>
      </c>
      <c r="I2002" t="s">
        <v>101</v>
      </c>
      <c r="J2002">
        <v>13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Y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H2002">
        <v>0</v>
      </c>
      <c r="AI2002">
        <v>44</v>
      </c>
      <c r="AJ2002">
        <v>65</v>
      </c>
      <c r="AK2002">
        <v>369</v>
      </c>
      <c r="AL2002">
        <v>1</v>
      </c>
      <c r="AM2002">
        <v>0</v>
      </c>
      <c r="AN2002">
        <v>0</v>
      </c>
      <c r="AO2002">
        <v>375</v>
      </c>
      <c r="AP2002">
        <v>133</v>
      </c>
      <c r="AQ2002">
        <v>23</v>
      </c>
      <c r="AR2002">
        <v>9.6960507314216997</v>
      </c>
      <c r="AS2002">
        <v>1</v>
      </c>
      <c r="AT2002">
        <v>0.98399999999999999</v>
      </c>
      <c r="AU2002">
        <v>0.13771186440677999</v>
      </c>
      <c r="AV2002">
        <v>0.110164512338425</v>
      </c>
      <c r="AW2002">
        <v>0.28368295524706699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2</v>
      </c>
      <c r="BU2002">
        <v>10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C2002">
        <v>0</v>
      </c>
      <c r="DD2002">
        <v>0</v>
      </c>
      <c r="DE2002">
        <v>0</v>
      </c>
      <c r="DF2002">
        <v>0</v>
      </c>
      <c r="DH2002">
        <v>44.9</v>
      </c>
      <c r="DI2002">
        <v>88.9</v>
      </c>
    </row>
    <row r="2003" spans="1:113" ht="15" customHeight="1" x14ac:dyDescent="0.25">
      <c r="A2003" t="s">
        <v>8654</v>
      </c>
      <c r="B2003" t="s">
        <v>8655</v>
      </c>
      <c r="C2003" t="s">
        <v>745</v>
      </c>
      <c r="D2003" t="s">
        <v>439</v>
      </c>
      <c r="E2003" t="s">
        <v>439</v>
      </c>
      <c r="F2003" t="s">
        <v>8656</v>
      </c>
      <c r="G2003">
        <v>2025</v>
      </c>
      <c r="H2003" t="s">
        <v>1160</v>
      </c>
      <c r="I2003" t="s">
        <v>1200</v>
      </c>
      <c r="J2003">
        <v>11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Y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-1.5493906475021499</v>
      </c>
      <c r="AH2003">
        <v>0</v>
      </c>
      <c r="AI2003">
        <v>11</v>
      </c>
      <c r="AJ2003">
        <v>25</v>
      </c>
      <c r="AK2003">
        <v>231</v>
      </c>
      <c r="AL2003">
        <v>3</v>
      </c>
      <c r="AM2003">
        <v>0</v>
      </c>
      <c r="AN2003">
        <v>0</v>
      </c>
      <c r="AO2003">
        <v>466</v>
      </c>
      <c r="AP2003">
        <v>40</v>
      </c>
      <c r="AQ2003">
        <v>9</v>
      </c>
      <c r="AR2003">
        <v>7.3868127090298303</v>
      </c>
      <c r="AS2003">
        <v>0</v>
      </c>
      <c r="AT2003">
        <v>0.49570815450643801</v>
      </c>
      <c r="AU2003">
        <v>4.3029259896729802E-2</v>
      </c>
      <c r="AV2003">
        <v>8.5851142225497404E-2</v>
      </c>
      <c r="AW2003">
        <v>0.124639689402943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2</v>
      </c>
      <c r="BU2003">
        <v>15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C2003">
        <v>0</v>
      </c>
      <c r="DD2003">
        <v>0</v>
      </c>
      <c r="DE2003">
        <v>0</v>
      </c>
      <c r="DF2003">
        <v>0</v>
      </c>
      <c r="DH2003">
        <v>41.1</v>
      </c>
      <c r="DI2003">
        <v>52.1</v>
      </c>
    </row>
    <row r="2004" spans="1:113" ht="15" customHeight="1" x14ac:dyDescent="0.25">
      <c r="A2004" t="s">
        <v>8657</v>
      </c>
      <c r="B2004" t="s">
        <v>8658</v>
      </c>
      <c r="C2004" t="s">
        <v>8659</v>
      </c>
      <c r="D2004" t="s">
        <v>1234</v>
      </c>
      <c r="E2004" t="s">
        <v>1234</v>
      </c>
      <c r="F2004" t="s">
        <v>8660</v>
      </c>
      <c r="G2004">
        <v>2025</v>
      </c>
      <c r="H2004" t="s">
        <v>1160</v>
      </c>
      <c r="I2004" t="s">
        <v>107</v>
      </c>
      <c r="J2004">
        <v>17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Y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S2004">
        <v>0</v>
      </c>
      <c r="AU2004">
        <v>0</v>
      </c>
      <c r="AV2004">
        <v>0</v>
      </c>
      <c r="AW2004">
        <v>0</v>
      </c>
      <c r="AX2004">
        <v>0</v>
      </c>
      <c r="AY2004">
        <v>55</v>
      </c>
      <c r="AZ2004">
        <v>3</v>
      </c>
      <c r="BA2004">
        <v>48</v>
      </c>
      <c r="BB2004">
        <v>4</v>
      </c>
      <c r="BC2004">
        <v>17</v>
      </c>
      <c r="BD2004">
        <v>1</v>
      </c>
      <c r="BE2004">
        <v>3</v>
      </c>
      <c r="BF2004">
        <v>14</v>
      </c>
      <c r="BG2004">
        <v>5</v>
      </c>
      <c r="BH2004">
        <v>2</v>
      </c>
      <c r="BI2004">
        <v>39</v>
      </c>
      <c r="BJ2004">
        <v>7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1</v>
      </c>
      <c r="BU2004">
        <v>5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C2004">
        <v>0</v>
      </c>
      <c r="DD2004">
        <v>0</v>
      </c>
      <c r="DE2004">
        <v>0</v>
      </c>
      <c r="DF2004">
        <v>0</v>
      </c>
      <c r="DH2004">
        <v>0</v>
      </c>
      <c r="DI2004">
        <v>0</v>
      </c>
    </row>
    <row r="2005" spans="1:113" ht="15" customHeight="1" x14ac:dyDescent="0.25">
      <c r="A2005" t="s">
        <v>8661</v>
      </c>
      <c r="B2005" t="s">
        <v>8662</v>
      </c>
      <c r="C2005" t="s">
        <v>940</v>
      </c>
      <c r="D2005" t="s">
        <v>439</v>
      </c>
      <c r="E2005" t="s">
        <v>439</v>
      </c>
      <c r="F2005" t="s">
        <v>8663</v>
      </c>
      <c r="G2005">
        <v>2025</v>
      </c>
      <c r="H2005" t="s">
        <v>1160</v>
      </c>
      <c r="I2005" t="s">
        <v>140</v>
      </c>
      <c r="J2005">
        <v>13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Y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H2005">
        <v>0</v>
      </c>
      <c r="AI2005">
        <v>15</v>
      </c>
      <c r="AJ2005">
        <v>26</v>
      </c>
      <c r="AK2005">
        <v>179</v>
      </c>
      <c r="AL2005">
        <v>1</v>
      </c>
      <c r="AM2005">
        <v>1</v>
      </c>
      <c r="AN2005">
        <v>1</v>
      </c>
      <c r="AO2005">
        <v>220</v>
      </c>
      <c r="AP2005">
        <v>78</v>
      </c>
      <c r="AQ2005">
        <v>7</v>
      </c>
      <c r="AR2005">
        <v>-16.238906289037502</v>
      </c>
      <c r="AS2005">
        <v>0</v>
      </c>
      <c r="AT2005">
        <v>0.81363636363636405</v>
      </c>
      <c r="AU2005">
        <v>5.7142857142857099E-2</v>
      </c>
      <c r="AV2005">
        <v>5.8541777541245302E-2</v>
      </c>
      <c r="AW2005">
        <v>0.126693529993157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1</v>
      </c>
      <c r="BU2005">
        <v>5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C2005">
        <v>0</v>
      </c>
      <c r="DD2005">
        <v>0</v>
      </c>
      <c r="DE2005">
        <v>0</v>
      </c>
      <c r="DF2005">
        <v>0</v>
      </c>
      <c r="DH2005">
        <v>21.9</v>
      </c>
      <c r="DI2005">
        <v>36.9</v>
      </c>
    </row>
    <row r="2006" spans="1:113" ht="15" customHeight="1" x14ac:dyDescent="0.25">
      <c r="A2006" t="s">
        <v>8664</v>
      </c>
      <c r="B2006" t="s">
        <v>8665</v>
      </c>
      <c r="C2006" t="s">
        <v>8666</v>
      </c>
      <c r="D2006" t="s">
        <v>1219</v>
      </c>
      <c r="E2006" t="s">
        <v>1220</v>
      </c>
      <c r="F2006" t="s">
        <v>8667</v>
      </c>
      <c r="G2006">
        <v>2025</v>
      </c>
      <c r="H2006" t="s">
        <v>1160</v>
      </c>
      <c r="I2006" t="s">
        <v>104</v>
      </c>
      <c r="J2006">
        <v>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Y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S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2</v>
      </c>
      <c r="BU2006">
        <v>15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C2006">
        <v>0</v>
      </c>
      <c r="DD2006">
        <v>0</v>
      </c>
      <c r="DE2006">
        <v>0</v>
      </c>
      <c r="DF2006">
        <v>0</v>
      </c>
      <c r="DH2006">
        <v>0</v>
      </c>
      <c r="DI2006">
        <v>0</v>
      </c>
    </row>
    <row r="2007" spans="1:113" ht="15" customHeight="1" x14ac:dyDescent="0.25">
      <c r="A2007" t="s">
        <v>8668</v>
      </c>
      <c r="B2007" t="s">
        <v>8669</v>
      </c>
      <c r="C2007" t="s">
        <v>8670</v>
      </c>
      <c r="D2007" t="s">
        <v>1243</v>
      </c>
      <c r="E2007" t="s">
        <v>1190</v>
      </c>
      <c r="F2007" t="s">
        <v>8671</v>
      </c>
      <c r="G2007">
        <v>2025</v>
      </c>
      <c r="H2007" t="s">
        <v>1160</v>
      </c>
      <c r="I2007" t="s">
        <v>104</v>
      </c>
      <c r="J2007">
        <v>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Y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S2007">
        <v>0</v>
      </c>
      <c r="AU2007">
        <v>0</v>
      </c>
      <c r="AV2007">
        <v>0</v>
      </c>
      <c r="AW2007">
        <v>0</v>
      </c>
      <c r="AX2007">
        <v>0</v>
      </c>
      <c r="AY2007">
        <v>5</v>
      </c>
      <c r="AZ2007">
        <v>1</v>
      </c>
      <c r="BA2007">
        <v>0</v>
      </c>
      <c r="BB2007">
        <v>2</v>
      </c>
      <c r="BC2007">
        <v>4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C2007">
        <v>0</v>
      </c>
      <c r="DD2007">
        <v>0</v>
      </c>
      <c r="DE2007">
        <v>0</v>
      </c>
      <c r="DF2007">
        <v>0</v>
      </c>
      <c r="DH2007">
        <v>0</v>
      </c>
      <c r="DI2007">
        <v>0</v>
      </c>
    </row>
    <row r="2008" spans="1:113" ht="15" customHeight="1" x14ac:dyDescent="0.25">
      <c r="A2008" t="s">
        <v>8672</v>
      </c>
      <c r="B2008" t="s">
        <v>8673</v>
      </c>
      <c r="C2008" t="s">
        <v>8674</v>
      </c>
      <c r="D2008" t="s">
        <v>1219</v>
      </c>
      <c r="E2008" t="s">
        <v>1220</v>
      </c>
      <c r="F2008" t="s">
        <v>8675</v>
      </c>
      <c r="G2008">
        <v>2025</v>
      </c>
      <c r="H2008" t="s">
        <v>1160</v>
      </c>
      <c r="I2008" t="s">
        <v>133</v>
      </c>
      <c r="J2008">
        <v>4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Y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S2008">
        <v>0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3</v>
      </c>
      <c r="BU2008">
        <v>20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C2008">
        <v>0</v>
      </c>
      <c r="DD2008">
        <v>0</v>
      </c>
      <c r="DE2008">
        <v>0</v>
      </c>
      <c r="DF2008">
        <v>0</v>
      </c>
      <c r="DH2008">
        <v>0</v>
      </c>
      <c r="DI2008">
        <v>0</v>
      </c>
    </row>
    <row r="2009" spans="1:113" ht="15" customHeight="1" x14ac:dyDescent="0.25">
      <c r="A2009" t="s">
        <v>8676</v>
      </c>
      <c r="B2009" t="s">
        <v>8677</v>
      </c>
      <c r="C2009" t="s">
        <v>8678</v>
      </c>
      <c r="D2009" t="s">
        <v>1158</v>
      </c>
      <c r="E2009" t="s">
        <v>1158</v>
      </c>
      <c r="F2009" t="s">
        <v>8679</v>
      </c>
      <c r="G2009">
        <v>2025</v>
      </c>
      <c r="H2009" t="s">
        <v>1160</v>
      </c>
      <c r="I2009" t="s">
        <v>138</v>
      </c>
      <c r="J2009">
        <v>11</v>
      </c>
      <c r="K2009">
        <v>221</v>
      </c>
      <c r="L2009">
        <v>327</v>
      </c>
      <c r="M2009">
        <v>2384</v>
      </c>
      <c r="N2009">
        <v>10</v>
      </c>
      <c r="O2009">
        <v>6</v>
      </c>
      <c r="P2009">
        <v>31</v>
      </c>
      <c r="Q2009">
        <v>-195</v>
      </c>
      <c r="R2009">
        <v>2</v>
      </c>
      <c r="S2009">
        <v>1</v>
      </c>
      <c r="T2009">
        <v>2708</v>
      </c>
      <c r="U2009">
        <v>1051</v>
      </c>
      <c r="V2009">
        <v>107</v>
      </c>
      <c r="W2009">
        <v>2.05993894432119</v>
      </c>
      <c r="X2009">
        <v>1.60817432025122</v>
      </c>
      <c r="Y2009">
        <v>0</v>
      </c>
      <c r="Z2009">
        <v>0.88035450516986702</v>
      </c>
      <c r="AA2009">
        <v>45</v>
      </c>
      <c r="AB2009">
        <v>186</v>
      </c>
      <c r="AC2009">
        <v>3</v>
      </c>
      <c r="AD2009">
        <v>1</v>
      </c>
      <c r="AE2009">
        <v>1</v>
      </c>
      <c r="AF2009">
        <v>12</v>
      </c>
      <c r="AG2009">
        <v>1.02317729410436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S2009">
        <v>0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1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C2009">
        <v>0</v>
      </c>
      <c r="DD2009">
        <v>0</v>
      </c>
      <c r="DE2009">
        <v>0</v>
      </c>
      <c r="DF2009">
        <v>0</v>
      </c>
      <c r="DH2009">
        <v>157.96</v>
      </c>
      <c r="DI2009">
        <v>157.96</v>
      </c>
    </row>
    <row r="2010" spans="1:113" ht="15" customHeight="1" x14ac:dyDescent="0.25">
      <c r="A2010" t="s">
        <v>8680</v>
      </c>
      <c r="B2010" t="s">
        <v>8681</v>
      </c>
      <c r="C2010" t="s">
        <v>8682</v>
      </c>
      <c r="D2010" t="s">
        <v>1189</v>
      </c>
      <c r="E2010" t="s">
        <v>1190</v>
      </c>
      <c r="F2010" t="s">
        <v>8683</v>
      </c>
      <c r="G2010">
        <v>2025</v>
      </c>
      <c r="H2010" t="s">
        <v>1160</v>
      </c>
      <c r="I2010" t="s">
        <v>124</v>
      </c>
      <c r="J2010">
        <v>11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Y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S2010">
        <v>0</v>
      </c>
      <c r="AU2010">
        <v>0</v>
      </c>
      <c r="AV2010">
        <v>0</v>
      </c>
      <c r="AW2010">
        <v>0</v>
      </c>
      <c r="AX2010">
        <v>0</v>
      </c>
      <c r="AY2010">
        <v>6</v>
      </c>
      <c r="AZ2010">
        <v>0</v>
      </c>
      <c r="BA2010">
        <v>11</v>
      </c>
      <c r="BB2010">
        <v>1</v>
      </c>
      <c r="BC2010">
        <v>4</v>
      </c>
      <c r="BD2010">
        <v>0</v>
      </c>
      <c r="BE2010">
        <v>0</v>
      </c>
      <c r="BF2010">
        <v>0</v>
      </c>
      <c r="BG2010">
        <v>6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2</v>
      </c>
      <c r="BU2010">
        <v>20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C2010">
        <v>0</v>
      </c>
      <c r="DD2010">
        <v>0</v>
      </c>
      <c r="DE2010">
        <v>0</v>
      </c>
      <c r="DF2010">
        <v>0</v>
      </c>
      <c r="DH2010">
        <v>0</v>
      </c>
      <c r="DI2010">
        <v>0</v>
      </c>
    </row>
    <row r="2011" spans="1:113" ht="15" customHeight="1" x14ac:dyDescent="0.25">
      <c r="A2011" t="s">
        <v>8684</v>
      </c>
      <c r="B2011" t="s">
        <v>8685</v>
      </c>
      <c r="C2011" t="s">
        <v>8686</v>
      </c>
      <c r="D2011" t="s">
        <v>1219</v>
      </c>
      <c r="E2011" t="s">
        <v>1220</v>
      </c>
      <c r="F2011" t="s">
        <v>8687</v>
      </c>
      <c r="G2011">
        <v>2025</v>
      </c>
      <c r="H2011" t="s">
        <v>1160</v>
      </c>
      <c r="I2011" t="s">
        <v>121</v>
      </c>
      <c r="J2011">
        <v>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Y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S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8</v>
      </c>
      <c r="BU2011">
        <v>66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C2011">
        <v>0</v>
      </c>
      <c r="DD2011">
        <v>0</v>
      </c>
      <c r="DE2011">
        <v>0</v>
      </c>
      <c r="DF2011">
        <v>0</v>
      </c>
      <c r="DH2011">
        <v>0</v>
      </c>
      <c r="DI2011">
        <v>0</v>
      </c>
    </row>
    <row r="2012" spans="1:113" ht="15" customHeight="1" x14ac:dyDescent="0.25">
      <c r="A2012" t="s">
        <v>8688</v>
      </c>
      <c r="B2012" t="s">
        <v>8689</v>
      </c>
      <c r="C2012" t="s">
        <v>8690</v>
      </c>
      <c r="D2012" t="s">
        <v>1234</v>
      </c>
      <c r="E2012" t="s">
        <v>1234</v>
      </c>
      <c r="F2012" t="s">
        <v>8691</v>
      </c>
      <c r="G2012">
        <v>2025</v>
      </c>
      <c r="H2012" t="s">
        <v>1160</v>
      </c>
      <c r="I2012" t="s">
        <v>96</v>
      </c>
      <c r="J2012">
        <v>15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Y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S2012">
        <v>0</v>
      </c>
      <c r="AU2012">
        <v>0</v>
      </c>
      <c r="AV2012">
        <v>0</v>
      </c>
      <c r="AW2012">
        <v>0</v>
      </c>
      <c r="AX2012">
        <v>0</v>
      </c>
      <c r="AY2012">
        <v>19</v>
      </c>
      <c r="AZ2012">
        <v>1</v>
      </c>
      <c r="BA2012">
        <v>27</v>
      </c>
      <c r="BB2012">
        <v>7</v>
      </c>
      <c r="BC2012">
        <v>28</v>
      </c>
      <c r="BD2012">
        <v>1</v>
      </c>
      <c r="BE2012">
        <v>5</v>
      </c>
      <c r="BF2012">
        <v>31.5</v>
      </c>
      <c r="BG2012">
        <v>9</v>
      </c>
      <c r="BH2012">
        <v>0</v>
      </c>
      <c r="BI2012">
        <v>0</v>
      </c>
      <c r="BJ2012">
        <v>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C2012">
        <v>0</v>
      </c>
      <c r="DD2012">
        <v>0</v>
      </c>
      <c r="DE2012">
        <v>0</v>
      </c>
      <c r="DF2012">
        <v>0</v>
      </c>
      <c r="DH2012">
        <v>0</v>
      </c>
      <c r="DI2012">
        <v>0</v>
      </c>
    </row>
    <row r="2013" spans="1:113" ht="15" customHeight="1" x14ac:dyDescent="0.25">
      <c r="A2013" t="s">
        <v>8692</v>
      </c>
      <c r="B2013" t="s">
        <v>8693</v>
      </c>
      <c r="C2013" t="s">
        <v>8694</v>
      </c>
      <c r="D2013" t="s">
        <v>1350</v>
      </c>
      <c r="E2013" t="s">
        <v>1307</v>
      </c>
      <c r="F2013" t="s">
        <v>8695</v>
      </c>
      <c r="G2013">
        <v>2025</v>
      </c>
      <c r="H2013" t="s">
        <v>1160</v>
      </c>
      <c r="I2013" t="s">
        <v>126</v>
      </c>
      <c r="J2013">
        <v>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Y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S2013">
        <v>0</v>
      </c>
      <c r="AU2013">
        <v>0</v>
      </c>
      <c r="AV2013">
        <v>0</v>
      </c>
      <c r="AW2013">
        <v>0</v>
      </c>
      <c r="AX2013">
        <v>0</v>
      </c>
      <c r="AY2013">
        <v>18</v>
      </c>
      <c r="AZ2013">
        <v>1</v>
      </c>
      <c r="BA2013">
        <v>7</v>
      </c>
      <c r="BB2013">
        <v>2</v>
      </c>
      <c r="BC2013">
        <v>5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4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1</v>
      </c>
      <c r="BR2013">
        <v>1</v>
      </c>
      <c r="BS2013">
        <v>0</v>
      </c>
      <c r="BT2013">
        <v>2</v>
      </c>
      <c r="BU2013">
        <v>15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C2013">
        <v>0</v>
      </c>
      <c r="DD2013">
        <v>0</v>
      </c>
      <c r="DE2013">
        <v>0</v>
      </c>
      <c r="DF2013">
        <v>0</v>
      </c>
      <c r="DH2013">
        <v>0</v>
      </c>
      <c r="DI2013">
        <v>0</v>
      </c>
    </row>
    <row r="2014" spans="1:113" ht="15" customHeight="1" x14ac:dyDescent="0.25">
      <c r="A2014" t="s">
        <v>8696</v>
      </c>
      <c r="B2014" t="s">
        <v>8697</v>
      </c>
      <c r="C2014" t="s">
        <v>8698</v>
      </c>
      <c r="D2014" t="s">
        <v>1243</v>
      </c>
      <c r="E2014" t="s">
        <v>1190</v>
      </c>
      <c r="F2014" t="s">
        <v>8699</v>
      </c>
      <c r="G2014">
        <v>2025</v>
      </c>
      <c r="H2014" t="s">
        <v>1160</v>
      </c>
      <c r="I2014" t="s">
        <v>123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Y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S2014">
        <v>0</v>
      </c>
      <c r="AU2014">
        <v>0</v>
      </c>
      <c r="AV2014">
        <v>0</v>
      </c>
      <c r="AW2014">
        <v>0</v>
      </c>
      <c r="AX2014">
        <v>0</v>
      </c>
      <c r="AY2014">
        <v>4</v>
      </c>
      <c r="AZ2014">
        <v>0</v>
      </c>
      <c r="BA2014">
        <v>1</v>
      </c>
      <c r="BB2014">
        <v>1</v>
      </c>
      <c r="BC2014">
        <v>4</v>
      </c>
      <c r="BD2014">
        <v>0</v>
      </c>
      <c r="BE2014">
        <v>1</v>
      </c>
      <c r="BF2014">
        <v>4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C2014">
        <v>0</v>
      </c>
      <c r="DD2014">
        <v>0</v>
      </c>
      <c r="DE2014">
        <v>0</v>
      </c>
      <c r="DF2014">
        <v>0</v>
      </c>
      <c r="DH2014">
        <v>0</v>
      </c>
      <c r="DI2014">
        <v>0</v>
      </c>
    </row>
    <row r="2015" spans="1:113" ht="15" customHeight="1" x14ac:dyDescent="0.25">
      <c r="A2015" t="s">
        <v>8700</v>
      </c>
      <c r="B2015" t="s">
        <v>8701</v>
      </c>
      <c r="C2015" t="s">
        <v>8702</v>
      </c>
      <c r="D2015" t="s">
        <v>1684</v>
      </c>
      <c r="E2015" t="s">
        <v>1307</v>
      </c>
      <c r="F2015" t="s">
        <v>8703</v>
      </c>
      <c r="G2015">
        <v>2025</v>
      </c>
      <c r="H2015" t="s">
        <v>1160</v>
      </c>
      <c r="I2015" t="s">
        <v>120</v>
      </c>
      <c r="J2015">
        <v>11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Y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S2015">
        <v>0</v>
      </c>
      <c r="AU2015">
        <v>0</v>
      </c>
      <c r="AV2015">
        <v>0</v>
      </c>
      <c r="AW2015">
        <v>0</v>
      </c>
      <c r="AX2015">
        <v>0</v>
      </c>
      <c r="AY2015">
        <v>24</v>
      </c>
      <c r="AZ2015">
        <v>3</v>
      </c>
      <c r="BA2015">
        <v>19</v>
      </c>
      <c r="BB2015">
        <v>2</v>
      </c>
      <c r="BC2015">
        <v>2</v>
      </c>
      <c r="BD2015">
        <v>0</v>
      </c>
      <c r="BE2015">
        <v>0.5</v>
      </c>
      <c r="BF2015">
        <v>5.5</v>
      </c>
      <c r="BG2015">
        <v>1</v>
      </c>
      <c r="BH2015">
        <v>2</v>
      </c>
      <c r="BI2015">
        <v>41</v>
      </c>
      <c r="BJ2015">
        <v>3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C2015">
        <v>0</v>
      </c>
      <c r="DD2015">
        <v>0</v>
      </c>
      <c r="DE2015">
        <v>0</v>
      </c>
      <c r="DF2015">
        <v>0</v>
      </c>
      <c r="DH2015">
        <v>0</v>
      </c>
      <c r="DI2015">
        <v>0</v>
      </c>
    </row>
    <row r="2016" spans="1:113" ht="15" customHeight="1" x14ac:dyDescent="0.25">
      <c r="A2016" t="s">
        <v>8704</v>
      </c>
      <c r="B2016" t="s">
        <v>8705</v>
      </c>
      <c r="C2016" t="s">
        <v>8706</v>
      </c>
      <c r="D2016" t="s">
        <v>1350</v>
      </c>
      <c r="E2016" t="s">
        <v>1307</v>
      </c>
      <c r="F2016" t="s">
        <v>8707</v>
      </c>
      <c r="G2016">
        <v>2025</v>
      </c>
      <c r="H2016" t="s">
        <v>1160</v>
      </c>
      <c r="I2016" t="s">
        <v>90</v>
      </c>
      <c r="J2016">
        <v>11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Y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S2016">
        <v>0</v>
      </c>
      <c r="AU2016">
        <v>0</v>
      </c>
      <c r="AV2016">
        <v>0</v>
      </c>
      <c r="AW2016">
        <v>0</v>
      </c>
      <c r="AX2016">
        <v>0</v>
      </c>
      <c r="AY2016">
        <v>24</v>
      </c>
      <c r="AZ2016">
        <v>3</v>
      </c>
      <c r="BA2016">
        <v>10</v>
      </c>
      <c r="BB2016">
        <v>2</v>
      </c>
      <c r="BC2016">
        <v>4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6</v>
      </c>
      <c r="BU2016">
        <v>50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C2016">
        <v>0</v>
      </c>
      <c r="DD2016">
        <v>0</v>
      </c>
      <c r="DE2016">
        <v>0</v>
      </c>
      <c r="DF2016">
        <v>0</v>
      </c>
      <c r="DH2016">
        <v>0</v>
      </c>
      <c r="DI2016">
        <v>0</v>
      </c>
    </row>
    <row r="2017" spans="1:113" ht="15" customHeight="1" x14ac:dyDescent="0.25">
      <c r="A2017" t="s">
        <v>8708</v>
      </c>
      <c r="B2017" t="s">
        <v>8709</v>
      </c>
      <c r="C2017" t="s">
        <v>8710</v>
      </c>
      <c r="D2017" t="s">
        <v>1234</v>
      </c>
      <c r="E2017" t="s">
        <v>1234</v>
      </c>
      <c r="F2017" t="s">
        <v>8711</v>
      </c>
      <c r="G2017">
        <v>2025</v>
      </c>
      <c r="H2017" t="s">
        <v>1160</v>
      </c>
      <c r="I2017" t="s">
        <v>142</v>
      </c>
      <c r="J2017">
        <v>6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Y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S2017">
        <v>0</v>
      </c>
      <c r="AU2017">
        <v>0</v>
      </c>
      <c r="AV2017">
        <v>0</v>
      </c>
      <c r="AW2017">
        <v>0</v>
      </c>
      <c r="AX2017">
        <v>0</v>
      </c>
      <c r="AY2017">
        <v>4</v>
      </c>
      <c r="AZ2017">
        <v>1</v>
      </c>
      <c r="BA2017">
        <v>8</v>
      </c>
      <c r="BB2017">
        <v>2</v>
      </c>
      <c r="BC2017">
        <v>8</v>
      </c>
      <c r="BD2017">
        <v>0</v>
      </c>
      <c r="BE2017">
        <v>0</v>
      </c>
      <c r="BF2017">
        <v>0</v>
      </c>
      <c r="BG2017">
        <v>2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C2017">
        <v>0</v>
      </c>
      <c r="DD2017">
        <v>0</v>
      </c>
      <c r="DE2017">
        <v>0</v>
      </c>
      <c r="DF2017">
        <v>0</v>
      </c>
      <c r="DH2017">
        <v>0</v>
      </c>
      <c r="DI2017">
        <v>0</v>
      </c>
    </row>
    <row r="2018" spans="1:113" ht="15" customHeight="1" x14ac:dyDescent="0.25">
      <c r="A2018" t="s">
        <v>8712</v>
      </c>
      <c r="B2018" t="s">
        <v>8713</v>
      </c>
      <c r="C2018" t="s">
        <v>8714</v>
      </c>
      <c r="D2018" t="s">
        <v>1189</v>
      </c>
      <c r="E2018" t="s">
        <v>1190</v>
      </c>
      <c r="F2018" t="s">
        <v>8715</v>
      </c>
      <c r="G2018">
        <v>2025</v>
      </c>
      <c r="H2018" t="s">
        <v>1160</v>
      </c>
      <c r="I2018" t="s">
        <v>107</v>
      </c>
      <c r="J2018">
        <v>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Y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S2018">
        <v>0</v>
      </c>
      <c r="AU2018">
        <v>0</v>
      </c>
      <c r="AV2018">
        <v>0</v>
      </c>
      <c r="AW2018">
        <v>0</v>
      </c>
      <c r="AX2018">
        <v>0</v>
      </c>
      <c r="AY2018">
        <v>5</v>
      </c>
      <c r="AZ2018">
        <v>0</v>
      </c>
      <c r="BA2018">
        <v>6</v>
      </c>
      <c r="BB2018">
        <v>2</v>
      </c>
      <c r="BC2018">
        <v>7</v>
      </c>
      <c r="BD2018">
        <v>0</v>
      </c>
      <c r="BE2018">
        <v>1</v>
      </c>
      <c r="BF2018">
        <v>6</v>
      </c>
      <c r="BG2018">
        <v>4</v>
      </c>
      <c r="BH2018">
        <v>0</v>
      </c>
      <c r="BI2018">
        <v>0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C2018">
        <v>0</v>
      </c>
      <c r="DD2018">
        <v>0</v>
      </c>
      <c r="DE2018">
        <v>0</v>
      </c>
      <c r="DF2018">
        <v>0</v>
      </c>
      <c r="DH2018">
        <v>0</v>
      </c>
      <c r="DI2018">
        <v>0</v>
      </c>
    </row>
    <row r="2019" spans="1:113" ht="15" customHeight="1" x14ac:dyDescent="0.25">
      <c r="A2019" t="s">
        <v>8716</v>
      </c>
      <c r="B2019" t="s">
        <v>8717</v>
      </c>
      <c r="C2019" t="s">
        <v>557</v>
      </c>
      <c r="D2019" t="s">
        <v>10</v>
      </c>
      <c r="E2019" t="s">
        <v>10</v>
      </c>
      <c r="F2019" t="s">
        <v>8718</v>
      </c>
      <c r="G2019">
        <v>2025</v>
      </c>
      <c r="H2019" t="s">
        <v>1160</v>
      </c>
      <c r="I2019" t="s">
        <v>109</v>
      </c>
      <c r="J2019">
        <v>15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Y2019">
        <v>0</v>
      </c>
      <c r="AA2019">
        <v>5</v>
      </c>
      <c r="AB2019">
        <v>29</v>
      </c>
      <c r="AC2019">
        <v>0</v>
      </c>
      <c r="AD2019">
        <v>0</v>
      </c>
      <c r="AE2019">
        <v>0</v>
      </c>
      <c r="AF2019">
        <v>1</v>
      </c>
      <c r="AG2019">
        <v>0.87917171826120499</v>
      </c>
      <c r="AH2019">
        <v>0</v>
      </c>
      <c r="AI2019">
        <v>18</v>
      </c>
      <c r="AJ2019">
        <v>44</v>
      </c>
      <c r="AK2019">
        <v>338</v>
      </c>
      <c r="AL2019">
        <v>0</v>
      </c>
      <c r="AM2019">
        <v>0</v>
      </c>
      <c r="AN2019">
        <v>0</v>
      </c>
      <c r="AO2019">
        <v>751</v>
      </c>
      <c r="AP2019">
        <v>79</v>
      </c>
      <c r="AQ2019">
        <v>11</v>
      </c>
      <c r="AR2019">
        <v>-0.80450554197506396</v>
      </c>
      <c r="AS2019">
        <v>0</v>
      </c>
      <c r="AT2019">
        <v>0.45006657789613902</v>
      </c>
      <c r="AU2019">
        <v>8.4291187739463605E-2</v>
      </c>
      <c r="AV2019">
        <v>0.19841479524438599</v>
      </c>
      <c r="AW2019">
        <v>0.265327138280265</v>
      </c>
      <c r="AX2019">
        <v>0</v>
      </c>
      <c r="AY2019">
        <v>1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2</v>
      </c>
      <c r="BW2019">
        <v>9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C2019">
        <v>0</v>
      </c>
      <c r="DD2019">
        <v>0</v>
      </c>
      <c r="DE2019">
        <v>0</v>
      </c>
      <c r="DF2019">
        <v>0</v>
      </c>
      <c r="DH2019">
        <v>36.700000000000003</v>
      </c>
      <c r="DI2019">
        <v>54.7</v>
      </c>
    </row>
    <row r="2020" spans="1:113" ht="15" customHeight="1" x14ac:dyDescent="0.25">
      <c r="A2020" t="s">
        <v>8719</v>
      </c>
      <c r="B2020" t="s">
        <v>8720</v>
      </c>
      <c r="C2020" t="s">
        <v>563</v>
      </c>
      <c r="D2020" t="s">
        <v>431</v>
      </c>
      <c r="E2020" t="s">
        <v>431</v>
      </c>
      <c r="F2020" t="s">
        <v>8721</v>
      </c>
      <c r="G2020">
        <v>2025</v>
      </c>
      <c r="H2020" t="s">
        <v>1160</v>
      </c>
      <c r="I2020" t="s">
        <v>109</v>
      </c>
      <c r="J2020">
        <v>14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-0.94699999999999995</v>
      </c>
      <c r="Y2020">
        <v>0</v>
      </c>
      <c r="AA2020">
        <v>230</v>
      </c>
      <c r="AB2020">
        <v>827</v>
      </c>
      <c r="AC2020">
        <v>7</v>
      </c>
      <c r="AD2020">
        <v>0</v>
      </c>
      <c r="AE2020">
        <v>0</v>
      </c>
      <c r="AF2020">
        <v>53</v>
      </c>
      <c r="AG2020">
        <v>-25.102870928501801</v>
      </c>
      <c r="AH2020">
        <v>1</v>
      </c>
      <c r="AI2020">
        <v>26</v>
      </c>
      <c r="AJ2020">
        <v>36</v>
      </c>
      <c r="AK2020">
        <v>171</v>
      </c>
      <c r="AL2020">
        <v>0</v>
      </c>
      <c r="AM2020">
        <v>0</v>
      </c>
      <c r="AN2020">
        <v>0</v>
      </c>
      <c r="AO2020">
        <v>-15</v>
      </c>
      <c r="AP2020">
        <v>194</v>
      </c>
      <c r="AQ2020">
        <v>7</v>
      </c>
      <c r="AR2020">
        <v>-7.2919770384323801</v>
      </c>
      <c r="AS2020">
        <v>0</v>
      </c>
      <c r="AT2020">
        <v>-11.4</v>
      </c>
      <c r="AU2020">
        <v>6.8965517241379296E-2</v>
      </c>
      <c r="AV2020">
        <v>-3.9630118890356704E-3</v>
      </c>
      <c r="AW2020">
        <v>0.10067416753974399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C2020">
        <v>0</v>
      </c>
      <c r="DD2020">
        <v>0</v>
      </c>
      <c r="DE2020">
        <v>0</v>
      </c>
      <c r="DF2020">
        <v>0</v>
      </c>
      <c r="DH2020">
        <v>143.80000000000001</v>
      </c>
      <c r="DI2020">
        <v>169.8</v>
      </c>
    </row>
    <row r="2021" spans="1:113" ht="15" customHeight="1" x14ac:dyDescent="0.25">
      <c r="G2021">
        <v>2025</v>
      </c>
      <c r="H2021" t="s">
        <v>1160</v>
      </c>
      <c r="I2021" t="s">
        <v>97</v>
      </c>
      <c r="J2021">
        <v>272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Y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S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3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287</v>
      </c>
      <c r="BU2021">
        <v>1435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C2021">
        <v>0</v>
      </c>
      <c r="DD2021">
        <v>0</v>
      </c>
      <c r="DE2021">
        <v>0</v>
      </c>
      <c r="DF2021">
        <v>0</v>
      </c>
      <c r="DH2021">
        <v>0</v>
      </c>
      <c r="DI202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4"/>
  <sheetViews>
    <sheetView zoomScaleNormal="100" workbookViewId="0">
      <selection activeCell="A4" sqref="A4"/>
    </sheetView>
  </sheetViews>
  <sheetFormatPr defaultColWidth="8.7109375" defaultRowHeight="15" x14ac:dyDescent="0.25"/>
  <cols>
    <col min="1" max="1" width="24.28515625" customWidth="1"/>
    <col min="2" max="2" width="12.85546875" customWidth="1"/>
    <col min="3" max="3" width="10.5703125" customWidth="1"/>
    <col min="4" max="4" width="2.5703125" customWidth="1"/>
    <col min="7" max="7" width="122.85546875" customWidth="1"/>
  </cols>
  <sheetData>
    <row r="1" spans="1:7" s="37" customFormat="1" ht="25.5" customHeight="1" x14ac:dyDescent="0.25">
      <c r="A1" s="5" t="s">
        <v>8722</v>
      </c>
      <c r="B1" s="5"/>
      <c r="C1" s="5"/>
      <c r="E1" s="5" t="s">
        <v>8723</v>
      </c>
      <c r="F1" s="5"/>
      <c r="G1" s="5"/>
    </row>
    <row r="2" spans="1:7" ht="30" customHeight="1" x14ac:dyDescent="0.25"/>
    <row r="3" spans="1:7" ht="15" customHeight="1" x14ac:dyDescent="0.25">
      <c r="A3" s="441" t="s">
        <v>427</v>
      </c>
      <c r="B3" s="441" t="s">
        <v>428</v>
      </c>
      <c r="C3" s="441" t="s">
        <v>429</v>
      </c>
    </row>
    <row r="4" spans="1:7" ht="15" customHeight="1" x14ac:dyDescent="0.25">
      <c r="A4" t="s">
        <v>430</v>
      </c>
      <c r="B4" t="s">
        <v>90</v>
      </c>
      <c r="C4" t="s">
        <v>431</v>
      </c>
    </row>
    <row r="5" spans="1:7" ht="15" customHeight="1" x14ac:dyDescent="0.25">
      <c r="A5" t="s">
        <v>432</v>
      </c>
      <c r="B5" t="s">
        <v>90</v>
      </c>
      <c r="C5" t="s">
        <v>10</v>
      </c>
    </row>
    <row r="6" spans="1:7" ht="15" customHeight="1" x14ac:dyDescent="0.25">
      <c r="A6" t="s">
        <v>433</v>
      </c>
      <c r="B6" t="s">
        <v>90</v>
      </c>
      <c r="C6" t="s">
        <v>431</v>
      </c>
    </row>
    <row r="7" spans="1:7" ht="15" customHeight="1" x14ac:dyDescent="0.25">
      <c r="A7" t="s">
        <v>434</v>
      </c>
      <c r="B7" t="s">
        <v>90</v>
      </c>
      <c r="C7" t="s">
        <v>10</v>
      </c>
    </row>
    <row r="8" spans="1:7" ht="15" customHeight="1" x14ac:dyDescent="0.25">
      <c r="A8" t="s">
        <v>435</v>
      </c>
      <c r="B8" t="s">
        <v>90</v>
      </c>
      <c r="C8" t="s">
        <v>10</v>
      </c>
    </row>
    <row r="9" spans="1:7" ht="15" customHeight="1" x14ac:dyDescent="0.25">
      <c r="A9" t="s">
        <v>436</v>
      </c>
      <c r="B9" t="s">
        <v>90</v>
      </c>
      <c r="C9" t="s">
        <v>431</v>
      </c>
    </row>
    <row r="10" spans="1:7" ht="15" customHeight="1" x14ac:dyDescent="0.25">
      <c r="A10" t="s">
        <v>437</v>
      </c>
      <c r="B10" t="s">
        <v>90</v>
      </c>
      <c r="C10" t="s">
        <v>10</v>
      </c>
    </row>
    <row r="11" spans="1:7" ht="15" customHeight="1" x14ac:dyDescent="0.25">
      <c r="A11" t="s">
        <v>438</v>
      </c>
      <c r="B11" t="s">
        <v>90</v>
      </c>
      <c r="C11" t="s">
        <v>439</v>
      </c>
    </row>
    <row r="12" spans="1:7" ht="15" customHeight="1" x14ac:dyDescent="0.25">
      <c r="A12" t="s">
        <v>440</v>
      </c>
      <c r="B12" t="s">
        <v>90</v>
      </c>
      <c r="C12" t="s">
        <v>10</v>
      </c>
    </row>
    <row r="13" spans="1:7" ht="15" customHeight="1" x14ac:dyDescent="0.25">
      <c r="A13" t="s">
        <v>441</v>
      </c>
      <c r="B13" t="s">
        <v>90</v>
      </c>
      <c r="C13" t="s">
        <v>10</v>
      </c>
    </row>
    <row r="14" spans="1:7" ht="15" customHeight="1" x14ac:dyDescent="0.25">
      <c r="A14" t="s">
        <v>442</v>
      </c>
      <c r="B14" t="s">
        <v>90</v>
      </c>
      <c r="C14" t="s">
        <v>10</v>
      </c>
    </row>
    <row r="15" spans="1:7" ht="15" customHeight="1" x14ac:dyDescent="0.25">
      <c r="A15" t="s">
        <v>443</v>
      </c>
      <c r="B15" t="s">
        <v>90</v>
      </c>
      <c r="C15" t="s">
        <v>439</v>
      </c>
    </row>
    <row r="16" spans="1:7" ht="15" customHeight="1" x14ac:dyDescent="0.25">
      <c r="A16" t="s">
        <v>444</v>
      </c>
      <c r="B16" t="s">
        <v>90</v>
      </c>
      <c r="C16" t="s">
        <v>431</v>
      </c>
    </row>
    <row r="17" spans="1:3" ht="15" customHeight="1" x14ac:dyDescent="0.25">
      <c r="A17" t="s">
        <v>445</v>
      </c>
      <c r="B17" t="s">
        <v>90</v>
      </c>
      <c r="C17" t="s">
        <v>431</v>
      </c>
    </row>
    <row r="18" spans="1:3" ht="15" customHeight="1" x14ac:dyDescent="0.25">
      <c r="A18" t="s">
        <v>446</v>
      </c>
      <c r="B18" t="s">
        <v>90</v>
      </c>
      <c r="C18" t="s">
        <v>439</v>
      </c>
    </row>
    <row r="19" spans="1:3" ht="15" customHeight="1" x14ac:dyDescent="0.25">
      <c r="A19" t="s">
        <v>447</v>
      </c>
      <c r="B19" t="s">
        <v>90</v>
      </c>
      <c r="C19" t="s">
        <v>10</v>
      </c>
    </row>
    <row r="20" spans="1:3" ht="15" customHeight="1" x14ac:dyDescent="0.25">
      <c r="A20" t="s">
        <v>448</v>
      </c>
      <c r="B20" t="s">
        <v>90</v>
      </c>
      <c r="C20" t="s">
        <v>439</v>
      </c>
    </row>
    <row r="21" spans="1:3" ht="15" customHeight="1" x14ac:dyDescent="0.25">
      <c r="A21" t="s">
        <v>449</v>
      </c>
      <c r="B21" t="s">
        <v>90</v>
      </c>
      <c r="C21" t="s">
        <v>439</v>
      </c>
    </row>
    <row r="22" spans="1:3" ht="15" customHeight="1" x14ac:dyDescent="0.25">
      <c r="A22" t="s">
        <v>450</v>
      </c>
      <c r="B22" t="s">
        <v>90</v>
      </c>
      <c r="C22" t="s">
        <v>10</v>
      </c>
    </row>
    <row r="23" spans="1:3" ht="15" customHeight="1" x14ac:dyDescent="0.25">
      <c r="A23" t="s">
        <v>451</v>
      </c>
      <c r="B23" t="s">
        <v>90</v>
      </c>
      <c r="C23" t="s">
        <v>439</v>
      </c>
    </row>
    <row r="24" spans="1:3" ht="15" customHeight="1" x14ac:dyDescent="0.25">
      <c r="A24" t="s">
        <v>452</v>
      </c>
      <c r="B24" t="s">
        <v>90</v>
      </c>
      <c r="C24" t="s">
        <v>10</v>
      </c>
    </row>
    <row r="25" spans="1:3" ht="15" customHeight="1" x14ac:dyDescent="0.25">
      <c r="A25" t="s">
        <v>453</v>
      </c>
      <c r="B25" t="s">
        <v>90</v>
      </c>
      <c r="C25" t="s">
        <v>10</v>
      </c>
    </row>
    <row r="26" spans="1:3" ht="15" customHeight="1" x14ac:dyDescent="0.25">
      <c r="A26" t="s">
        <v>454</v>
      </c>
      <c r="B26" t="s">
        <v>93</v>
      </c>
      <c r="C26" t="s">
        <v>10</v>
      </c>
    </row>
    <row r="27" spans="1:3" ht="15" customHeight="1" x14ac:dyDescent="0.25">
      <c r="A27" t="s">
        <v>455</v>
      </c>
      <c r="B27" t="s">
        <v>93</v>
      </c>
      <c r="C27" t="s">
        <v>431</v>
      </c>
    </row>
    <row r="28" spans="1:3" ht="15" customHeight="1" x14ac:dyDescent="0.25">
      <c r="A28" t="s">
        <v>456</v>
      </c>
      <c r="B28" t="s">
        <v>93</v>
      </c>
      <c r="C28" t="s">
        <v>10</v>
      </c>
    </row>
    <row r="29" spans="1:3" ht="15" customHeight="1" x14ac:dyDescent="0.25">
      <c r="A29" t="s">
        <v>457</v>
      </c>
      <c r="B29" t="s">
        <v>93</v>
      </c>
      <c r="C29" t="s">
        <v>10</v>
      </c>
    </row>
    <row r="30" spans="1:3" ht="15" customHeight="1" x14ac:dyDescent="0.25">
      <c r="A30" t="s">
        <v>458</v>
      </c>
      <c r="B30" t="s">
        <v>93</v>
      </c>
      <c r="C30" t="s">
        <v>10</v>
      </c>
    </row>
    <row r="31" spans="1:3" ht="15" customHeight="1" x14ac:dyDescent="0.25">
      <c r="A31" t="s">
        <v>459</v>
      </c>
      <c r="B31" t="s">
        <v>93</v>
      </c>
      <c r="C31" t="s">
        <v>439</v>
      </c>
    </row>
    <row r="32" spans="1:3" ht="15" customHeight="1" x14ac:dyDescent="0.25">
      <c r="A32" t="s">
        <v>460</v>
      </c>
      <c r="B32" t="s">
        <v>93</v>
      </c>
      <c r="C32" t="s">
        <v>10</v>
      </c>
    </row>
    <row r="33" spans="1:3" ht="15" customHeight="1" x14ac:dyDescent="0.25">
      <c r="A33" t="s">
        <v>461</v>
      </c>
      <c r="B33" t="s">
        <v>93</v>
      </c>
      <c r="C33" t="s">
        <v>439</v>
      </c>
    </row>
    <row r="34" spans="1:3" ht="15" customHeight="1" x14ac:dyDescent="0.25">
      <c r="A34" t="s">
        <v>462</v>
      </c>
      <c r="B34" t="s">
        <v>93</v>
      </c>
      <c r="C34" t="s">
        <v>431</v>
      </c>
    </row>
    <row r="35" spans="1:3" ht="15" customHeight="1" x14ac:dyDescent="0.25">
      <c r="A35" t="s">
        <v>463</v>
      </c>
      <c r="B35" t="s">
        <v>93</v>
      </c>
      <c r="C35" t="s">
        <v>431</v>
      </c>
    </row>
    <row r="36" spans="1:3" ht="15" customHeight="1" x14ac:dyDescent="0.25">
      <c r="A36" t="s">
        <v>464</v>
      </c>
      <c r="B36" t="s">
        <v>93</v>
      </c>
      <c r="C36" t="s">
        <v>10</v>
      </c>
    </row>
    <row r="37" spans="1:3" ht="15" customHeight="1" x14ac:dyDescent="0.25">
      <c r="A37" t="s">
        <v>465</v>
      </c>
      <c r="B37" t="s">
        <v>93</v>
      </c>
      <c r="C37" t="s">
        <v>439</v>
      </c>
    </row>
    <row r="38" spans="1:3" ht="15" customHeight="1" x14ac:dyDescent="0.25">
      <c r="A38" t="s">
        <v>466</v>
      </c>
      <c r="B38" t="s">
        <v>93</v>
      </c>
      <c r="C38" t="s">
        <v>10</v>
      </c>
    </row>
    <row r="39" spans="1:3" ht="15" customHeight="1" x14ac:dyDescent="0.25">
      <c r="A39" t="s">
        <v>467</v>
      </c>
      <c r="B39" t="s">
        <v>93</v>
      </c>
      <c r="C39" t="s">
        <v>10</v>
      </c>
    </row>
    <row r="40" spans="1:3" ht="15" customHeight="1" x14ac:dyDescent="0.25">
      <c r="A40" t="s">
        <v>468</v>
      </c>
      <c r="B40" t="s">
        <v>93</v>
      </c>
      <c r="C40" t="s">
        <v>431</v>
      </c>
    </row>
    <row r="41" spans="1:3" ht="15" customHeight="1" x14ac:dyDescent="0.25">
      <c r="A41" t="s">
        <v>469</v>
      </c>
      <c r="B41" t="s">
        <v>93</v>
      </c>
      <c r="C41" t="s">
        <v>439</v>
      </c>
    </row>
    <row r="42" spans="1:3" ht="15" customHeight="1" x14ac:dyDescent="0.25">
      <c r="A42" t="s">
        <v>470</v>
      </c>
      <c r="B42" t="s">
        <v>93</v>
      </c>
      <c r="C42" t="s">
        <v>10</v>
      </c>
    </row>
    <row r="43" spans="1:3" ht="15" customHeight="1" x14ac:dyDescent="0.25">
      <c r="A43" t="s">
        <v>471</v>
      </c>
      <c r="B43" t="s">
        <v>97</v>
      </c>
      <c r="C43" t="s">
        <v>431</v>
      </c>
    </row>
    <row r="44" spans="1:3" ht="15" customHeight="1" x14ac:dyDescent="0.25">
      <c r="A44" t="s">
        <v>472</v>
      </c>
      <c r="B44" t="s">
        <v>97</v>
      </c>
      <c r="C44" t="s">
        <v>439</v>
      </c>
    </row>
    <row r="45" spans="1:3" ht="15" customHeight="1" x14ac:dyDescent="0.25">
      <c r="A45" t="s">
        <v>473</v>
      </c>
      <c r="B45" t="s">
        <v>97</v>
      </c>
      <c r="C45" t="s">
        <v>10</v>
      </c>
    </row>
    <row r="46" spans="1:3" ht="15" customHeight="1" x14ac:dyDescent="0.25">
      <c r="A46" t="s">
        <v>474</v>
      </c>
      <c r="B46" t="s">
        <v>97</v>
      </c>
      <c r="C46" t="s">
        <v>10</v>
      </c>
    </row>
    <row r="47" spans="1:3" ht="15" customHeight="1" x14ac:dyDescent="0.25">
      <c r="A47" t="s">
        <v>475</v>
      </c>
      <c r="B47" t="s">
        <v>97</v>
      </c>
      <c r="C47" t="s">
        <v>431</v>
      </c>
    </row>
    <row r="48" spans="1:3" ht="15" customHeight="1" x14ac:dyDescent="0.25">
      <c r="A48" t="s">
        <v>476</v>
      </c>
      <c r="B48" t="s">
        <v>97</v>
      </c>
      <c r="C48" t="s">
        <v>431</v>
      </c>
    </row>
    <row r="49" spans="1:3" ht="15" customHeight="1" x14ac:dyDescent="0.25">
      <c r="A49" t="s">
        <v>477</v>
      </c>
      <c r="B49" t="s">
        <v>97</v>
      </c>
      <c r="C49" t="s">
        <v>10</v>
      </c>
    </row>
    <row r="50" spans="1:3" ht="15" customHeight="1" x14ac:dyDescent="0.25">
      <c r="A50" t="s">
        <v>478</v>
      </c>
      <c r="B50" t="s">
        <v>97</v>
      </c>
      <c r="C50" t="s">
        <v>439</v>
      </c>
    </row>
    <row r="51" spans="1:3" ht="15" customHeight="1" x14ac:dyDescent="0.25">
      <c r="A51" t="s">
        <v>479</v>
      </c>
      <c r="B51" t="s">
        <v>97</v>
      </c>
      <c r="C51" t="s">
        <v>10</v>
      </c>
    </row>
    <row r="52" spans="1:3" ht="15" customHeight="1" x14ac:dyDescent="0.25">
      <c r="A52" t="s">
        <v>480</v>
      </c>
      <c r="B52" t="s">
        <v>97</v>
      </c>
      <c r="C52" t="s">
        <v>10</v>
      </c>
    </row>
    <row r="53" spans="1:3" ht="15" customHeight="1" x14ac:dyDescent="0.25">
      <c r="A53" t="s">
        <v>481</v>
      </c>
      <c r="B53" t="s">
        <v>97</v>
      </c>
      <c r="C53" t="s">
        <v>10</v>
      </c>
    </row>
    <row r="54" spans="1:3" ht="15" customHeight="1" x14ac:dyDescent="0.25">
      <c r="A54" t="s">
        <v>482</v>
      </c>
      <c r="B54" t="s">
        <v>99</v>
      </c>
      <c r="C54" t="s">
        <v>10</v>
      </c>
    </row>
    <row r="55" spans="1:3" ht="15" customHeight="1" x14ac:dyDescent="0.25">
      <c r="A55" t="s">
        <v>483</v>
      </c>
      <c r="B55" t="s">
        <v>99</v>
      </c>
      <c r="C55" t="s">
        <v>431</v>
      </c>
    </row>
    <row r="56" spans="1:3" ht="15" customHeight="1" x14ac:dyDescent="0.25">
      <c r="A56" t="s">
        <v>484</v>
      </c>
      <c r="B56" t="s">
        <v>99</v>
      </c>
      <c r="C56" t="s">
        <v>431</v>
      </c>
    </row>
    <row r="57" spans="1:3" ht="15" customHeight="1" x14ac:dyDescent="0.25">
      <c r="A57" t="s">
        <v>485</v>
      </c>
      <c r="B57" t="s">
        <v>99</v>
      </c>
      <c r="C57" t="s">
        <v>431</v>
      </c>
    </row>
    <row r="58" spans="1:3" ht="15" customHeight="1" x14ac:dyDescent="0.25">
      <c r="A58" t="s">
        <v>486</v>
      </c>
      <c r="B58" t="s">
        <v>99</v>
      </c>
      <c r="C58" t="s">
        <v>10</v>
      </c>
    </row>
    <row r="59" spans="1:3" ht="15" customHeight="1" x14ac:dyDescent="0.25">
      <c r="A59" t="s">
        <v>487</v>
      </c>
      <c r="B59" t="s">
        <v>99</v>
      </c>
      <c r="C59" t="s">
        <v>10</v>
      </c>
    </row>
    <row r="60" spans="1:3" ht="15" customHeight="1" x14ac:dyDescent="0.25">
      <c r="A60" t="s">
        <v>488</v>
      </c>
      <c r="B60" t="s">
        <v>99</v>
      </c>
      <c r="C60" t="s">
        <v>439</v>
      </c>
    </row>
    <row r="61" spans="1:3" ht="15" customHeight="1" x14ac:dyDescent="0.25">
      <c r="A61" t="s">
        <v>489</v>
      </c>
      <c r="B61" t="s">
        <v>99</v>
      </c>
      <c r="C61" t="s">
        <v>431</v>
      </c>
    </row>
    <row r="62" spans="1:3" ht="15" customHeight="1" x14ac:dyDescent="0.25">
      <c r="A62" t="s">
        <v>490</v>
      </c>
      <c r="B62" t="s">
        <v>99</v>
      </c>
      <c r="C62" t="s">
        <v>439</v>
      </c>
    </row>
    <row r="63" spans="1:3" ht="15" customHeight="1" x14ac:dyDescent="0.25">
      <c r="A63" t="s">
        <v>491</v>
      </c>
      <c r="B63" t="s">
        <v>99</v>
      </c>
      <c r="C63" t="s">
        <v>439</v>
      </c>
    </row>
    <row r="64" spans="1:3" ht="15" customHeight="1" x14ac:dyDescent="0.25">
      <c r="A64" t="s">
        <v>492</v>
      </c>
      <c r="B64" t="s">
        <v>99</v>
      </c>
      <c r="C64" t="s">
        <v>439</v>
      </c>
    </row>
    <row r="65" spans="1:3" ht="15" customHeight="1" x14ac:dyDescent="0.25">
      <c r="A65" t="s">
        <v>493</v>
      </c>
      <c r="B65" t="s">
        <v>99</v>
      </c>
      <c r="C65" t="s">
        <v>10</v>
      </c>
    </row>
    <row r="66" spans="1:3" ht="15" customHeight="1" x14ac:dyDescent="0.25">
      <c r="A66" t="s">
        <v>494</v>
      </c>
      <c r="B66" t="s">
        <v>99</v>
      </c>
      <c r="C66" t="s">
        <v>10</v>
      </c>
    </row>
    <row r="67" spans="1:3" ht="15" customHeight="1" x14ac:dyDescent="0.25">
      <c r="A67" t="s">
        <v>495</v>
      </c>
      <c r="B67" t="s">
        <v>99</v>
      </c>
      <c r="C67" t="s">
        <v>10</v>
      </c>
    </row>
    <row r="68" spans="1:3" ht="15" customHeight="1" x14ac:dyDescent="0.25">
      <c r="A68" t="s">
        <v>496</v>
      </c>
      <c r="B68" t="s">
        <v>99</v>
      </c>
      <c r="C68" t="s">
        <v>10</v>
      </c>
    </row>
    <row r="69" spans="1:3" ht="15" customHeight="1" x14ac:dyDescent="0.25">
      <c r="A69" t="s">
        <v>497</v>
      </c>
      <c r="B69" t="s">
        <v>99</v>
      </c>
      <c r="C69" t="s">
        <v>10</v>
      </c>
    </row>
    <row r="70" spans="1:3" ht="15" customHeight="1" x14ac:dyDescent="0.25">
      <c r="A70" t="s">
        <v>498</v>
      </c>
      <c r="B70" t="s">
        <v>96</v>
      </c>
      <c r="C70" t="s">
        <v>431</v>
      </c>
    </row>
    <row r="71" spans="1:3" ht="15" customHeight="1" x14ac:dyDescent="0.25">
      <c r="A71" t="s">
        <v>499</v>
      </c>
      <c r="B71" t="s">
        <v>96</v>
      </c>
      <c r="C71" t="s">
        <v>10</v>
      </c>
    </row>
    <row r="72" spans="1:3" ht="15" customHeight="1" x14ac:dyDescent="0.25">
      <c r="A72" t="s">
        <v>500</v>
      </c>
      <c r="B72" t="s">
        <v>96</v>
      </c>
      <c r="C72" t="s">
        <v>10</v>
      </c>
    </row>
    <row r="73" spans="1:3" ht="15" customHeight="1" x14ac:dyDescent="0.25">
      <c r="A73" t="s">
        <v>501</v>
      </c>
      <c r="B73" t="s">
        <v>96</v>
      </c>
      <c r="C73" t="s">
        <v>431</v>
      </c>
    </row>
    <row r="74" spans="1:3" ht="15" customHeight="1" x14ac:dyDescent="0.25">
      <c r="A74" t="s">
        <v>502</v>
      </c>
      <c r="B74" t="s">
        <v>96</v>
      </c>
      <c r="C74" t="s">
        <v>431</v>
      </c>
    </row>
    <row r="75" spans="1:3" ht="15" customHeight="1" x14ac:dyDescent="0.25">
      <c r="A75" t="s">
        <v>503</v>
      </c>
      <c r="B75" t="s">
        <v>96</v>
      </c>
      <c r="C75" t="s">
        <v>439</v>
      </c>
    </row>
    <row r="76" spans="1:3" ht="15" customHeight="1" x14ac:dyDescent="0.25">
      <c r="A76" t="s">
        <v>504</v>
      </c>
      <c r="B76" t="s">
        <v>96</v>
      </c>
      <c r="C76" t="s">
        <v>439</v>
      </c>
    </row>
    <row r="77" spans="1:3" ht="15" customHeight="1" x14ac:dyDescent="0.25">
      <c r="A77" t="s">
        <v>505</v>
      </c>
      <c r="B77" t="s">
        <v>96</v>
      </c>
      <c r="C77" t="s">
        <v>10</v>
      </c>
    </row>
    <row r="78" spans="1:3" ht="15" customHeight="1" x14ac:dyDescent="0.25">
      <c r="A78" t="s">
        <v>506</v>
      </c>
      <c r="B78" t="s">
        <v>96</v>
      </c>
      <c r="C78" t="s">
        <v>431</v>
      </c>
    </row>
    <row r="79" spans="1:3" ht="15" customHeight="1" x14ac:dyDescent="0.25">
      <c r="A79" t="s">
        <v>507</v>
      </c>
      <c r="B79" t="s">
        <v>96</v>
      </c>
      <c r="C79" t="s">
        <v>431</v>
      </c>
    </row>
    <row r="80" spans="1:3" ht="15" customHeight="1" x14ac:dyDescent="0.25">
      <c r="A80" t="s">
        <v>508</v>
      </c>
      <c r="B80" t="s">
        <v>96</v>
      </c>
      <c r="C80" t="s">
        <v>10</v>
      </c>
    </row>
    <row r="81" spans="1:3" ht="15" customHeight="1" x14ac:dyDescent="0.25">
      <c r="A81" t="s">
        <v>509</v>
      </c>
      <c r="B81" t="s">
        <v>96</v>
      </c>
      <c r="C81" t="s">
        <v>10</v>
      </c>
    </row>
    <row r="82" spans="1:3" ht="15" customHeight="1" x14ac:dyDescent="0.25">
      <c r="A82" t="s">
        <v>510</v>
      </c>
      <c r="B82" t="s">
        <v>96</v>
      </c>
      <c r="C82" t="s">
        <v>10</v>
      </c>
    </row>
    <row r="83" spans="1:3" ht="15" customHeight="1" x14ac:dyDescent="0.25">
      <c r="A83" t="s">
        <v>511</v>
      </c>
      <c r="B83" t="s">
        <v>96</v>
      </c>
      <c r="C83" t="s">
        <v>439</v>
      </c>
    </row>
    <row r="84" spans="1:3" ht="15" customHeight="1" x14ac:dyDescent="0.25">
      <c r="A84" t="s">
        <v>512</v>
      </c>
      <c r="B84" t="s">
        <v>96</v>
      </c>
      <c r="C84" t="s">
        <v>10</v>
      </c>
    </row>
    <row r="85" spans="1:3" ht="15" customHeight="1" x14ac:dyDescent="0.25">
      <c r="A85" t="s">
        <v>513</v>
      </c>
      <c r="B85" t="s">
        <v>96</v>
      </c>
      <c r="C85" t="s">
        <v>439</v>
      </c>
    </row>
    <row r="86" spans="1:3" ht="15" customHeight="1" x14ac:dyDescent="0.25">
      <c r="A86" t="s">
        <v>514</v>
      </c>
      <c r="B86" t="s">
        <v>96</v>
      </c>
      <c r="C86" t="s">
        <v>10</v>
      </c>
    </row>
    <row r="87" spans="1:3" ht="15" customHeight="1" x14ac:dyDescent="0.25">
      <c r="A87" t="s">
        <v>515</v>
      </c>
      <c r="B87" t="s">
        <v>96</v>
      </c>
      <c r="C87" t="s">
        <v>439</v>
      </c>
    </row>
    <row r="88" spans="1:3" ht="15" customHeight="1" x14ac:dyDescent="0.25">
      <c r="A88" t="s">
        <v>516</v>
      </c>
      <c r="B88" t="s">
        <v>96</v>
      </c>
      <c r="C88" t="s">
        <v>10</v>
      </c>
    </row>
    <row r="89" spans="1:3" ht="15" customHeight="1" x14ac:dyDescent="0.25">
      <c r="A89" t="s">
        <v>517</v>
      </c>
      <c r="B89" t="s">
        <v>96</v>
      </c>
      <c r="C89" t="s">
        <v>10</v>
      </c>
    </row>
    <row r="90" spans="1:3" ht="15" customHeight="1" x14ac:dyDescent="0.25">
      <c r="A90" t="s">
        <v>518</v>
      </c>
      <c r="B90" t="s">
        <v>96</v>
      </c>
      <c r="C90" t="s">
        <v>439</v>
      </c>
    </row>
    <row r="91" spans="1:3" ht="15" customHeight="1" x14ac:dyDescent="0.25">
      <c r="A91" t="s">
        <v>519</v>
      </c>
      <c r="B91" t="s">
        <v>96</v>
      </c>
      <c r="C91" t="s">
        <v>431</v>
      </c>
    </row>
    <row r="92" spans="1:3" ht="15" customHeight="1" x14ac:dyDescent="0.25">
      <c r="A92" t="s">
        <v>520</v>
      </c>
      <c r="B92" t="s">
        <v>104</v>
      </c>
      <c r="C92" t="s">
        <v>10</v>
      </c>
    </row>
    <row r="93" spans="1:3" ht="15" customHeight="1" x14ac:dyDescent="0.25">
      <c r="A93" t="s">
        <v>521</v>
      </c>
      <c r="B93" t="s">
        <v>104</v>
      </c>
      <c r="C93" t="s">
        <v>431</v>
      </c>
    </row>
    <row r="94" spans="1:3" ht="15" customHeight="1" x14ac:dyDescent="0.25">
      <c r="A94" t="s">
        <v>522</v>
      </c>
      <c r="B94" t="s">
        <v>104</v>
      </c>
      <c r="C94" t="s">
        <v>10</v>
      </c>
    </row>
    <row r="95" spans="1:3" ht="15" customHeight="1" x14ac:dyDescent="0.25">
      <c r="A95" t="s">
        <v>523</v>
      </c>
      <c r="B95" t="s">
        <v>104</v>
      </c>
      <c r="C95" t="s">
        <v>439</v>
      </c>
    </row>
    <row r="96" spans="1:3" ht="15" customHeight="1" x14ac:dyDescent="0.25">
      <c r="A96" t="s">
        <v>524</v>
      </c>
      <c r="B96" t="s">
        <v>104</v>
      </c>
      <c r="C96" t="s">
        <v>431</v>
      </c>
    </row>
    <row r="97" spans="1:3" ht="15" customHeight="1" x14ac:dyDescent="0.25">
      <c r="A97" t="s">
        <v>525</v>
      </c>
      <c r="B97" t="s">
        <v>104</v>
      </c>
      <c r="C97" t="s">
        <v>439</v>
      </c>
    </row>
    <row r="98" spans="1:3" ht="15" customHeight="1" x14ac:dyDescent="0.25">
      <c r="A98" t="s">
        <v>526</v>
      </c>
      <c r="B98" t="s">
        <v>104</v>
      </c>
      <c r="C98" t="s">
        <v>431</v>
      </c>
    </row>
    <row r="99" spans="1:3" ht="15" customHeight="1" x14ac:dyDescent="0.25">
      <c r="A99" t="s">
        <v>527</v>
      </c>
      <c r="B99" t="s">
        <v>104</v>
      </c>
      <c r="C99" t="s">
        <v>439</v>
      </c>
    </row>
    <row r="100" spans="1:3" ht="15" customHeight="1" x14ac:dyDescent="0.25">
      <c r="A100" t="s">
        <v>528</v>
      </c>
      <c r="B100" t="s">
        <v>104</v>
      </c>
      <c r="C100" t="s">
        <v>439</v>
      </c>
    </row>
    <row r="101" spans="1:3" ht="15" customHeight="1" x14ac:dyDescent="0.25">
      <c r="A101" t="s">
        <v>529</v>
      </c>
      <c r="B101" t="s">
        <v>104</v>
      </c>
      <c r="C101" t="s">
        <v>439</v>
      </c>
    </row>
    <row r="102" spans="1:3" ht="15" customHeight="1" x14ac:dyDescent="0.25">
      <c r="A102" t="s">
        <v>530</v>
      </c>
      <c r="B102" t="s">
        <v>104</v>
      </c>
      <c r="C102" t="s">
        <v>431</v>
      </c>
    </row>
    <row r="103" spans="1:3" ht="15" customHeight="1" x14ac:dyDescent="0.25">
      <c r="A103" t="s">
        <v>531</v>
      </c>
      <c r="B103" t="s">
        <v>104</v>
      </c>
      <c r="C103" t="s">
        <v>10</v>
      </c>
    </row>
    <row r="104" spans="1:3" ht="15" customHeight="1" x14ac:dyDescent="0.25">
      <c r="A104" t="s">
        <v>532</v>
      </c>
      <c r="B104" t="s">
        <v>104</v>
      </c>
      <c r="C104" t="s">
        <v>10</v>
      </c>
    </row>
    <row r="105" spans="1:3" ht="15" customHeight="1" x14ac:dyDescent="0.25">
      <c r="A105" t="s">
        <v>533</v>
      </c>
      <c r="B105" t="s">
        <v>104</v>
      </c>
      <c r="C105" t="s">
        <v>10</v>
      </c>
    </row>
    <row r="106" spans="1:3" ht="15" customHeight="1" x14ac:dyDescent="0.25">
      <c r="A106" t="s">
        <v>534</v>
      </c>
      <c r="B106" t="s">
        <v>104</v>
      </c>
      <c r="C106" t="s">
        <v>431</v>
      </c>
    </row>
    <row r="107" spans="1:3" ht="15" customHeight="1" x14ac:dyDescent="0.25">
      <c r="A107" t="s">
        <v>535</v>
      </c>
      <c r="B107" t="s">
        <v>104</v>
      </c>
      <c r="C107" t="s">
        <v>10</v>
      </c>
    </row>
    <row r="108" spans="1:3" ht="15" customHeight="1" x14ac:dyDescent="0.25">
      <c r="A108" t="s">
        <v>536</v>
      </c>
      <c r="B108" t="s">
        <v>107</v>
      </c>
      <c r="C108" t="s">
        <v>439</v>
      </c>
    </row>
    <row r="109" spans="1:3" ht="15" customHeight="1" x14ac:dyDescent="0.25">
      <c r="A109" t="s">
        <v>537</v>
      </c>
      <c r="B109" t="s">
        <v>107</v>
      </c>
      <c r="C109" t="s">
        <v>431</v>
      </c>
    </row>
    <row r="110" spans="1:3" ht="15" customHeight="1" x14ac:dyDescent="0.25">
      <c r="A110" t="s">
        <v>538</v>
      </c>
      <c r="B110" t="s">
        <v>107</v>
      </c>
      <c r="C110" t="s">
        <v>431</v>
      </c>
    </row>
    <row r="111" spans="1:3" ht="15" customHeight="1" x14ac:dyDescent="0.25">
      <c r="A111" t="s">
        <v>539</v>
      </c>
      <c r="B111" t="s">
        <v>107</v>
      </c>
      <c r="C111" t="s">
        <v>431</v>
      </c>
    </row>
    <row r="112" spans="1:3" ht="15" customHeight="1" x14ac:dyDescent="0.25">
      <c r="A112" t="s">
        <v>540</v>
      </c>
      <c r="B112" t="s">
        <v>107</v>
      </c>
      <c r="C112" t="s">
        <v>10</v>
      </c>
    </row>
    <row r="113" spans="1:3" ht="15" customHeight="1" x14ac:dyDescent="0.25">
      <c r="A113" t="s">
        <v>541</v>
      </c>
      <c r="B113" t="s">
        <v>107</v>
      </c>
      <c r="C113" t="s">
        <v>439</v>
      </c>
    </row>
    <row r="114" spans="1:3" ht="15" customHeight="1" x14ac:dyDescent="0.25">
      <c r="A114" t="s">
        <v>542</v>
      </c>
      <c r="B114" t="s">
        <v>107</v>
      </c>
      <c r="C114" t="s">
        <v>439</v>
      </c>
    </row>
    <row r="115" spans="1:3" ht="15" customHeight="1" x14ac:dyDescent="0.25">
      <c r="A115" t="s">
        <v>543</v>
      </c>
      <c r="B115" t="s">
        <v>107</v>
      </c>
      <c r="C115" t="s">
        <v>10</v>
      </c>
    </row>
    <row r="116" spans="1:3" ht="15" customHeight="1" x14ac:dyDescent="0.25">
      <c r="A116" t="s">
        <v>544</v>
      </c>
      <c r="B116" t="s">
        <v>107</v>
      </c>
      <c r="C116" t="s">
        <v>439</v>
      </c>
    </row>
    <row r="117" spans="1:3" ht="15" customHeight="1" x14ac:dyDescent="0.25">
      <c r="A117" t="s">
        <v>545</v>
      </c>
      <c r="B117" t="s">
        <v>107</v>
      </c>
      <c r="C117" t="s">
        <v>10</v>
      </c>
    </row>
    <row r="118" spans="1:3" ht="15" customHeight="1" x14ac:dyDescent="0.25">
      <c r="A118" t="s">
        <v>546</v>
      </c>
      <c r="B118" t="s">
        <v>107</v>
      </c>
      <c r="C118" t="s">
        <v>10</v>
      </c>
    </row>
    <row r="119" spans="1:3" ht="15" customHeight="1" x14ac:dyDescent="0.25">
      <c r="A119" t="s">
        <v>547</v>
      </c>
      <c r="B119" t="s">
        <v>107</v>
      </c>
      <c r="C119" t="s">
        <v>10</v>
      </c>
    </row>
    <row r="120" spans="1:3" ht="15" customHeight="1" x14ac:dyDescent="0.25">
      <c r="A120" t="s">
        <v>548</v>
      </c>
      <c r="B120" t="s">
        <v>107</v>
      </c>
      <c r="C120" t="s">
        <v>10</v>
      </c>
    </row>
    <row r="121" spans="1:3" ht="15" customHeight="1" x14ac:dyDescent="0.25">
      <c r="A121" t="s">
        <v>549</v>
      </c>
      <c r="B121" t="s">
        <v>107</v>
      </c>
      <c r="C121" t="s">
        <v>431</v>
      </c>
    </row>
    <row r="122" spans="1:3" ht="15" customHeight="1" x14ac:dyDescent="0.25">
      <c r="A122" t="s">
        <v>550</v>
      </c>
      <c r="B122" t="s">
        <v>107</v>
      </c>
      <c r="C122" t="s">
        <v>10</v>
      </c>
    </row>
    <row r="123" spans="1:3" ht="15" customHeight="1" x14ac:dyDescent="0.25">
      <c r="A123" t="s">
        <v>551</v>
      </c>
      <c r="B123" t="s">
        <v>107</v>
      </c>
      <c r="C123" t="s">
        <v>431</v>
      </c>
    </row>
    <row r="124" spans="1:3" ht="15" customHeight="1" x14ac:dyDescent="0.25">
      <c r="A124" t="s">
        <v>552</v>
      </c>
      <c r="B124" t="s">
        <v>107</v>
      </c>
      <c r="C124" t="s">
        <v>10</v>
      </c>
    </row>
    <row r="125" spans="1:3" ht="15" customHeight="1" x14ac:dyDescent="0.25">
      <c r="A125" t="s">
        <v>553</v>
      </c>
      <c r="B125" t="s">
        <v>107</v>
      </c>
      <c r="C125" t="s">
        <v>439</v>
      </c>
    </row>
    <row r="126" spans="1:3" ht="15" customHeight="1" x14ac:dyDescent="0.25">
      <c r="A126" t="s">
        <v>554</v>
      </c>
      <c r="B126" t="s">
        <v>107</v>
      </c>
      <c r="C126" t="s">
        <v>10</v>
      </c>
    </row>
    <row r="127" spans="1:3" ht="15" customHeight="1" x14ac:dyDescent="0.25">
      <c r="A127" t="s">
        <v>555</v>
      </c>
      <c r="B127" t="s">
        <v>107</v>
      </c>
      <c r="C127" t="s">
        <v>10</v>
      </c>
    </row>
    <row r="128" spans="1:3" ht="15" customHeight="1" x14ac:dyDescent="0.25">
      <c r="A128" t="s">
        <v>556</v>
      </c>
      <c r="B128" t="s">
        <v>109</v>
      </c>
      <c r="C128" t="s">
        <v>439</v>
      </c>
    </row>
    <row r="129" spans="1:3" ht="15" customHeight="1" x14ac:dyDescent="0.25">
      <c r="A129" t="s">
        <v>557</v>
      </c>
      <c r="B129" t="s">
        <v>109</v>
      </c>
      <c r="C129" t="s">
        <v>10</v>
      </c>
    </row>
    <row r="130" spans="1:3" ht="15" customHeight="1" x14ac:dyDescent="0.25">
      <c r="A130" t="s">
        <v>558</v>
      </c>
      <c r="B130" t="s">
        <v>109</v>
      </c>
      <c r="C130" t="s">
        <v>439</v>
      </c>
    </row>
    <row r="131" spans="1:3" ht="15" customHeight="1" x14ac:dyDescent="0.25">
      <c r="A131" t="s">
        <v>559</v>
      </c>
      <c r="B131" t="s">
        <v>109</v>
      </c>
      <c r="C131" t="s">
        <v>10</v>
      </c>
    </row>
    <row r="132" spans="1:3" ht="15" customHeight="1" x14ac:dyDescent="0.25">
      <c r="A132" t="s">
        <v>560</v>
      </c>
      <c r="B132" t="s">
        <v>109</v>
      </c>
      <c r="C132" t="s">
        <v>439</v>
      </c>
    </row>
    <row r="133" spans="1:3" ht="15" customHeight="1" x14ac:dyDescent="0.25">
      <c r="A133" t="s">
        <v>561</v>
      </c>
      <c r="B133" t="s">
        <v>109</v>
      </c>
      <c r="C133" t="s">
        <v>10</v>
      </c>
    </row>
    <row r="134" spans="1:3" ht="15" customHeight="1" x14ac:dyDescent="0.25">
      <c r="A134" t="s">
        <v>562</v>
      </c>
      <c r="B134" t="s">
        <v>109</v>
      </c>
      <c r="C134" t="s">
        <v>10</v>
      </c>
    </row>
    <row r="135" spans="1:3" ht="15" customHeight="1" x14ac:dyDescent="0.25">
      <c r="A135" t="s">
        <v>563</v>
      </c>
      <c r="B135" t="s">
        <v>109</v>
      </c>
      <c r="C135" t="s">
        <v>431</v>
      </c>
    </row>
    <row r="136" spans="1:3" ht="15" customHeight="1" x14ac:dyDescent="0.25">
      <c r="A136" t="s">
        <v>564</v>
      </c>
      <c r="B136" t="s">
        <v>109</v>
      </c>
      <c r="C136" t="s">
        <v>10</v>
      </c>
    </row>
    <row r="137" spans="1:3" ht="15" customHeight="1" x14ac:dyDescent="0.25">
      <c r="A137" t="s">
        <v>565</v>
      </c>
      <c r="B137" t="s">
        <v>109</v>
      </c>
      <c r="C137" t="s">
        <v>431</v>
      </c>
    </row>
    <row r="138" spans="1:3" ht="15" customHeight="1" x14ac:dyDescent="0.25">
      <c r="A138" t="s">
        <v>566</v>
      </c>
      <c r="B138" t="s">
        <v>109</v>
      </c>
      <c r="C138" t="s">
        <v>439</v>
      </c>
    </row>
    <row r="139" spans="1:3" ht="15" customHeight="1" x14ac:dyDescent="0.25">
      <c r="A139" t="s">
        <v>567</v>
      </c>
      <c r="B139" t="s">
        <v>109</v>
      </c>
      <c r="C139" t="s">
        <v>431</v>
      </c>
    </row>
    <row r="140" spans="1:3" ht="15" customHeight="1" x14ac:dyDescent="0.25">
      <c r="A140" t="s">
        <v>568</v>
      </c>
      <c r="B140" t="s">
        <v>109</v>
      </c>
      <c r="C140" t="s">
        <v>431</v>
      </c>
    </row>
    <row r="141" spans="1:3" ht="15" customHeight="1" x14ac:dyDescent="0.25">
      <c r="A141" t="s">
        <v>569</v>
      </c>
      <c r="B141" t="s">
        <v>109</v>
      </c>
      <c r="C141" t="s">
        <v>439</v>
      </c>
    </row>
    <row r="142" spans="1:3" ht="15" customHeight="1" x14ac:dyDescent="0.25">
      <c r="A142" t="s">
        <v>570</v>
      </c>
      <c r="B142" t="s">
        <v>109</v>
      </c>
      <c r="C142" t="s">
        <v>10</v>
      </c>
    </row>
    <row r="143" spans="1:3" ht="15" customHeight="1" x14ac:dyDescent="0.25">
      <c r="A143" t="s">
        <v>571</v>
      </c>
      <c r="B143" t="s">
        <v>109</v>
      </c>
      <c r="C143" t="s">
        <v>10</v>
      </c>
    </row>
    <row r="144" spans="1:3" ht="15" customHeight="1" x14ac:dyDescent="0.25">
      <c r="A144" t="s">
        <v>572</v>
      </c>
      <c r="B144" t="s">
        <v>109</v>
      </c>
      <c r="C144" t="s">
        <v>10</v>
      </c>
    </row>
    <row r="145" spans="1:3" ht="15" customHeight="1" x14ac:dyDescent="0.25">
      <c r="A145" t="s">
        <v>573</v>
      </c>
      <c r="B145" t="s">
        <v>109</v>
      </c>
      <c r="C145" t="s">
        <v>439</v>
      </c>
    </row>
    <row r="146" spans="1:3" ht="15" customHeight="1" x14ac:dyDescent="0.25">
      <c r="A146" t="s">
        <v>574</v>
      </c>
      <c r="B146" t="s">
        <v>109</v>
      </c>
      <c r="C146" t="s">
        <v>10</v>
      </c>
    </row>
    <row r="147" spans="1:3" ht="15" customHeight="1" x14ac:dyDescent="0.25">
      <c r="A147" t="s">
        <v>575</v>
      </c>
      <c r="B147" t="s">
        <v>112</v>
      </c>
      <c r="C147" t="s">
        <v>431</v>
      </c>
    </row>
    <row r="148" spans="1:3" ht="15" customHeight="1" x14ac:dyDescent="0.25">
      <c r="A148" t="s">
        <v>576</v>
      </c>
      <c r="B148" t="s">
        <v>112</v>
      </c>
      <c r="C148" t="s">
        <v>431</v>
      </c>
    </row>
    <row r="149" spans="1:3" ht="15" customHeight="1" x14ac:dyDescent="0.25">
      <c r="A149" t="s">
        <v>577</v>
      </c>
      <c r="B149" t="s">
        <v>112</v>
      </c>
      <c r="C149" t="s">
        <v>10</v>
      </c>
    </row>
    <row r="150" spans="1:3" ht="15" customHeight="1" x14ac:dyDescent="0.25">
      <c r="A150" t="s">
        <v>578</v>
      </c>
      <c r="B150" t="s">
        <v>112</v>
      </c>
      <c r="C150" t="s">
        <v>431</v>
      </c>
    </row>
    <row r="151" spans="1:3" ht="15" customHeight="1" x14ac:dyDescent="0.25">
      <c r="A151" t="s">
        <v>579</v>
      </c>
      <c r="B151" t="s">
        <v>112</v>
      </c>
      <c r="C151" t="s">
        <v>439</v>
      </c>
    </row>
    <row r="152" spans="1:3" ht="15" customHeight="1" x14ac:dyDescent="0.25">
      <c r="A152" t="s">
        <v>580</v>
      </c>
      <c r="B152" t="s">
        <v>112</v>
      </c>
      <c r="C152" t="s">
        <v>439</v>
      </c>
    </row>
    <row r="153" spans="1:3" ht="15" customHeight="1" x14ac:dyDescent="0.25">
      <c r="A153" t="s">
        <v>581</v>
      </c>
      <c r="B153" t="s">
        <v>112</v>
      </c>
      <c r="C153" t="s">
        <v>10</v>
      </c>
    </row>
    <row r="154" spans="1:3" ht="15" customHeight="1" x14ac:dyDescent="0.25">
      <c r="A154" t="s">
        <v>582</v>
      </c>
      <c r="B154" t="s">
        <v>112</v>
      </c>
      <c r="C154" t="s">
        <v>10</v>
      </c>
    </row>
    <row r="155" spans="1:3" ht="15" customHeight="1" x14ac:dyDescent="0.25">
      <c r="A155" t="s">
        <v>583</v>
      </c>
      <c r="B155" t="s">
        <v>112</v>
      </c>
      <c r="C155" t="s">
        <v>10</v>
      </c>
    </row>
    <row r="156" spans="1:3" ht="15" customHeight="1" x14ac:dyDescent="0.25">
      <c r="A156" t="s">
        <v>584</v>
      </c>
      <c r="B156" t="s">
        <v>112</v>
      </c>
      <c r="C156" t="s">
        <v>431</v>
      </c>
    </row>
    <row r="157" spans="1:3" ht="15" customHeight="1" x14ac:dyDescent="0.25">
      <c r="A157" t="s">
        <v>585</v>
      </c>
      <c r="B157" t="s">
        <v>112</v>
      </c>
      <c r="C157" t="s">
        <v>431</v>
      </c>
    </row>
    <row r="158" spans="1:3" ht="15" customHeight="1" x14ac:dyDescent="0.25">
      <c r="A158" t="s">
        <v>586</v>
      </c>
      <c r="B158" t="s">
        <v>112</v>
      </c>
      <c r="C158" t="s">
        <v>10</v>
      </c>
    </row>
    <row r="159" spans="1:3" ht="15" customHeight="1" x14ac:dyDescent="0.25">
      <c r="A159" t="s">
        <v>587</v>
      </c>
      <c r="B159" t="s">
        <v>112</v>
      </c>
      <c r="C159" t="s">
        <v>10</v>
      </c>
    </row>
    <row r="160" spans="1:3" ht="15" customHeight="1" x14ac:dyDescent="0.25">
      <c r="A160" t="s">
        <v>588</v>
      </c>
      <c r="B160" t="s">
        <v>112</v>
      </c>
      <c r="C160" t="s">
        <v>439</v>
      </c>
    </row>
    <row r="161" spans="1:3" ht="15" customHeight="1" x14ac:dyDescent="0.25">
      <c r="A161" t="s">
        <v>589</v>
      </c>
      <c r="B161" t="s">
        <v>112</v>
      </c>
      <c r="C161" t="s">
        <v>439</v>
      </c>
    </row>
    <row r="162" spans="1:3" ht="15" customHeight="1" x14ac:dyDescent="0.25">
      <c r="A162" t="s">
        <v>590</v>
      </c>
      <c r="B162" t="s">
        <v>112</v>
      </c>
      <c r="C162" t="s">
        <v>10</v>
      </c>
    </row>
    <row r="163" spans="1:3" ht="15" customHeight="1" x14ac:dyDescent="0.25">
      <c r="A163" t="s">
        <v>591</v>
      </c>
      <c r="B163" t="s">
        <v>112</v>
      </c>
      <c r="C163" t="s">
        <v>431</v>
      </c>
    </row>
    <row r="164" spans="1:3" ht="15" customHeight="1" x14ac:dyDescent="0.25">
      <c r="A164" t="s">
        <v>592</v>
      </c>
      <c r="B164" t="s">
        <v>115</v>
      </c>
      <c r="C164" t="s">
        <v>439</v>
      </c>
    </row>
    <row r="165" spans="1:3" ht="15" customHeight="1" x14ac:dyDescent="0.25">
      <c r="A165" t="s">
        <v>593</v>
      </c>
      <c r="B165" t="s">
        <v>115</v>
      </c>
      <c r="C165" t="s">
        <v>431</v>
      </c>
    </row>
    <row r="166" spans="1:3" ht="15" customHeight="1" x14ac:dyDescent="0.25">
      <c r="A166" t="s">
        <v>594</v>
      </c>
      <c r="B166" t="s">
        <v>115</v>
      </c>
      <c r="C166" t="s">
        <v>10</v>
      </c>
    </row>
    <row r="167" spans="1:3" ht="15" customHeight="1" x14ac:dyDescent="0.25">
      <c r="A167" t="s">
        <v>595</v>
      </c>
      <c r="B167" t="s">
        <v>115</v>
      </c>
      <c r="C167" t="s">
        <v>10</v>
      </c>
    </row>
    <row r="168" spans="1:3" ht="15" customHeight="1" x14ac:dyDescent="0.25">
      <c r="A168" t="s">
        <v>596</v>
      </c>
      <c r="B168" t="s">
        <v>115</v>
      </c>
      <c r="C168" t="s">
        <v>431</v>
      </c>
    </row>
    <row r="169" spans="1:3" ht="15" customHeight="1" x14ac:dyDescent="0.25">
      <c r="A169" t="s">
        <v>597</v>
      </c>
      <c r="B169" t="s">
        <v>115</v>
      </c>
      <c r="C169" t="s">
        <v>439</v>
      </c>
    </row>
    <row r="170" spans="1:3" ht="15" customHeight="1" x14ac:dyDescent="0.25">
      <c r="A170" t="s">
        <v>598</v>
      </c>
      <c r="B170" t="s">
        <v>115</v>
      </c>
      <c r="C170" t="s">
        <v>10</v>
      </c>
    </row>
    <row r="171" spans="1:3" ht="15" customHeight="1" x14ac:dyDescent="0.25">
      <c r="A171" t="s">
        <v>599</v>
      </c>
      <c r="B171" t="s">
        <v>115</v>
      </c>
      <c r="C171" t="s">
        <v>431</v>
      </c>
    </row>
    <row r="172" spans="1:3" ht="15" customHeight="1" x14ac:dyDescent="0.25">
      <c r="A172" t="s">
        <v>600</v>
      </c>
      <c r="B172" t="s">
        <v>115</v>
      </c>
      <c r="C172" t="s">
        <v>10</v>
      </c>
    </row>
    <row r="173" spans="1:3" ht="15" customHeight="1" x14ac:dyDescent="0.25">
      <c r="A173" t="s">
        <v>601</v>
      </c>
      <c r="B173" t="s">
        <v>115</v>
      </c>
      <c r="C173" t="s">
        <v>439</v>
      </c>
    </row>
    <row r="174" spans="1:3" ht="15" customHeight="1" x14ac:dyDescent="0.25">
      <c r="A174" t="s">
        <v>602</v>
      </c>
      <c r="B174" t="s">
        <v>115</v>
      </c>
      <c r="C174" t="s">
        <v>439</v>
      </c>
    </row>
    <row r="175" spans="1:3" ht="15" customHeight="1" x14ac:dyDescent="0.25">
      <c r="A175" t="s">
        <v>603</v>
      </c>
      <c r="B175" t="s">
        <v>115</v>
      </c>
      <c r="C175" t="s">
        <v>431</v>
      </c>
    </row>
    <row r="176" spans="1:3" ht="15" customHeight="1" x14ac:dyDescent="0.25">
      <c r="A176" t="s">
        <v>604</v>
      </c>
      <c r="B176" t="s">
        <v>115</v>
      </c>
      <c r="C176" t="s">
        <v>10</v>
      </c>
    </row>
    <row r="177" spans="1:3" ht="15" customHeight="1" x14ac:dyDescent="0.25">
      <c r="A177" t="s">
        <v>605</v>
      </c>
      <c r="B177" t="s">
        <v>115</v>
      </c>
      <c r="C177" t="s">
        <v>431</v>
      </c>
    </row>
    <row r="178" spans="1:3" ht="15" customHeight="1" x14ac:dyDescent="0.25">
      <c r="A178" t="s">
        <v>606</v>
      </c>
      <c r="B178" t="s">
        <v>115</v>
      </c>
      <c r="C178" t="s">
        <v>10</v>
      </c>
    </row>
    <row r="179" spans="1:3" ht="15" customHeight="1" x14ac:dyDescent="0.25">
      <c r="A179" t="s">
        <v>607</v>
      </c>
      <c r="B179" t="s">
        <v>115</v>
      </c>
      <c r="C179" t="s">
        <v>439</v>
      </c>
    </row>
    <row r="180" spans="1:3" ht="15" customHeight="1" x14ac:dyDescent="0.25">
      <c r="A180" t="s">
        <v>608</v>
      </c>
      <c r="B180" t="s">
        <v>115</v>
      </c>
      <c r="C180" t="s">
        <v>431</v>
      </c>
    </row>
    <row r="181" spans="1:3" ht="15" customHeight="1" x14ac:dyDescent="0.25">
      <c r="A181" t="s">
        <v>609</v>
      </c>
      <c r="B181" t="s">
        <v>115</v>
      </c>
      <c r="C181" t="s">
        <v>10</v>
      </c>
    </row>
    <row r="182" spans="1:3" ht="15" customHeight="1" x14ac:dyDescent="0.25">
      <c r="A182" t="s">
        <v>610</v>
      </c>
      <c r="B182" t="s">
        <v>111</v>
      </c>
      <c r="C182" t="s">
        <v>439</v>
      </c>
    </row>
    <row r="183" spans="1:3" ht="15" customHeight="1" x14ac:dyDescent="0.25">
      <c r="A183" t="s">
        <v>611</v>
      </c>
      <c r="B183" t="s">
        <v>111</v>
      </c>
      <c r="C183" t="s">
        <v>10</v>
      </c>
    </row>
    <row r="184" spans="1:3" ht="15" customHeight="1" x14ac:dyDescent="0.25">
      <c r="A184" t="s">
        <v>612</v>
      </c>
      <c r="B184" t="s">
        <v>111</v>
      </c>
      <c r="C184" t="s">
        <v>10</v>
      </c>
    </row>
    <row r="185" spans="1:3" ht="15" customHeight="1" x14ac:dyDescent="0.25">
      <c r="A185" t="s">
        <v>613</v>
      </c>
      <c r="B185" t="s">
        <v>111</v>
      </c>
      <c r="C185" t="s">
        <v>431</v>
      </c>
    </row>
    <row r="186" spans="1:3" ht="15" customHeight="1" x14ac:dyDescent="0.25">
      <c r="A186" t="s">
        <v>614</v>
      </c>
      <c r="B186" t="s">
        <v>111</v>
      </c>
      <c r="C186" t="s">
        <v>439</v>
      </c>
    </row>
    <row r="187" spans="1:3" ht="15" customHeight="1" x14ac:dyDescent="0.25">
      <c r="A187" t="s">
        <v>615</v>
      </c>
      <c r="B187" t="s">
        <v>111</v>
      </c>
      <c r="C187" t="s">
        <v>439</v>
      </c>
    </row>
    <row r="188" spans="1:3" ht="15" customHeight="1" x14ac:dyDescent="0.25">
      <c r="A188" t="s">
        <v>616</v>
      </c>
      <c r="B188" t="s">
        <v>111</v>
      </c>
      <c r="C188" t="s">
        <v>431</v>
      </c>
    </row>
    <row r="189" spans="1:3" ht="15" customHeight="1" x14ac:dyDescent="0.25">
      <c r="A189" t="s">
        <v>617</v>
      </c>
      <c r="B189" t="s">
        <v>111</v>
      </c>
      <c r="C189" t="s">
        <v>10</v>
      </c>
    </row>
    <row r="190" spans="1:3" ht="15" customHeight="1" x14ac:dyDescent="0.25">
      <c r="A190" t="s">
        <v>618</v>
      </c>
      <c r="B190" t="s">
        <v>111</v>
      </c>
      <c r="C190" t="s">
        <v>439</v>
      </c>
    </row>
    <row r="191" spans="1:3" ht="15" customHeight="1" x14ac:dyDescent="0.25">
      <c r="A191" t="s">
        <v>619</v>
      </c>
      <c r="B191" t="s">
        <v>111</v>
      </c>
      <c r="C191" t="s">
        <v>10</v>
      </c>
    </row>
    <row r="192" spans="1:3" ht="15" customHeight="1" x14ac:dyDescent="0.25">
      <c r="A192" t="s">
        <v>620</v>
      </c>
      <c r="B192" t="s">
        <v>111</v>
      </c>
      <c r="C192" t="s">
        <v>10</v>
      </c>
    </row>
    <row r="193" spans="1:3" ht="15" customHeight="1" x14ac:dyDescent="0.25">
      <c r="A193" t="s">
        <v>621</v>
      </c>
      <c r="B193" t="s">
        <v>111</v>
      </c>
      <c r="C193" t="s">
        <v>431</v>
      </c>
    </row>
    <row r="194" spans="1:3" ht="15" customHeight="1" x14ac:dyDescent="0.25">
      <c r="A194" t="s">
        <v>622</v>
      </c>
      <c r="B194" t="s">
        <v>111</v>
      </c>
      <c r="C194" t="s">
        <v>431</v>
      </c>
    </row>
    <row r="195" spans="1:3" ht="15" customHeight="1" x14ac:dyDescent="0.25">
      <c r="A195" t="s">
        <v>623</v>
      </c>
      <c r="B195" t="s">
        <v>111</v>
      </c>
      <c r="C195" t="s">
        <v>431</v>
      </c>
    </row>
    <row r="196" spans="1:3" ht="15" customHeight="1" x14ac:dyDescent="0.25">
      <c r="A196" t="s">
        <v>624</v>
      </c>
      <c r="B196" t="s">
        <v>111</v>
      </c>
      <c r="C196" t="s">
        <v>431</v>
      </c>
    </row>
    <row r="197" spans="1:3" ht="15" customHeight="1" x14ac:dyDescent="0.25">
      <c r="A197" t="s">
        <v>625</v>
      </c>
      <c r="B197" t="s">
        <v>111</v>
      </c>
      <c r="C197" t="s">
        <v>10</v>
      </c>
    </row>
    <row r="198" spans="1:3" ht="15" customHeight="1" x14ac:dyDescent="0.25">
      <c r="A198" t="s">
        <v>626</v>
      </c>
      <c r="B198" t="s">
        <v>111</v>
      </c>
      <c r="C198" t="s">
        <v>10</v>
      </c>
    </row>
    <row r="199" spans="1:3" ht="15" customHeight="1" x14ac:dyDescent="0.25">
      <c r="A199" t="s">
        <v>627</v>
      </c>
      <c r="B199" t="s">
        <v>111</v>
      </c>
      <c r="C199" t="s">
        <v>431</v>
      </c>
    </row>
    <row r="200" spans="1:3" ht="15" customHeight="1" x14ac:dyDescent="0.25">
      <c r="A200" t="s">
        <v>628</v>
      </c>
      <c r="B200" t="s">
        <v>111</v>
      </c>
      <c r="C200" t="s">
        <v>10</v>
      </c>
    </row>
    <row r="201" spans="1:3" ht="15" customHeight="1" x14ac:dyDescent="0.25">
      <c r="A201" t="s">
        <v>629</v>
      </c>
      <c r="B201" t="s">
        <v>111</v>
      </c>
      <c r="C201" t="s">
        <v>439</v>
      </c>
    </row>
    <row r="202" spans="1:3" ht="15" customHeight="1" x14ac:dyDescent="0.25">
      <c r="A202" t="s">
        <v>630</v>
      </c>
      <c r="B202" t="s">
        <v>118</v>
      </c>
      <c r="C202" t="s">
        <v>431</v>
      </c>
    </row>
    <row r="203" spans="1:3" ht="15" customHeight="1" x14ac:dyDescent="0.25">
      <c r="A203" t="s">
        <v>631</v>
      </c>
      <c r="B203" t="s">
        <v>118</v>
      </c>
      <c r="C203" t="s">
        <v>439</v>
      </c>
    </row>
    <row r="204" spans="1:3" ht="15" customHeight="1" x14ac:dyDescent="0.25">
      <c r="A204" t="s">
        <v>632</v>
      </c>
      <c r="B204" t="s">
        <v>118</v>
      </c>
      <c r="C204" t="s">
        <v>439</v>
      </c>
    </row>
    <row r="205" spans="1:3" ht="15" customHeight="1" x14ac:dyDescent="0.25">
      <c r="A205" t="s">
        <v>633</v>
      </c>
      <c r="B205" t="s">
        <v>118</v>
      </c>
      <c r="C205" t="s">
        <v>10</v>
      </c>
    </row>
    <row r="206" spans="1:3" ht="15" customHeight="1" x14ac:dyDescent="0.25">
      <c r="A206" t="s">
        <v>634</v>
      </c>
      <c r="B206" t="s">
        <v>118</v>
      </c>
      <c r="C206" t="s">
        <v>431</v>
      </c>
    </row>
    <row r="207" spans="1:3" ht="15" customHeight="1" x14ac:dyDescent="0.25">
      <c r="A207" t="s">
        <v>635</v>
      </c>
      <c r="B207" t="s">
        <v>118</v>
      </c>
      <c r="C207" t="s">
        <v>10</v>
      </c>
    </row>
    <row r="208" spans="1:3" ht="15" customHeight="1" x14ac:dyDescent="0.25">
      <c r="A208" t="s">
        <v>636</v>
      </c>
      <c r="B208" t="s">
        <v>118</v>
      </c>
      <c r="C208" t="s">
        <v>439</v>
      </c>
    </row>
    <row r="209" spans="1:3" ht="15" customHeight="1" x14ac:dyDescent="0.25">
      <c r="A209" t="s">
        <v>637</v>
      </c>
      <c r="B209" t="s">
        <v>118</v>
      </c>
      <c r="C209" t="s">
        <v>431</v>
      </c>
    </row>
    <row r="210" spans="1:3" ht="15" customHeight="1" x14ac:dyDescent="0.25">
      <c r="A210" t="s">
        <v>638</v>
      </c>
      <c r="B210" t="s">
        <v>118</v>
      </c>
      <c r="C210" t="s">
        <v>431</v>
      </c>
    </row>
    <row r="211" spans="1:3" ht="15" customHeight="1" x14ac:dyDescent="0.25">
      <c r="A211" t="s">
        <v>639</v>
      </c>
      <c r="B211" t="s">
        <v>118</v>
      </c>
      <c r="C211" t="s">
        <v>10</v>
      </c>
    </row>
    <row r="212" spans="1:3" ht="15" customHeight="1" x14ac:dyDescent="0.25">
      <c r="A212" t="s">
        <v>640</v>
      </c>
      <c r="B212" t="s">
        <v>118</v>
      </c>
      <c r="C212" t="s">
        <v>439</v>
      </c>
    </row>
    <row r="213" spans="1:3" ht="15" customHeight="1" x14ac:dyDescent="0.25">
      <c r="A213" t="s">
        <v>641</v>
      </c>
      <c r="B213" t="s">
        <v>118</v>
      </c>
      <c r="C213" t="s">
        <v>10</v>
      </c>
    </row>
    <row r="214" spans="1:3" ht="15" customHeight="1" x14ac:dyDescent="0.25">
      <c r="A214" t="s">
        <v>642</v>
      </c>
      <c r="B214" t="s">
        <v>118</v>
      </c>
      <c r="C214" t="s">
        <v>10</v>
      </c>
    </row>
    <row r="215" spans="1:3" ht="15" customHeight="1" x14ac:dyDescent="0.25">
      <c r="A215" t="s">
        <v>643</v>
      </c>
      <c r="B215" t="s">
        <v>118</v>
      </c>
      <c r="C215" t="s">
        <v>10</v>
      </c>
    </row>
    <row r="216" spans="1:3" ht="15" customHeight="1" x14ac:dyDescent="0.25">
      <c r="A216" t="s">
        <v>644</v>
      </c>
      <c r="B216" t="s">
        <v>118</v>
      </c>
      <c r="C216" t="s">
        <v>431</v>
      </c>
    </row>
    <row r="217" spans="1:3" ht="15" customHeight="1" x14ac:dyDescent="0.25">
      <c r="A217" t="s">
        <v>645</v>
      </c>
      <c r="B217" t="s">
        <v>118</v>
      </c>
      <c r="C217" t="s">
        <v>439</v>
      </c>
    </row>
    <row r="218" spans="1:3" ht="15" customHeight="1" x14ac:dyDescent="0.25">
      <c r="A218" t="s">
        <v>646</v>
      </c>
      <c r="B218" t="s">
        <v>118</v>
      </c>
      <c r="C218" t="s">
        <v>10</v>
      </c>
    </row>
    <row r="219" spans="1:3" ht="15" customHeight="1" x14ac:dyDescent="0.25">
      <c r="A219" t="s">
        <v>647</v>
      </c>
      <c r="B219" t="s">
        <v>118</v>
      </c>
      <c r="C219" t="s">
        <v>439</v>
      </c>
    </row>
    <row r="220" spans="1:3" ht="15" customHeight="1" x14ac:dyDescent="0.25">
      <c r="A220" t="s">
        <v>648</v>
      </c>
      <c r="B220" t="s">
        <v>118</v>
      </c>
      <c r="C220" t="s">
        <v>10</v>
      </c>
    </row>
    <row r="221" spans="1:3" ht="15" customHeight="1" x14ac:dyDescent="0.25">
      <c r="A221" t="s">
        <v>649</v>
      </c>
      <c r="B221" t="s">
        <v>118</v>
      </c>
      <c r="C221" t="s">
        <v>10</v>
      </c>
    </row>
    <row r="222" spans="1:3" ht="15" customHeight="1" x14ac:dyDescent="0.25">
      <c r="A222" t="s">
        <v>650</v>
      </c>
      <c r="B222" t="s">
        <v>121</v>
      </c>
      <c r="C222" t="s">
        <v>431</v>
      </c>
    </row>
    <row r="223" spans="1:3" ht="15" customHeight="1" x14ac:dyDescent="0.25">
      <c r="A223" t="s">
        <v>651</v>
      </c>
      <c r="B223" t="s">
        <v>121</v>
      </c>
      <c r="C223" t="s">
        <v>10</v>
      </c>
    </row>
    <row r="224" spans="1:3" ht="15" customHeight="1" x14ac:dyDescent="0.25">
      <c r="A224" t="s">
        <v>652</v>
      </c>
      <c r="B224" t="s">
        <v>121</v>
      </c>
      <c r="C224" t="s">
        <v>10</v>
      </c>
    </row>
    <row r="225" spans="1:3" ht="15" customHeight="1" x14ac:dyDescent="0.25">
      <c r="A225" t="s">
        <v>653</v>
      </c>
      <c r="B225" t="s">
        <v>121</v>
      </c>
      <c r="C225" t="s">
        <v>10</v>
      </c>
    </row>
    <row r="226" spans="1:3" ht="15" customHeight="1" x14ac:dyDescent="0.25">
      <c r="A226" t="s">
        <v>654</v>
      </c>
      <c r="B226" t="s">
        <v>121</v>
      </c>
      <c r="C226" t="s">
        <v>10</v>
      </c>
    </row>
    <row r="227" spans="1:3" ht="15" customHeight="1" x14ac:dyDescent="0.25">
      <c r="A227" t="s">
        <v>655</v>
      </c>
      <c r="B227" t="s">
        <v>121</v>
      </c>
      <c r="C227" t="s">
        <v>439</v>
      </c>
    </row>
    <row r="228" spans="1:3" ht="15" customHeight="1" x14ac:dyDescent="0.25">
      <c r="A228" t="s">
        <v>656</v>
      </c>
      <c r="B228" t="s">
        <v>121</v>
      </c>
      <c r="C228" t="s">
        <v>431</v>
      </c>
    </row>
    <row r="229" spans="1:3" ht="15" customHeight="1" x14ac:dyDescent="0.25">
      <c r="A229" t="s">
        <v>657</v>
      </c>
      <c r="B229" t="s">
        <v>121</v>
      </c>
      <c r="C229" t="s">
        <v>10</v>
      </c>
    </row>
    <row r="230" spans="1:3" ht="15" customHeight="1" x14ac:dyDescent="0.25">
      <c r="A230" t="s">
        <v>658</v>
      </c>
      <c r="B230" t="s">
        <v>121</v>
      </c>
      <c r="C230" t="s">
        <v>439</v>
      </c>
    </row>
    <row r="231" spans="1:3" ht="15" customHeight="1" x14ac:dyDescent="0.25">
      <c r="A231" t="s">
        <v>659</v>
      </c>
      <c r="B231" t="s">
        <v>121</v>
      </c>
      <c r="C231" t="s">
        <v>431</v>
      </c>
    </row>
    <row r="232" spans="1:3" ht="15" customHeight="1" x14ac:dyDescent="0.25">
      <c r="A232" t="s">
        <v>660</v>
      </c>
      <c r="B232" t="s">
        <v>121</v>
      </c>
      <c r="C232" t="s">
        <v>431</v>
      </c>
    </row>
    <row r="233" spans="1:3" ht="15" customHeight="1" x14ac:dyDescent="0.25">
      <c r="A233" t="s">
        <v>661</v>
      </c>
      <c r="B233" t="s">
        <v>121</v>
      </c>
      <c r="C233" t="s">
        <v>439</v>
      </c>
    </row>
    <row r="234" spans="1:3" ht="15" customHeight="1" x14ac:dyDescent="0.25">
      <c r="A234" t="s">
        <v>662</v>
      </c>
      <c r="B234" t="s">
        <v>121</v>
      </c>
      <c r="C234" t="s">
        <v>10</v>
      </c>
    </row>
    <row r="235" spans="1:3" ht="15" customHeight="1" x14ac:dyDescent="0.25">
      <c r="A235" t="s">
        <v>663</v>
      </c>
      <c r="B235" t="s">
        <v>121</v>
      </c>
      <c r="C235" t="s">
        <v>439</v>
      </c>
    </row>
    <row r="236" spans="1:3" ht="15" customHeight="1" x14ac:dyDescent="0.25">
      <c r="A236" t="s">
        <v>664</v>
      </c>
      <c r="B236" t="s">
        <v>121</v>
      </c>
      <c r="C236" t="s">
        <v>439</v>
      </c>
    </row>
    <row r="237" spans="1:3" ht="15" customHeight="1" x14ac:dyDescent="0.25">
      <c r="A237" t="s">
        <v>665</v>
      </c>
      <c r="B237" t="s">
        <v>121</v>
      </c>
      <c r="C237" t="s">
        <v>439</v>
      </c>
    </row>
    <row r="238" spans="1:3" ht="15" customHeight="1" x14ac:dyDescent="0.25">
      <c r="A238" t="s">
        <v>666</v>
      </c>
      <c r="B238" t="s">
        <v>121</v>
      </c>
      <c r="C238" t="s">
        <v>10</v>
      </c>
    </row>
    <row r="239" spans="1:3" ht="15" customHeight="1" x14ac:dyDescent="0.25">
      <c r="A239" t="s">
        <v>667</v>
      </c>
      <c r="B239" t="s">
        <v>121</v>
      </c>
      <c r="C239" t="s">
        <v>10</v>
      </c>
    </row>
    <row r="240" spans="1:3" ht="15" customHeight="1" x14ac:dyDescent="0.25">
      <c r="A240" t="s">
        <v>668</v>
      </c>
      <c r="B240" t="s">
        <v>124</v>
      </c>
      <c r="C240" t="s">
        <v>431</v>
      </c>
    </row>
    <row r="241" spans="1:3" ht="15" customHeight="1" x14ac:dyDescent="0.25">
      <c r="A241" t="s">
        <v>669</v>
      </c>
      <c r="B241" t="s">
        <v>124</v>
      </c>
      <c r="C241" t="s">
        <v>439</v>
      </c>
    </row>
    <row r="242" spans="1:3" ht="15" customHeight="1" x14ac:dyDescent="0.25">
      <c r="A242" t="s">
        <v>670</v>
      </c>
      <c r="B242" t="s">
        <v>124</v>
      </c>
      <c r="C242" t="s">
        <v>431</v>
      </c>
    </row>
    <row r="243" spans="1:3" ht="15" customHeight="1" x14ac:dyDescent="0.25">
      <c r="A243" t="s">
        <v>671</v>
      </c>
      <c r="B243" t="s">
        <v>124</v>
      </c>
      <c r="C243" t="s">
        <v>10</v>
      </c>
    </row>
    <row r="244" spans="1:3" ht="15" customHeight="1" x14ac:dyDescent="0.25">
      <c r="A244" t="s">
        <v>672</v>
      </c>
      <c r="B244" t="s">
        <v>124</v>
      </c>
      <c r="C244" t="s">
        <v>10</v>
      </c>
    </row>
    <row r="245" spans="1:3" ht="15" customHeight="1" x14ac:dyDescent="0.25">
      <c r="A245" t="s">
        <v>673</v>
      </c>
      <c r="B245" t="s">
        <v>124</v>
      </c>
      <c r="C245" t="s">
        <v>431</v>
      </c>
    </row>
    <row r="246" spans="1:3" ht="15" customHeight="1" x14ac:dyDescent="0.25">
      <c r="A246" t="s">
        <v>674</v>
      </c>
      <c r="B246" t="s">
        <v>124</v>
      </c>
      <c r="C246" t="s">
        <v>431</v>
      </c>
    </row>
    <row r="247" spans="1:3" ht="15" customHeight="1" x14ac:dyDescent="0.25">
      <c r="A247" t="s">
        <v>675</v>
      </c>
      <c r="B247" t="s">
        <v>124</v>
      </c>
      <c r="C247" t="s">
        <v>10</v>
      </c>
    </row>
    <row r="248" spans="1:3" ht="15" customHeight="1" x14ac:dyDescent="0.25">
      <c r="A248" t="s">
        <v>676</v>
      </c>
      <c r="B248" t="s">
        <v>124</v>
      </c>
      <c r="C248" t="s">
        <v>439</v>
      </c>
    </row>
    <row r="249" spans="1:3" ht="15" customHeight="1" x14ac:dyDescent="0.25">
      <c r="A249" t="s">
        <v>677</v>
      </c>
      <c r="B249" t="s">
        <v>124</v>
      </c>
      <c r="C249" t="s">
        <v>439</v>
      </c>
    </row>
    <row r="250" spans="1:3" ht="15" customHeight="1" x14ac:dyDescent="0.25">
      <c r="A250" t="s">
        <v>678</v>
      </c>
      <c r="B250" t="s">
        <v>124</v>
      </c>
      <c r="C250" t="s">
        <v>10</v>
      </c>
    </row>
    <row r="251" spans="1:3" ht="15" customHeight="1" x14ac:dyDescent="0.25">
      <c r="A251" t="s">
        <v>679</v>
      </c>
      <c r="B251" t="s">
        <v>124</v>
      </c>
      <c r="C251" t="s">
        <v>439</v>
      </c>
    </row>
    <row r="252" spans="1:3" ht="15" customHeight="1" x14ac:dyDescent="0.25">
      <c r="A252" t="s">
        <v>680</v>
      </c>
      <c r="B252" t="s">
        <v>124</v>
      </c>
      <c r="C252" t="s">
        <v>10</v>
      </c>
    </row>
    <row r="253" spans="1:3" ht="15" customHeight="1" x14ac:dyDescent="0.25">
      <c r="A253" t="s">
        <v>681</v>
      </c>
      <c r="B253" t="s">
        <v>124</v>
      </c>
      <c r="C253" t="s">
        <v>10</v>
      </c>
    </row>
    <row r="254" spans="1:3" ht="15" customHeight="1" x14ac:dyDescent="0.25">
      <c r="A254" t="s">
        <v>682</v>
      </c>
      <c r="B254" t="s">
        <v>124</v>
      </c>
      <c r="C254" t="s">
        <v>10</v>
      </c>
    </row>
    <row r="255" spans="1:3" ht="15" customHeight="1" x14ac:dyDescent="0.25">
      <c r="A255" t="s">
        <v>683</v>
      </c>
      <c r="B255" t="s">
        <v>124</v>
      </c>
      <c r="C255" t="s">
        <v>431</v>
      </c>
    </row>
    <row r="256" spans="1:3" ht="15" customHeight="1" x14ac:dyDescent="0.25">
      <c r="A256" t="s">
        <v>684</v>
      </c>
      <c r="B256" t="s">
        <v>124</v>
      </c>
      <c r="C256" t="s">
        <v>439</v>
      </c>
    </row>
    <row r="257" spans="1:3" ht="15" customHeight="1" x14ac:dyDescent="0.25">
      <c r="A257" t="s">
        <v>685</v>
      </c>
      <c r="B257" t="s">
        <v>124</v>
      </c>
      <c r="C257" t="s">
        <v>10</v>
      </c>
    </row>
    <row r="258" spans="1:3" ht="15" customHeight="1" x14ac:dyDescent="0.25">
      <c r="A258" t="s">
        <v>686</v>
      </c>
      <c r="B258" t="s">
        <v>124</v>
      </c>
      <c r="C258" t="s">
        <v>439</v>
      </c>
    </row>
    <row r="259" spans="1:3" ht="15" customHeight="1" x14ac:dyDescent="0.25">
      <c r="A259" t="s">
        <v>687</v>
      </c>
      <c r="B259" t="s">
        <v>124</v>
      </c>
      <c r="C259" t="s">
        <v>10</v>
      </c>
    </row>
    <row r="260" spans="1:3" ht="15" customHeight="1" x14ac:dyDescent="0.25">
      <c r="A260" t="s">
        <v>688</v>
      </c>
      <c r="B260" t="s">
        <v>127</v>
      </c>
      <c r="C260" t="s">
        <v>431</v>
      </c>
    </row>
    <row r="261" spans="1:3" ht="15" customHeight="1" x14ac:dyDescent="0.25">
      <c r="A261" t="s">
        <v>689</v>
      </c>
      <c r="B261" t="s">
        <v>127</v>
      </c>
      <c r="C261" t="s">
        <v>10</v>
      </c>
    </row>
    <row r="262" spans="1:3" ht="15" customHeight="1" x14ac:dyDescent="0.25">
      <c r="A262" t="s">
        <v>690</v>
      </c>
      <c r="B262" t="s">
        <v>127</v>
      </c>
      <c r="C262" t="s">
        <v>10</v>
      </c>
    </row>
    <row r="263" spans="1:3" ht="15" customHeight="1" x14ac:dyDescent="0.25">
      <c r="A263" t="s">
        <v>691</v>
      </c>
      <c r="B263" t="s">
        <v>127</v>
      </c>
      <c r="C263" t="s">
        <v>431</v>
      </c>
    </row>
    <row r="264" spans="1:3" ht="15" customHeight="1" x14ac:dyDescent="0.25">
      <c r="A264" t="s">
        <v>692</v>
      </c>
      <c r="B264" t="s">
        <v>127</v>
      </c>
      <c r="C264" t="s">
        <v>439</v>
      </c>
    </row>
    <row r="265" spans="1:3" ht="15" customHeight="1" x14ac:dyDescent="0.25">
      <c r="A265" t="s">
        <v>693</v>
      </c>
      <c r="B265" t="s">
        <v>127</v>
      </c>
      <c r="C265" t="s">
        <v>10</v>
      </c>
    </row>
    <row r="266" spans="1:3" ht="15" customHeight="1" x14ac:dyDescent="0.25">
      <c r="A266" t="s">
        <v>694</v>
      </c>
      <c r="B266" t="s">
        <v>127</v>
      </c>
      <c r="C266" t="s">
        <v>431</v>
      </c>
    </row>
    <row r="267" spans="1:3" ht="15" customHeight="1" x14ac:dyDescent="0.25">
      <c r="A267" t="s">
        <v>695</v>
      </c>
      <c r="B267" t="s">
        <v>127</v>
      </c>
      <c r="C267" t="s">
        <v>10</v>
      </c>
    </row>
    <row r="268" spans="1:3" ht="15" customHeight="1" x14ac:dyDescent="0.25">
      <c r="A268" t="s">
        <v>696</v>
      </c>
      <c r="B268" t="s">
        <v>127</v>
      </c>
      <c r="C268" t="s">
        <v>439</v>
      </c>
    </row>
    <row r="269" spans="1:3" ht="15" customHeight="1" x14ac:dyDescent="0.25">
      <c r="A269" t="s">
        <v>697</v>
      </c>
      <c r="B269" t="s">
        <v>127</v>
      </c>
      <c r="C269" t="s">
        <v>10</v>
      </c>
    </row>
    <row r="270" spans="1:3" ht="15" customHeight="1" x14ac:dyDescent="0.25">
      <c r="A270" t="s">
        <v>698</v>
      </c>
      <c r="B270" t="s">
        <v>127</v>
      </c>
      <c r="C270" t="s">
        <v>439</v>
      </c>
    </row>
    <row r="271" spans="1:3" ht="15" customHeight="1" x14ac:dyDescent="0.25">
      <c r="A271" t="s">
        <v>699</v>
      </c>
      <c r="B271" t="s">
        <v>127</v>
      </c>
      <c r="C271" t="s">
        <v>431</v>
      </c>
    </row>
    <row r="272" spans="1:3" ht="15" customHeight="1" x14ac:dyDescent="0.25">
      <c r="A272" t="s">
        <v>700</v>
      </c>
      <c r="B272" t="s">
        <v>127</v>
      </c>
      <c r="C272" t="s">
        <v>439</v>
      </c>
    </row>
    <row r="273" spans="1:3" ht="15" customHeight="1" x14ac:dyDescent="0.25">
      <c r="A273" t="s">
        <v>701</v>
      </c>
      <c r="B273" t="s">
        <v>127</v>
      </c>
      <c r="C273" t="s">
        <v>10</v>
      </c>
    </row>
    <row r="274" spans="1:3" ht="15" customHeight="1" x14ac:dyDescent="0.25">
      <c r="A274" t="s">
        <v>702</v>
      </c>
      <c r="B274" t="s">
        <v>127</v>
      </c>
      <c r="C274" t="s">
        <v>10</v>
      </c>
    </row>
    <row r="275" spans="1:3" ht="15" customHeight="1" x14ac:dyDescent="0.25">
      <c r="A275" t="s">
        <v>703</v>
      </c>
      <c r="B275" t="s">
        <v>127</v>
      </c>
      <c r="C275" t="s">
        <v>431</v>
      </c>
    </row>
    <row r="276" spans="1:3" ht="15" customHeight="1" x14ac:dyDescent="0.25">
      <c r="A276" t="s">
        <v>704</v>
      </c>
      <c r="B276" t="s">
        <v>127</v>
      </c>
      <c r="C276" t="s">
        <v>10</v>
      </c>
    </row>
    <row r="277" spans="1:3" ht="15" customHeight="1" x14ac:dyDescent="0.25">
      <c r="A277" t="s">
        <v>705</v>
      </c>
      <c r="B277" t="s">
        <v>123</v>
      </c>
      <c r="C277" t="s">
        <v>10</v>
      </c>
    </row>
    <row r="278" spans="1:3" ht="15" customHeight="1" x14ac:dyDescent="0.25">
      <c r="A278" t="s">
        <v>706</v>
      </c>
      <c r="B278" t="s">
        <v>123</v>
      </c>
      <c r="C278" t="s">
        <v>439</v>
      </c>
    </row>
    <row r="279" spans="1:3" ht="15" customHeight="1" x14ac:dyDescent="0.25">
      <c r="A279" t="s">
        <v>707</v>
      </c>
      <c r="B279" t="s">
        <v>123</v>
      </c>
      <c r="C279" t="s">
        <v>10</v>
      </c>
    </row>
    <row r="280" spans="1:3" ht="15" customHeight="1" x14ac:dyDescent="0.25">
      <c r="A280" t="s">
        <v>708</v>
      </c>
      <c r="B280" t="s">
        <v>123</v>
      </c>
      <c r="C280" t="s">
        <v>431</v>
      </c>
    </row>
    <row r="281" spans="1:3" ht="15" customHeight="1" x14ac:dyDescent="0.25">
      <c r="A281" t="s">
        <v>709</v>
      </c>
      <c r="B281" t="s">
        <v>123</v>
      </c>
      <c r="C281" t="s">
        <v>439</v>
      </c>
    </row>
    <row r="282" spans="1:3" ht="15" customHeight="1" x14ac:dyDescent="0.25">
      <c r="A282" t="s">
        <v>710</v>
      </c>
      <c r="B282" t="s">
        <v>123</v>
      </c>
      <c r="C282" t="s">
        <v>10</v>
      </c>
    </row>
    <row r="283" spans="1:3" ht="15" customHeight="1" x14ac:dyDescent="0.25">
      <c r="A283" t="s">
        <v>711</v>
      </c>
      <c r="B283" t="s">
        <v>123</v>
      </c>
      <c r="C283" t="s">
        <v>431</v>
      </c>
    </row>
    <row r="284" spans="1:3" ht="15" customHeight="1" x14ac:dyDescent="0.25">
      <c r="A284" t="s">
        <v>712</v>
      </c>
      <c r="B284" t="s">
        <v>123</v>
      </c>
      <c r="C284" t="s">
        <v>439</v>
      </c>
    </row>
    <row r="285" spans="1:3" ht="15" customHeight="1" x14ac:dyDescent="0.25">
      <c r="A285" t="s">
        <v>713</v>
      </c>
      <c r="B285" t="s">
        <v>123</v>
      </c>
      <c r="C285" t="s">
        <v>431</v>
      </c>
    </row>
    <row r="286" spans="1:3" ht="15" customHeight="1" x14ac:dyDescent="0.25">
      <c r="A286" t="s">
        <v>714</v>
      </c>
      <c r="B286" t="s">
        <v>123</v>
      </c>
      <c r="C286" t="s">
        <v>10</v>
      </c>
    </row>
    <row r="287" spans="1:3" ht="15" customHeight="1" x14ac:dyDescent="0.25">
      <c r="A287" t="s">
        <v>715</v>
      </c>
      <c r="B287" t="s">
        <v>123</v>
      </c>
      <c r="C287" t="s">
        <v>10</v>
      </c>
    </row>
    <row r="288" spans="1:3" ht="15" customHeight="1" x14ac:dyDescent="0.25">
      <c r="A288" t="s">
        <v>716</v>
      </c>
      <c r="B288" t="s">
        <v>123</v>
      </c>
      <c r="C288" t="s">
        <v>10</v>
      </c>
    </row>
    <row r="289" spans="1:3" ht="15" customHeight="1" x14ac:dyDescent="0.25">
      <c r="A289" t="s">
        <v>717</v>
      </c>
      <c r="B289" t="s">
        <v>123</v>
      </c>
      <c r="C289" t="s">
        <v>431</v>
      </c>
    </row>
    <row r="290" spans="1:3" ht="15" customHeight="1" x14ac:dyDescent="0.25">
      <c r="A290" t="s">
        <v>718</v>
      </c>
      <c r="B290" t="s">
        <v>123</v>
      </c>
      <c r="C290" t="s">
        <v>10</v>
      </c>
    </row>
    <row r="291" spans="1:3" ht="15" customHeight="1" x14ac:dyDescent="0.25">
      <c r="A291" t="s">
        <v>719</v>
      </c>
      <c r="B291" t="s">
        <v>123</v>
      </c>
      <c r="C291" t="s">
        <v>431</v>
      </c>
    </row>
    <row r="292" spans="1:3" ht="15" customHeight="1" x14ac:dyDescent="0.25">
      <c r="A292" t="s">
        <v>720</v>
      </c>
      <c r="B292" t="s">
        <v>123</v>
      </c>
      <c r="C292" t="s">
        <v>439</v>
      </c>
    </row>
    <row r="293" spans="1:3" ht="15" customHeight="1" x14ac:dyDescent="0.25">
      <c r="A293" t="s">
        <v>721</v>
      </c>
      <c r="B293" t="s">
        <v>123</v>
      </c>
      <c r="C293" t="s">
        <v>439</v>
      </c>
    </row>
    <row r="294" spans="1:3" ht="15" customHeight="1" x14ac:dyDescent="0.25">
      <c r="A294" t="s">
        <v>722</v>
      </c>
      <c r="B294" t="s">
        <v>123</v>
      </c>
      <c r="C294" t="s">
        <v>10</v>
      </c>
    </row>
    <row r="295" spans="1:3" ht="15" customHeight="1" x14ac:dyDescent="0.25">
      <c r="A295" t="s">
        <v>723</v>
      </c>
      <c r="B295" t="s">
        <v>131</v>
      </c>
      <c r="C295" t="s">
        <v>10</v>
      </c>
    </row>
    <row r="296" spans="1:3" ht="15" customHeight="1" x14ac:dyDescent="0.25">
      <c r="A296" t="s">
        <v>724</v>
      </c>
      <c r="B296" t="s">
        <v>131</v>
      </c>
      <c r="C296" t="s">
        <v>10</v>
      </c>
    </row>
    <row r="297" spans="1:3" ht="15" customHeight="1" x14ac:dyDescent="0.25">
      <c r="A297" t="s">
        <v>725</v>
      </c>
      <c r="B297" t="s">
        <v>131</v>
      </c>
      <c r="C297" t="s">
        <v>439</v>
      </c>
    </row>
    <row r="298" spans="1:3" ht="15" customHeight="1" x14ac:dyDescent="0.25">
      <c r="A298" t="s">
        <v>726</v>
      </c>
      <c r="B298" t="s">
        <v>131</v>
      </c>
      <c r="C298" t="s">
        <v>439</v>
      </c>
    </row>
    <row r="299" spans="1:3" ht="15" customHeight="1" x14ac:dyDescent="0.25">
      <c r="A299" t="s">
        <v>727</v>
      </c>
      <c r="B299" t="s">
        <v>131</v>
      </c>
      <c r="C299" t="s">
        <v>10</v>
      </c>
    </row>
    <row r="300" spans="1:3" ht="15" customHeight="1" x14ac:dyDescent="0.25">
      <c r="A300" t="s">
        <v>728</v>
      </c>
      <c r="B300" t="s">
        <v>131</v>
      </c>
      <c r="C300" t="s">
        <v>431</v>
      </c>
    </row>
    <row r="301" spans="1:3" ht="15" customHeight="1" x14ac:dyDescent="0.25">
      <c r="A301" t="s">
        <v>729</v>
      </c>
      <c r="B301" t="s">
        <v>131</v>
      </c>
      <c r="C301" t="s">
        <v>10</v>
      </c>
    </row>
    <row r="302" spans="1:3" ht="15" customHeight="1" x14ac:dyDescent="0.25">
      <c r="A302" t="s">
        <v>730</v>
      </c>
      <c r="B302" t="s">
        <v>131</v>
      </c>
      <c r="C302" t="s">
        <v>10</v>
      </c>
    </row>
    <row r="303" spans="1:3" ht="15" customHeight="1" x14ac:dyDescent="0.25">
      <c r="A303" t="s">
        <v>731</v>
      </c>
      <c r="B303" t="s">
        <v>131</v>
      </c>
      <c r="C303" t="s">
        <v>431</v>
      </c>
    </row>
    <row r="304" spans="1:3" ht="15" customHeight="1" x14ac:dyDescent="0.25">
      <c r="A304" t="s">
        <v>732</v>
      </c>
      <c r="B304" t="s">
        <v>131</v>
      </c>
      <c r="C304" t="s">
        <v>10</v>
      </c>
    </row>
    <row r="305" spans="1:3" ht="15" customHeight="1" x14ac:dyDescent="0.25">
      <c r="A305" t="s">
        <v>733</v>
      </c>
      <c r="B305" t="s">
        <v>131</v>
      </c>
      <c r="C305" t="s">
        <v>439</v>
      </c>
    </row>
    <row r="306" spans="1:3" ht="15" customHeight="1" x14ac:dyDescent="0.25">
      <c r="A306" t="s">
        <v>734</v>
      </c>
      <c r="B306" t="s">
        <v>131</v>
      </c>
      <c r="C306" t="s">
        <v>10</v>
      </c>
    </row>
    <row r="307" spans="1:3" ht="15" customHeight="1" x14ac:dyDescent="0.25">
      <c r="A307" t="s">
        <v>735</v>
      </c>
      <c r="B307" t="s">
        <v>131</v>
      </c>
      <c r="C307" t="s">
        <v>10</v>
      </c>
    </row>
    <row r="308" spans="1:3" ht="15" customHeight="1" x14ac:dyDescent="0.25">
      <c r="A308" t="s">
        <v>736</v>
      </c>
      <c r="B308" t="s">
        <v>131</v>
      </c>
      <c r="C308" t="s">
        <v>439</v>
      </c>
    </row>
    <row r="309" spans="1:3" ht="15" customHeight="1" x14ac:dyDescent="0.25">
      <c r="A309" t="s">
        <v>737</v>
      </c>
      <c r="B309" t="s">
        <v>131</v>
      </c>
      <c r="C309" t="s">
        <v>431</v>
      </c>
    </row>
    <row r="310" spans="1:3" ht="15" customHeight="1" x14ac:dyDescent="0.25">
      <c r="A310" t="s">
        <v>738</v>
      </c>
      <c r="B310" t="s">
        <v>131</v>
      </c>
      <c r="C310" t="s">
        <v>431</v>
      </c>
    </row>
    <row r="311" spans="1:3" ht="15" customHeight="1" x14ac:dyDescent="0.25">
      <c r="A311" t="s">
        <v>739</v>
      </c>
      <c r="B311" t="s">
        <v>131</v>
      </c>
      <c r="C311" t="s">
        <v>431</v>
      </c>
    </row>
    <row r="312" spans="1:3" ht="15" customHeight="1" x14ac:dyDescent="0.25">
      <c r="A312" t="s">
        <v>740</v>
      </c>
      <c r="B312" t="s">
        <v>131</v>
      </c>
      <c r="C312" t="s">
        <v>439</v>
      </c>
    </row>
    <row r="313" spans="1:3" ht="15" customHeight="1" x14ac:dyDescent="0.25">
      <c r="A313" t="s">
        <v>741</v>
      </c>
      <c r="B313" t="s">
        <v>92</v>
      </c>
      <c r="C313" t="s">
        <v>10</v>
      </c>
    </row>
    <row r="314" spans="1:3" ht="15" customHeight="1" x14ac:dyDescent="0.25">
      <c r="A314" t="s">
        <v>742</v>
      </c>
      <c r="B314" t="s">
        <v>92</v>
      </c>
      <c r="C314" t="s">
        <v>439</v>
      </c>
    </row>
    <row r="315" spans="1:3" ht="15" customHeight="1" x14ac:dyDescent="0.25">
      <c r="A315" t="s">
        <v>743</v>
      </c>
      <c r="B315" t="s">
        <v>92</v>
      </c>
      <c r="C315" t="s">
        <v>431</v>
      </c>
    </row>
    <row r="316" spans="1:3" ht="15" customHeight="1" x14ac:dyDescent="0.25">
      <c r="A316" t="s">
        <v>744</v>
      </c>
      <c r="B316" t="s">
        <v>92</v>
      </c>
      <c r="C316" t="s">
        <v>10</v>
      </c>
    </row>
    <row r="317" spans="1:3" ht="15" customHeight="1" x14ac:dyDescent="0.25">
      <c r="A317" t="s">
        <v>745</v>
      </c>
      <c r="B317" t="s">
        <v>92</v>
      </c>
      <c r="C317" t="s">
        <v>439</v>
      </c>
    </row>
    <row r="318" spans="1:3" ht="15" customHeight="1" x14ac:dyDescent="0.25">
      <c r="A318" t="s">
        <v>746</v>
      </c>
      <c r="B318" t="s">
        <v>92</v>
      </c>
      <c r="C318" t="s">
        <v>439</v>
      </c>
    </row>
    <row r="319" spans="1:3" ht="15" customHeight="1" x14ac:dyDescent="0.25">
      <c r="A319" t="s">
        <v>747</v>
      </c>
      <c r="B319" t="s">
        <v>92</v>
      </c>
      <c r="C319" t="s">
        <v>431</v>
      </c>
    </row>
    <row r="320" spans="1:3" ht="15" customHeight="1" x14ac:dyDescent="0.25">
      <c r="A320" t="s">
        <v>748</v>
      </c>
      <c r="B320" t="s">
        <v>92</v>
      </c>
      <c r="C320" t="s">
        <v>10</v>
      </c>
    </row>
    <row r="321" spans="1:3" ht="15" customHeight="1" x14ac:dyDescent="0.25">
      <c r="A321" t="s">
        <v>749</v>
      </c>
      <c r="B321" t="s">
        <v>92</v>
      </c>
      <c r="C321" t="s">
        <v>10</v>
      </c>
    </row>
    <row r="322" spans="1:3" ht="15" customHeight="1" x14ac:dyDescent="0.25">
      <c r="A322" t="s">
        <v>750</v>
      </c>
      <c r="B322" t="s">
        <v>92</v>
      </c>
      <c r="C322" t="s">
        <v>439</v>
      </c>
    </row>
    <row r="323" spans="1:3" ht="15" customHeight="1" x14ac:dyDescent="0.25">
      <c r="A323" t="s">
        <v>751</v>
      </c>
      <c r="B323" t="s">
        <v>92</v>
      </c>
      <c r="C323" t="s">
        <v>10</v>
      </c>
    </row>
    <row r="324" spans="1:3" ht="15" customHeight="1" x14ac:dyDescent="0.25">
      <c r="A324" t="s">
        <v>752</v>
      </c>
      <c r="B324" t="s">
        <v>92</v>
      </c>
      <c r="C324" t="s">
        <v>439</v>
      </c>
    </row>
    <row r="325" spans="1:3" ht="15" customHeight="1" x14ac:dyDescent="0.25">
      <c r="A325" t="s">
        <v>753</v>
      </c>
      <c r="B325" t="s">
        <v>92</v>
      </c>
      <c r="C325" t="s">
        <v>431</v>
      </c>
    </row>
    <row r="326" spans="1:3" ht="15" customHeight="1" x14ac:dyDescent="0.25">
      <c r="A326" t="s">
        <v>754</v>
      </c>
      <c r="B326" t="s">
        <v>92</v>
      </c>
      <c r="C326" t="s">
        <v>10</v>
      </c>
    </row>
    <row r="327" spans="1:3" ht="15" customHeight="1" x14ac:dyDescent="0.25">
      <c r="A327" t="s">
        <v>755</v>
      </c>
      <c r="B327" t="s">
        <v>92</v>
      </c>
      <c r="C327" t="s">
        <v>10</v>
      </c>
    </row>
    <row r="328" spans="1:3" ht="15" customHeight="1" x14ac:dyDescent="0.25">
      <c r="A328" t="s">
        <v>756</v>
      </c>
      <c r="B328" t="s">
        <v>92</v>
      </c>
      <c r="C328" t="s">
        <v>431</v>
      </c>
    </row>
    <row r="329" spans="1:3" ht="15" customHeight="1" x14ac:dyDescent="0.25">
      <c r="A329" t="s">
        <v>757</v>
      </c>
      <c r="B329" t="s">
        <v>92</v>
      </c>
      <c r="C329" t="s">
        <v>10</v>
      </c>
    </row>
    <row r="330" spans="1:3" ht="15" customHeight="1" x14ac:dyDescent="0.25">
      <c r="A330" t="s">
        <v>758</v>
      </c>
      <c r="B330" t="s">
        <v>92</v>
      </c>
      <c r="C330" t="s">
        <v>431</v>
      </c>
    </row>
    <row r="331" spans="1:3" ht="15" customHeight="1" x14ac:dyDescent="0.25">
      <c r="A331" t="s">
        <v>759</v>
      </c>
      <c r="B331" t="s">
        <v>92</v>
      </c>
      <c r="C331" t="s">
        <v>10</v>
      </c>
    </row>
    <row r="332" spans="1:3" ht="15" customHeight="1" x14ac:dyDescent="0.25">
      <c r="A332" t="s">
        <v>760</v>
      </c>
      <c r="B332" t="s">
        <v>89</v>
      </c>
      <c r="C332" t="s">
        <v>10</v>
      </c>
    </row>
    <row r="333" spans="1:3" ht="15" customHeight="1" x14ac:dyDescent="0.25">
      <c r="A333" t="s">
        <v>761</v>
      </c>
      <c r="B333" t="s">
        <v>89</v>
      </c>
      <c r="C333" t="s">
        <v>439</v>
      </c>
    </row>
    <row r="334" spans="1:3" ht="15" customHeight="1" x14ac:dyDescent="0.25">
      <c r="A334" t="s">
        <v>762</v>
      </c>
      <c r="B334" t="s">
        <v>89</v>
      </c>
      <c r="C334" t="s">
        <v>431</v>
      </c>
    </row>
    <row r="335" spans="1:3" ht="15" customHeight="1" x14ac:dyDescent="0.25">
      <c r="A335" t="s">
        <v>763</v>
      </c>
      <c r="B335" t="s">
        <v>89</v>
      </c>
      <c r="C335" t="s">
        <v>10</v>
      </c>
    </row>
    <row r="336" spans="1:3" ht="15" customHeight="1" x14ac:dyDescent="0.25">
      <c r="A336" t="s">
        <v>764</v>
      </c>
      <c r="B336" t="s">
        <v>89</v>
      </c>
      <c r="C336" t="s">
        <v>439</v>
      </c>
    </row>
    <row r="337" spans="1:3" ht="15" customHeight="1" x14ac:dyDescent="0.25">
      <c r="A337" t="s">
        <v>765</v>
      </c>
      <c r="B337" t="s">
        <v>89</v>
      </c>
      <c r="C337" t="s">
        <v>10</v>
      </c>
    </row>
    <row r="338" spans="1:3" ht="15" customHeight="1" x14ac:dyDescent="0.25">
      <c r="A338" t="s">
        <v>766</v>
      </c>
      <c r="B338" t="s">
        <v>89</v>
      </c>
      <c r="C338" t="s">
        <v>431</v>
      </c>
    </row>
    <row r="339" spans="1:3" ht="15" customHeight="1" x14ac:dyDescent="0.25">
      <c r="A339" t="s">
        <v>767</v>
      </c>
      <c r="B339" t="s">
        <v>89</v>
      </c>
      <c r="C339" t="s">
        <v>431</v>
      </c>
    </row>
    <row r="340" spans="1:3" ht="15" customHeight="1" x14ac:dyDescent="0.25">
      <c r="A340" t="s">
        <v>768</v>
      </c>
      <c r="B340" t="s">
        <v>89</v>
      </c>
      <c r="C340" t="s">
        <v>439</v>
      </c>
    </row>
    <row r="341" spans="1:3" ht="15" customHeight="1" x14ac:dyDescent="0.25">
      <c r="A341" t="s">
        <v>769</v>
      </c>
      <c r="B341" t="s">
        <v>89</v>
      </c>
      <c r="C341" t="s">
        <v>10</v>
      </c>
    </row>
    <row r="342" spans="1:3" ht="15" customHeight="1" x14ac:dyDescent="0.25">
      <c r="A342" t="s">
        <v>770</v>
      </c>
      <c r="B342" t="s">
        <v>89</v>
      </c>
      <c r="C342" t="s">
        <v>439</v>
      </c>
    </row>
    <row r="343" spans="1:3" ht="15" customHeight="1" x14ac:dyDescent="0.25">
      <c r="A343" t="s">
        <v>771</v>
      </c>
      <c r="B343" t="s">
        <v>89</v>
      </c>
      <c r="C343" t="s">
        <v>10</v>
      </c>
    </row>
    <row r="344" spans="1:3" ht="15" customHeight="1" x14ac:dyDescent="0.25">
      <c r="A344" t="s">
        <v>772</v>
      </c>
      <c r="B344" t="s">
        <v>89</v>
      </c>
      <c r="C344" t="s">
        <v>439</v>
      </c>
    </row>
    <row r="345" spans="1:3" ht="15" customHeight="1" x14ac:dyDescent="0.25">
      <c r="A345" t="s">
        <v>773</v>
      </c>
      <c r="B345" t="s">
        <v>89</v>
      </c>
      <c r="C345" t="s">
        <v>10</v>
      </c>
    </row>
    <row r="346" spans="1:3" ht="15" customHeight="1" x14ac:dyDescent="0.25">
      <c r="A346" t="s">
        <v>774</v>
      </c>
      <c r="B346" t="s">
        <v>89</v>
      </c>
      <c r="C346" t="s">
        <v>10</v>
      </c>
    </row>
    <row r="347" spans="1:3" ht="15" customHeight="1" x14ac:dyDescent="0.25">
      <c r="A347" t="s">
        <v>775</v>
      </c>
      <c r="B347" t="s">
        <v>89</v>
      </c>
      <c r="C347" t="s">
        <v>10</v>
      </c>
    </row>
    <row r="348" spans="1:3" ht="15" customHeight="1" x14ac:dyDescent="0.25">
      <c r="A348" t="s">
        <v>776</v>
      </c>
      <c r="B348" t="s">
        <v>89</v>
      </c>
      <c r="C348" t="s">
        <v>10</v>
      </c>
    </row>
    <row r="349" spans="1:3" ht="15" customHeight="1" x14ac:dyDescent="0.25">
      <c r="A349" t="s">
        <v>777</v>
      </c>
      <c r="B349" t="s">
        <v>133</v>
      </c>
      <c r="C349" t="s">
        <v>431</v>
      </c>
    </row>
    <row r="350" spans="1:3" ht="15" customHeight="1" x14ac:dyDescent="0.25">
      <c r="A350" t="s">
        <v>778</v>
      </c>
      <c r="B350" t="s">
        <v>133</v>
      </c>
      <c r="C350" t="s">
        <v>10</v>
      </c>
    </row>
    <row r="351" spans="1:3" ht="15" customHeight="1" x14ac:dyDescent="0.25">
      <c r="A351" t="s">
        <v>779</v>
      </c>
      <c r="B351" t="s">
        <v>133</v>
      </c>
      <c r="C351" t="s">
        <v>439</v>
      </c>
    </row>
    <row r="352" spans="1:3" ht="15" customHeight="1" x14ac:dyDescent="0.25">
      <c r="A352" t="s">
        <v>780</v>
      </c>
      <c r="B352" t="s">
        <v>133</v>
      </c>
      <c r="C352" t="s">
        <v>439</v>
      </c>
    </row>
    <row r="353" spans="1:3" ht="15" customHeight="1" x14ac:dyDescent="0.25">
      <c r="A353" t="s">
        <v>781</v>
      </c>
      <c r="B353" t="s">
        <v>133</v>
      </c>
      <c r="C353" t="s">
        <v>431</v>
      </c>
    </row>
    <row r="354" spans="1:3" ht="15" customHeight="1" x14ac:dyDescent="0.25">
      <c r="A354" t="s">
        <v>782</v>
      </c>
      <c r="B354" t="s">
        <v>133</v>
      </c>
      <c r="C354" t="s">
        <v>10</v>
      </c>
    </row>
    <row r="355" spans="1:3" ht="15" customHeight="1" x14ac:dyDescent="0.25">
      <c r="A355" t="s">
        <v>783</v>
      </c>
      <c r="B355" t="s">
        <v>133</v>
      </c>
      <c r="C355" t="s">
        <v>431</v>
      </c>
    </row>
    <row r="356" spans="1:3" ht="15" customHeight="1" x14ac:dyDescent="0.25">
      <c r="A356" t="s">
        <v>784</v>
      </c>
      <c r="B356" t="s">
        <v>133</v>
      </c>
      <c r="C356" t="s">
        <v>10</v>
      </c>
    </row>
    <row r="357" spans="1:3" ht="15" customHeight="1" x14ac:dyDescent="0.25">
      <c r="A357" t="s">
        <v>785</v>
      </c>
      <c r="B357" t="s">
        <v>133</v>
      </c>
      <c r="C357" t="s">
        <v>439</v>
      </c>
    </row>
    <row r="358" spans="1:3" ht="15" customHeight="1" x14ac:dyDescent="0.25">
      <c r="A358" t="s">
        <v>786</v>
      </c>
      <c r="B358" t="s">
        <v>133</v>
      </c>
      <c r="C358" t="s">
        <v>10</v>
      </c>
    </row>
    <row r="359" spans="1:3" ht="15" customHeight="1" x14ac:dyDescent="0.25">
      <c r="A359" t="s">
        <v>787</v>
      </c>
      <c r="B359" t="s">
        <v>133</v>
      </c>
      <c r="C359" t="s">
        <v>431</v>
      </c>
    </row>
    <row r="360" spans="1:3" ht="15" customHeight="1" x14ac:dyDescent="0.25">
      <c r="A360" t="s">
        <v>788</v>
      </c>
      <c r="B360" t="s">
        <v>133</v>
      </c>
      <c r="C360" t="s">
        <v>439</v>
      </c>
    </row>
    <row r="361" spans="1:3" ht="15" customHeight="1" x14ac:dyDescent="0.25">
      <c r="A361" t="s">
        <v>789</v>
      </c>
      <c r="B361" t="s">
        <v>133</v>
      </c>
      <c r="C361" t="s">
        <v>10</v>
      </c>
    </row>
    <row r="362" spans="1:3" ht="15" customHeight="1" x14ac:dyDescent="0.25">
      <c r="A362" t="s">
        <v>790</v>
      </c>
      <c r="B362" t="s">
        <v>133</v>
      </c>
      <c r="C362" t="s">
        <v>439</v>
      </c>
    </row>
    <row r="363" spans="1:3" ht="15" customHeight="1" x14ac:dyDescent="0.25">
      <c r="A363" t="s">
        <v>791</v>
      </c>
      <c r="B363" t="s">
        <v>133</v>
      </c>
      <c r="C363" t="s">
        <v>439</v>
      </c>
    </row>
    <row r="364" spans="1:3" ht="15" customHeight="1" x14ac:dyDescent="0.25">
      <c r="A364" t="s">
        <v>792</v>
      </c>
      <c r="B364" t="s">
        <v>133</v>
      </c>
      <c r="C364" t="s">
        <v>10</v>
      </c>
    </row>
    <row r="365" spans="1:3" ht="15" customHeight="1" x14ac:dyDescent="0.25">
      <c r="A365" t="s">
        <v>793</v>
      </c>
      <c r="B365" t="s">
        <v>133</v>
      </c>
      <c r="C365" t="s">
        <v>10</v>
      </c>
    </row>
    <row r="366" spans="1:3" ht="15" customHeight="1" x14ac:dyDescent="0.25">
      <c r="A366" t="s">
        <v>794</v>
      </c>
      <c r="B366" t="s">
        <v>133</v>
      </c>
      <c r="C366" t="s">
        <v>10</v>
      </c>
    </row>
    <row r="367" spans="1:3" ht="15" customHeight="1" x14ac:dyDescent="0.25">
      <c r="A367" t="s">
        <v>795</v>
      </c>
      <c r="B367" t="s">
        <v>133</v>
      </c>
      <c r="C367" t="s">
        <v>10</v>
      </c>
    </row>
    <row r="368" spans="1:3" ht="15" customHeight="1" x14ac:dyDescent="0.25">
      <c r="A368" t="s">
        <v>796</v>
      </c>
      <c r="B368" t="s">
        <v>133</v>
      </c>
      <c r="C368" t="s">
        <v>431</v>
      </c>
    </row>
    <row r="369" spans="1:3" ht="15" customHeight="1" x14ac:dyDescent="0.25">
      <c r="A369" t="s">
        <v>797</v>
      </c>
      <c r="B369" t="s">
        <v>137</v>
      </c>
      <c r="C369" t="s">
        <v>10</v>
      </c>
    </row>
    <row r="370" spans="1:3" ht="15" customHeight="1" x14ac:dyDescent="0.25">
      <c r="A370" t="s">
        <v>798</v>
      </c>
      <c r="B370" t="s">
        <v>137</v>
      </c>
      <c r="C370" t="s">
        <v>439</v>
      </c>
    </row>
    <row r="371" spans="1:3" ht="15" customHeight="1" x14ac:dyDescent="0.25">
      <c r="A371" t="s">
        <v>799</v>
      </c>
      <c r="B371" t="s">
        <v>137</v>
      </c>
      <c r="C371" t="s">
        <v>10</v>
      </c>
    </row>
    <row r="372" spans="1:3" ht="15" customHeight="1" x14ac:dyDescent="0.25">
      <c r="A372" t="s">
        <v>800</v>
      </c>
      <c r="B372" t="s">
        <v>137</v>
      </c>
      <c r="C372" t="s">
        <v>10</v>
      </c>
    </row>
    <row r="373" spans="1:3" ht="15" customHeight="1" x14ac:dyDescent="0.25">
      <c r="A373" t="s">
        <v>801</v>
      </c>
      <c r="B373" t="s">
        <v>137</v>
      </c>
      <c r="C373" t="s">
        <v>10</v>
      </c>
    </row>
    <row r="374" spans="1:3" ht="15" customHeight="1" x14ac:dyDescent="0.25">
      <c r="A374" t="s">
        <v>802</v>
      </c>
      <c r="B374" t="s">
        <v>137</v>
      </c>
      <c r="C374" t="s">
        <v>439</v>
      </c>
    </row>
    <row r="375" spans="1:3" ht="15" customHeight="1" x14ac:dyDescent="0.25">
      <c r="A375" t="s">
        <v>803</v>
      </c>
      <c r="B375" t="s">
        <v>137</v>
      </c>
      <c r="C375" t="s">
        <v>10</v>
      </c>
    </row>
    <row r="376" spans="1:3" ht="15" customHeight="1" x14ac:dyDescent="0.25">
      <c r="A376" t="s">
        <v>804</v>
      </c>
      <c r="B376" t="s">
        <v>137</v>
      </c>
      <c r="C376" t="s">
        <v>10</v>
      </c>
    </row>
    <row r="377" spans="1:3" ht="15" customHeight="1" x14ac:dyDescent="0.25">
      <c r="A377" t="s">
        <v>805</v>
      </c>
      <c r="B377" t="s">
        <v>137</v>
      </c>
      <c r="C377" t="s">
        <v>431</v>
      </c>
    </row>
    <row r="378" spans="1:3" ht="15" customHeight="1" x14ac:dyDescent="0.25">
      <c r="A378" t="s">
        <v>806</v>
      </c>
      <c r="B378" t="s">
        <v>137</v>
      </c>
      <c r="C378" t="s">
        <v>431</v>
      </c>
    </row>
    <row r="379" spans="1:3" ht="15" customHeight="1" x14ac:dyDescent="0.25">
      <c r="A379" t="s">
        <v>807</v>
      </c>
      <c r="B379" t="s">
        <v>137</v>
      </c>
      <c r="C379" t="s">
        <v>439</v>
      </c>
    </row>
    <row r="380" spans="1:3" ht="15" customHeight="1" x14ac:dyDescent="0.25">
      <c r="A380" t="s">
        <v>808</v>
      </c>
      <c r="B380" t="s">
        <v>137</v>
      </c>
      <c r="C380" t="s">
        <v>439</v>
      </c>
    </row>
    <row r="381" spans="1:3" ht="15" customHeight="1" x14ac:dyDescent="0.25">
      <c r="A381" t="s">
        <v>809</v>
      </c>
      <c r="B381" t="s">
        <v>137</v>
      </c>
      <c r="C381" t="s">
        <v>10</v>
      </c>
    </row>
    <row r="382" spans="1:3" ht="15" customHeight="1" x14ac:dyDescent="0.25">
      <c r="A382" t="s">
        <v>810</v>
      </c>
      <c r="B382" t="s">
        <v>137</v>
      </c>
      <c r="C382" t="s">
        <v>431</v>
      </c>
    </row>
    <row r="383" spans="1:3" ht="15" customHeight="1" x14ac:dyDescent="0.25">
      <c r="A383" t="s">
        <v>811</v>
      </c>
      <c r="B383" t="s">
        <v>137</v>
      </c>
      <c r="C383" t="s">
        <v>439</v>
      </c>
    </row>
    <row r="384" spans="1:3" ht="15" customHeight="1" x14ac:dyDescent="0.25">
      <c r="A384" t="s">
        <v>812</v>
      </c>
      <c r="B384" t="s">
        <v>114</v>
      </c>
      <c r="C384" t="s">
        <v>10</v>
      </c>
    </row>
    <row r="385" spans="1:3" ht="15" customHeight="1" x14ac:dyDescent="0.25">
      <c r="A385" t="s">
        <v>813</v>
      </c>
      <c r="B385" t="s">
        <v>114</v>
      </c>
      <c r="C385" t="s">
        <v>10</v>
      </c>
    </row>
    <row r="386" spans="1:3" ht="15" customHeight="1" x14ac:dyDescent="0.25">
      <c r="A386" t="s">
        <v>814</v>
      </c>
      <c r="B386" t="s">
        <v>114</v>
      </c>
      <c r="C386" t="s">
        <v>439</v>
      </c>
    </row>
    <row r="387" spans="1:3" ht="15" customHeight="1" x14ac:dyDescent="0.25">
      <c r="A387" t="s">
        <v>815</v>
      </c>
      <c r="B387" t="s">
        <v>114</v>
      </c>
      <c r="C387" t="s">
        <v>10</v>
      </c>
    </row>
    <row r="388" spans="1:3" ht="15" customHeight="1" x14ac:dyDescent="0.25">
      <c r="A388" t="s">
        <v>816</v>
      </c>
      <c r="B388" t="s">
        <v>114</v>
      </c>
      <c r="C388" t="s">
        <v>10</v>
      </c>
    </row>
    <row r="389" spans="1:3" ht="15" customHeight="1" x14ac:dyDescent="0.25">
      <c r="A389" t="s">
        <v>817</v>
      </c>
      <c r="B389" t="s">
        <v>114</v>
      </c>
      <c r="C389" t="s">
        <v>431</v>
      </c>
    </row>
    <row r="390" spans="1:3" ht="15" customHeight="1" x14ac:dyDescent="0.25">
      <c r="A390" t="s">
        <v>818</v>
      </c>
      <c r="B390" t="s">
        <v>114</v>
      </c>
      <c r="C390" t="s">
        <v>439</v>
      </c>
    </row>
    <row r="391" spans="1:3" ht="15" customHeight="1" x14ac:dyDescent="0.25">
      <c r="A391" t="s">
        <v>819</v>
      </c>
      <c r="B391" t="s">
        <v>114</v>
      </c>
      <c r="C391" t="s">
        <v>439</v>
      </c>
    </row>
    <row r="392" spans="1:3" ht="15" customHeight="1" x14ac:dyDescent="0.25">
      <c r="A392" t="s">
        <v>820</v>
      </c>
      <c r="B392" t="s">
        <v>114</v>
      </c>
      <c r="C392" t="s">
        <v>10</v>
      </c>
    </row>
    <row r="393" spans="1:3" ht="15" customHeight="1" x14ac:dyDescent="0.25">
      <c r="A393" t="s">
        <v>821</v>
      </c>
      <c r="B393" t="s">
        <v>114</v>
      </c>
      <c r="C393" t="s">
        <v>10</v>
      </c>
    </row>
    <row r="394" spans="1:3" ht="15" customHeight="1" x14ac:dyDescent="0.25">
      <c r="A394" t="s">
        <v>822</v>
      </c>
      <c r="B394" t="s">
        <v>114</v>
      </c>
      <c r="C394" t="s">
        <v>431</v>
      </c>
    </row>
    <row r="395" spans="1:3" ht="15" customHeight="1" x14ac:dyDescent="0.25">
      <c r="A395" t="s">
        <v>823</v>
      </c>
      <c r="B395" t="s">
        <v>114</v>
      </c>
      <c r="C395" t="s">
        <v>10</v>
      </c>
    </row>
    <row r="396" spans="1:3" ht="15" customHeight="1" x14ac:dyDescent="0.25">
      <c r="A396" t="s">
        <v>824</v>
      </c>
      <c r="B396" t="s">
        <v>114</v>
      </c>
      <c r="C396" t="s">
        <v>439</v>
      </c>
    </row>
    <row r="397" spans="1:3" ht="15" customHeight="1" x14ac:dyDescent="0.25">
      <c r="A397" t="s">
        <v>825</v>
      </c>
      <c r="B397" t="s">
        <v>114</v>
      </c>
      <c r="C397" t="s">
        <v>431</v>
      </c>
    </row>
    <row r="398" spans="1:3" ht="15" customHeight="1" x14ac:dyDescent="0.25">
      <c r="A398" t="s">
        <v>826</v>
      </c>
      <c r="B398" t="s">
        <v>114</v>
      </c>
      <c r="C398" t="s">
        <v>431</v>
      </c>
    </row>
    <row r="399" spans="1:3" ht="15" customHeight="1" x14ac:dyDescent="0.25">
      <c r="A399" t="s">
        <v>827</v>
      </c>
      <c r="B399" t="s">
        <v>114</v>
      </c>
      <c r="C399" t="s">
        <v>431</v>
      </c>
    </row>
    <row r="400" spans="1:3" ht="15" customHeight="1" x14ac:dyDescent="0.25">
      <c r="A400" t="s">
        <v>828</v>
      </c>
      <c r="B400" t="s">
        <v>114</v>
      </c>
      <c r="C400" t="s">
        <v>431</v>
      </c>
    </row>
    <row r="401" spans="1:3" ht="15" customHeight="1" x14ac:dyDescent="0.25">
      <c r="A401" t="s">
        <v>829</v>
      </c>
      <c r="B401" t="s">
        <v>114</v>
      </c>
      <c r="C401" t="s">
        <v>10</v>
      </c>
    </row>
    <row r="402" spans="1:3" ht="15" customHeight="1" x14ac:dyDescent="0.25">
      <c r="A402" t="s">
        <v>830</v>
      </c>
      <c r="B402" t="s">
        <v>114</v>
      </c>
      <c r="C402" t="s">
        <v>439</v>
      </c>
    </row>
    <row r="403" spans="1:3" ht="15" customHeight="1" x14ac:dyDescent="0.25">
      <c r="A403" t="s">
        <v>831</v>
      </c>
      <c r="B403" t="s">
        <v>114</v>
      </c>
      <c r="C403" t="s">
        <v>10</v>
      </c>
    </row>
    <row r="404" spans="1:3" ht="15" customHeight="1" x14ac:dyDescent="0.25">
      <c r="A404" t="s">
        <v>832</v>
      </c>
      <c r="B404" t="s">
        <v>138</v>
      </c>
      <c r="C404" t="s">
        <v>10</v>
      </c>
    </row>
    <row r="405" spans="1:3" ht="15" customHeight="1" x14ac:dyDescent="0.25">
      <c r="A405" t="s">
        <v>833</v>
      </c>
      <c r="B405" t="s">
        <v>138</v>
      </c>
      <c r="C405" t="s">
        <v>10</v>
      </c>
    </row>
    <row r="406" spans="1:3" ht="15" customHeight="1" x14ac:dyDescent="0.25">
      <c r="A406" t="s">
        <v>834</v>
      </c>
      <c r="B406" t="s">
        <v>138</v>
      </c>
      <c r="C406" t="s">
        <v>10</v>
      </c>
    </row>
    <row r="407" spans="1:3" ht="15" customHeight="1" x14ac:dyDescent="0.25">
      <c r="A407" t="s">
        <v>835</v>
      </c>
      <c r="B407" t="s">
        <v>138</v>
      </c>
      <c r="C407" t="s">
        <v>431</v>
      </c>
    </row>
    <row r="408" spans="1:3" ht="15" customHeight="1" x14ac:dyDescent="0.25">
      <c r="A408" t="s">
        <v>836</v>
      </c>
      <c r="B408" t="s">
        <v>138</v>
      </c>
      <c r="C408" t="s">
        <v>10</v>
      </c>
    </row>
    <row r="409" spans="1:3" ht="15" customHeight="1" x14ac:dyDescent="0.25">
      <c r="A409" t="s">
        <v>837</v>
      </c>
      <c r="B409" t="s">
        <v>138</v>
      </c>
      <c r="C409" t="s">
        <v>431</v>
      </c>
    </row>
    <row r="410" spans="1:3" ht="15" customHeight="1" x14ac:dyDescent="0.25">
      <c r="A410" t="s">
        <v>838</v>
      </c>
      <c r="B410" t="s">
        <v>138</v>
      </c>
      <c r="C410" t="s">
        <v>431</v>
      </c>
    </row>
    <row r="411" spans="1:3" ht="15" customHeight="1" x14ac:dyDescent="0.25">
      <c r="A411" t="s">
        <v>839</v>
      </c>
      <c r="B411" t="s">
        <v>138</v>
      </c>
      <c r="C411" t="s">
        <v>439</v>
      </c>
    </row>
    <row r="412" spans="1:3" ht="15" customHeight="1" x14ac:dyDescent="0.25">
      <c r="A412" t="s">
        <v>840</v>
      </c>
      <c r="B412" t="s">
        <v>138</v>
      </c>
      <c r="C412" t="s">
        <v>431</v>
      </c>
    </row>
    <row r="413" spans="1:3" ht="15" customHeight="1" x14ac:dyDescent="0.25">
      <c r="A413" t="s">
        <v>841</v>
      </c>
      <c r="B413" t="s">
        <v>138</v>
      </c>
      <c r="C413" t="s">
        <v>439</v>
      </c>
    </row>
    <row r="414" spans="1:3" ht="15" customHeight="1" x14ac:dyDescent="0.25">
      <c r="A414" t="s">
        <v>842</v>
      </c>
      <c r="B414" t="s">
        <v>138</v>
      </c>
      <c r="C414" t="s">
        <v>431</v>
      </c>
    </row>
    <row r="415" spans="1:3" ht="15" customHeight="1" x14ac:dyDescent="0.25">
      <c r="A415" t="s">
        <v>843</v>
      </c>
      <c r="B415" t="s">
        <v>138</v>
      </c>
      <c r="C415" t="s">
        <v>439</v>
      </c>
    </row>
    <row r="416" spans="1:3" ht="15" customHeight="1" x14ac:dyDescent="0.25">
      <c r="A416" t="s">
        <v>844</v>
      </c>
      <c r="B416" t="s">
        <v>138</v>
      </c>
      <c r="C416" t="s">
        <v>10</v>
      </c>
    </row>
    <row r="417" spans="1:3" ht="15" customHeight="1" x14ac:dyDescent="0.25">
      <c r="A417" t="s">
        <v>845</v>
      </c>
      <c r="B417" t="s">
        <v>138</v>
      </c>
      <c r="C417" t="s">
        <v>431</v>
      </c>
    </row>
    <row r="418" spans="1:3" ht="15" customHeight="1" x14ac:dyDescent="0.25">
      <c r="A418" t="s">
        <v>846</v>
      </c>
      <c r="B418" t="s">
        <v>138</v>
      </c>
      <c r="C418" t="s">
        <v>439</v>
      </c>
    </row>
    <row r="419" spans="1:3" ht="15" customHeight="1" x14ac:dyDescent="0.25">
      <c r="A419" t="s">
        <v>847</v>
      </c>
      <c r="B419" t="s">
        <v>138</v>
      </c>
      <c r="C419" t="s">
        <v>431</v>
      </c>
    </row>
    <row r="420" spans="1:3" ht="15" customHeight="1" x14ac:dyDescent="0.25">
      <c r="A420" t="s">
        <v>848</v>
      </c>
      <c r="B420" t="s">
        <v>138</v>
      </c>
      <c r="C420" t="s">
        <v>10</v>
      </c>
    </row>
    <row r="421" spans="1:3" ht="15" customHeight="1" x14ac:dyDescent="0.25">
      <c r="A421" t="s">
        <v>849</v>
      </c>
      <c r="B421" t="s">
        <v>138</v>
      </c>
      <c r="C421" t="s">
        <v>10</v>
      </c>
    </row>
    <row r="422" spans="1:3" ht="15" customHeight="1" x14ac:dyDescent="0.25">
      <c r="A422" t="s">
        <v>850</v>
      </c>
      <c r="B422" t="s">
        <v>138</v>
      </c>
      <c r="C422" t="s">
        <v>10</v>
      </c>
    </row>
    <row r="423" spans="1:3" ht="15" customHeight="1" x14ac:dyDescent="0.25">
      <c r="A423" t="s">
        <v>851</v>
      </c>
      <c r="B423" t="s">
        <v>138</v>
      </c>
      <c r="C423" t="s">
        <v>439</v>
      </c>
    </row>
    <row r="424" spans="1:3" ht="15" customHeight="1" x14ac:dyDescent="0.25">
      <c r="A424" t="s">
        <v>852</v>
      </c>
      <c r="B424" t="s">
        <v>138</v>
      </c>
      <c r="C424" t="s">
        <v>10</v>
      </c>
    </row>
    <row r="425" spans="1:3" ht="15" customHeight="1" x14ac:dyDescent="0.25">
      <c r="A425" t="s">
        <v>853</v>
      </c>
      <c r="B425" t="s">
        <v>138</v>
      </c>
      <c r="C425" t="s">
        <v>10</v>
      </c>
    </row>
    <row r="426" spans="1:3" ht="15" customHeight="1" x14ac:dyDescent="0.25">
      <c r="A426" t="s">
        <v>854</v>
      </c>
      <c r="B426" t="s">
        <v>138</v>
      </c>
      <c r="C426" t="s">
        <v>10</v>
      </c>
    </row>
    <row r="427" spans="1:3" ht="15" customHeight="1" x14ac:dyDescent="0.25">
      <c r="A427" t="s">
        <v>855</v>
      </c>
      <c r="B427" t="s">
        <v>138</v>
      </c>
      <c r="C427" t="s">
        <v>10</v>
      </c>
    </row>
    <row r="428" spans="1:3" ht="15" customHeight="1" x14ac:dyDescent="0.25">
      <c r="A428" t="s">
        <v>856</v>
      </c>
      <c r="B428" t="s">
        <v>138</v>
      </c>
      <c r="C428" t="s">
        <v>439</v>
      </c>
    </row>
    <row r="429" spans="1:3" ht="15" customHeight="1" x14ac:dyDescent="0.25">
      <c r="A429" t="s">
        <v>857</v>
      </c>
      <c r="B429" t="s">
        <v>139</v>
      </c>
      <c r="C429" t="s">
        <v>10</v>
      </c>
    </row>
    <row r="430" spans="1:3" ht="15" customHeight="1" x14ac:dyDescent="0.25">
      <c r="A430" t="s">
        <v>858</v>
      </c>
      <c r="B430" t="s">
        <v>139</v>
      </c>
      <c r="C430" t="s">
        <v>10</v>
      </c>
    </row>
    <row r="431" spans="1:3" ht="15" customHeight="1" x14ac:dyDescent="0.25">
      <c r="A431" t="s">
        <v>859</v>
      </c>
      <c r="B431" t="s">
        <v>139</v>
      </c>
      <c r="C431" t="s">
        <v>10</v>
      </c>
    </row>
    <row r="432" spans="1:3" ht="15" customHeight="1" x14ac:dyDescent="0.25">
      <c r="A432" t="s">
        <v>860</v>
      </c>
      <c r="B432" t="s">
        <v>139</v>
      </c>
      <c r="C432" t="s">
        <v>439</v>
      </c>
    </row>
    <row r="433" spans="1:3" ht="15" customHeight="1" x14ac:dyDescent="0.25">
      <c r="A433" t="s">
        <v>861</v>
      </c>
      <c r="B433" t="s">
        <v>139</v>
      </c>
      <c r="C433" t="s">
        <v>10</v>
      </c>
    </row>
    <row r="434" spans="1:3" ht="15" customHeight="1" x14ac:dyDescent="0.25">
      <c r="A434" t="s">
        <v>862</v>
      </c>
      <c r="B434" t="s">
        <v>139</v>
      </c>
      <c r="C434" t="s">
        <v>439</v>
      </c>
    </row>
    <row r="435" spans="1:3" ht="15" customHeight="1" x14ac:dyDescent="0.25">
      <c r="A435" t="s">
        <v>863</v>
      </c>
      <c r="B435" t="s">
        <v>139</v>
      </c>
      <c r="C435" t="s">
        <v>10</v>
      </c>
    </row>
    <row r="436" spans="1:3" ht="15" customHeight="1" x14ac:dyDescent="0.25">
      <c r="A436" t="s">
        <v>864</v>
      </c>
      <c r="B436" t="s">
        <v>139</v>
      </c>
      <c r="C436" t="s">
        <v>10</v>
      </c>
    </row>
    <row r="437" spans="1:3" ht="15" customHeight="1" x14ac:dyDescent="0.25">
      <c r="A437" t="s">
        <v>865</v>
      </c>
      <c r="B437" t="s">
        <v>139</v>
      </c>
      <c r="C437" t="s">
        <v>431</v>
      </c>
    </row>
    <row r="438" spans="1:3" ht="15" customHeight="1" x14ac:dyDescent="0.25">
      <c r="A438" t="s">
        <v>866</v>
      </c>
      <c r="B438" t="s">
        <v>139</v>
      </c>
      <c r="C438" t="s">
        <v>10</v>
      </c>
    </row>
    <row r="439" spans="1:3" ht="15" customHeight="1" x14ac:dyDescent="0.25">
      <c r="A439" t="s">
        <v>867</v>
      </c>
      <c r="B439" t="s">
        <v>139</v>
      </c>
      <c r="C439" t="s">
        <v>10</v>
      </c>
    </row>
    <row r="440" spans="1:3" ht="15" customHeight="1" x14ac:dyDescent="0.25">
      <c r="A440" t="s">
        <v>868</v>
      </c>
      <c r="B440" t="s">
        <v>139</v>
      </c>
      <c r="C440" t="s">
        <v>10</v>
      </c>
    </row>
    <row r="441" spans="1:3" ht="15" customHeight="1" x14ac:dyDescent="0.25">
      <c r="A441" t="s">
        <v>869</v>
      </c>
      <c r="B441" t="s">
        <v>139</v>
      </c>
      <c r="C441" t="s">
        <v>439</v>
      </c>
    </row>
    <row r="442" spans="1:3" ht="15" customHeight="1" x14ac:dyDescent="0.25">
      <c r="A442" t="s">
        <v>870</v>
      </c>
      <c r="B442" t="s">
        <v>139</v>
      </c>
      <c r="C442" t="s">
        <v>439</v>
      </c>
    </row>
    <row r="443" spans="1:3" ht="15" customHeight="1" x14ac:dyDescent="0.25">
      <c r="A443" t="s">
        <v>871</v>
      </c>
      <c r="B443" t="s">
        <v>139</v>
      </c>
      <c r="C443" t="s">
        <v>439</v>
      </c>
    </row>
    <row r="444" spans="1:3" ht="15" customHeight="1" x14ac:dyDescent="0.25">
      <c r="A444" t="s">
        <v>872</v>
      </c>
      <c r="B444" t="s">
        <v>139</v>
      </c>
      <c r="C444" t="s">
        <v>431</v>
      </c>
    </row>
    <row r="445" spans="1:3" ht="15" customHeight="1" x14ac:dyDescent="0.25">
      <c r="A445" t="s">
        <v>873</v>
      </c>
      <c r="B445" t="s">
        <v>139</v>
      </c>
      <c r="C445" t="s">
        <v>10</v>
      </c>
    </row>
    <row r="446" spans="1:3" ht="15" customHeight="1" x14ac:dyDescent="0.25">
      <c r="A446" t="s">
        <v>874</v>
      </c>
      <c r="B446" t="s">
        <v>139</v>
      </c>
      <c r="C446" t="s">
        <v>10</v>
      </c>
    </row>
    <row r="447" spans="1:3" ht="15" customHeight="1" x14ac:dyDescent="0.25">
      <c r="A447" t="s">
        <v>875</v>
      </c>
      <c r="B447" t="s">
        <v>139</v>
      </c>
      <c r="C447" t="s">
        <v>10</v>
      </c>
    </row>
    <row r="448" spans="1:3" ht="15" customHeight="1" x14ac:dyDescent="0.25">
      <c r="A448" t="s">
        <v>876</v>
      </c>
      <c r="B448" t="s">
        <v>139</v>
      </c>
      <c r="C448" t="s">
        <v>10</v>
      </c>
    </row>
    <row r="449" spans="1:3" ht="15" customHeight="1" x14ac:dyDescent="0.25">
      <c r="A449" t="s">
        <v>877</v>
      </c>
      <c r="B449" t="s">
        <v>139</v>
      </c>
      <c r="C449" t="s">
        <v>431</v>
      </c>
    </row>
    <row r="450" spans="1:3" ht="15" customHeight="1" x14ac:dyDescent="0.25">
      <c r="A450" t="s">
        <v>878</v>
      </c>
      <c r="B450" t="s">
        <v>139</v>
      </c>
      <c r="C450" t="s">
        <v>431</v>
      </c>
    </row>
    <row r="451" spans="1:3" ht="15" customHeight="1" x14ac:dyDescent="0.25">
      <c r="A451" t="s">
        <v>879</v>
      </c>
      <c r="B451" t="s">
        <v>139</v>
      </c>
      <c r="C451" t="s">
        <v>10</v>
      </c>
    </row>
    <row r="452" spans="1:3" ht="15" customHeight="1" x14ac:dyDescent="0.25">
      <c r="A452" t="s">
        <v>880</v>
      </c>
      <c r="B452" t="s">
        <v>139</v>
      </c>
      <c r="C452" t="s">
        <v>431</v>
      </c>
    </row>
    <row r="453" spans="1:3" ht="15" customHeight="1" x14ac:dyDescent="0.25">
      <c r="A453" t="s">
        <v>881</v>
      </c>
      <c r="B453" t="s">
        <v>101</v>
      </c>
      <c r="C453" t="s">
        <v>431</v>
      </c>
    </row>
    <row r="454" spans="1:3" ht="15" customHeight="1" x14ac:dyDescent="0.25">
      <c r="A454" t="s">
        <v>882</v>
      </c>
      <c r="B454" t="s">
        <v>101</v>
      </c>
      <c r="C454" t="s">
        <v>10</v>
      </c>
    </row>
    <row r="455" spans="1:3" ht="15" customHeight="1" x14ac:dyDescent="0.25">
      <c r="A455" t="s">
        <v>883</v>
      </c>
      <c r="B455" t="s">
        <v>101</v>
      </c>
      <c r="C455" t="s">
        <v>10</v>
      </c>
    </row>
    <row r="456" spans="1:3" ht="15" customHeight="1" x14ac:dyDescent="0.25">
      <c r="A456" t="s">
        <v>884</v>
      </c>
      <c r="B456" t="s">
        <v>101</v>
      </c>
      <c r="C456" t="s">
        <v>431</v>
      </c>
    </row>
    <row r="457" spans="1:3" ht="15" customHeight="1" x14ac:dyDescent="0.25">
      <c r="A457" t="s">
        <v>885</v>
      </c>
      <c r="B457" t="s">
        <v>101</v>
      </c>
      <c r="C457" t="s">
        <v>431</v>
      </c>
    </row>
    <row r="458" spans="1:3" ht="15" customHeight="1" x14ac:dyDescent="0.25">
      <c r="A458" t="s">
        <v>886</v>
      </c>
      <c r="B458" t="s">
        <v>101</v>
      </c>
      <c r="C458" t="s">
        <v>431</v>
      </c>
    </row>
    <row r="459" spans="1:3" ht="15" customHeight="1" x14ac:dyDescent="0.25">
      <c r="A459" t="s">
        <v>887</v>
      </c>
      <c r="B459" t="s">
        <v>101</v>
      </c>
      <c r="C459" t="s">
        <v>10</v>
      </c>
    </row>
    <row r="460" spans="1:3" ht="15" customHeight="1" x14ac:dyDescent="0.25">
      <c r="A460" t="s">
        <v>888</v>
      </c>
      <c r="B460" t="s">
        <v>101</v>
      </c>
      <c r="C460" t="s">
        <v>10</v>
      </c>
    </row>
    <row r="461" spans="1:3" ht="15" customHeight="1" x14ac:dyDescent="0.25">
      <c r="A461" t="s">
        <v>889</v>
      </c>
      <c r="B461" t="s">
        <v>101</v>
      </c>
      <c r="C461" t="s">
        <v>431</v>
      </c>
    </row>
    <row r="462" spans="1:3" ht="15" customHeight="1" x14ac:dyDescent="0.25">
      <c r="A462" t="s">
        <v>890</v>
      </c>
      <c r="B462" t="s">
        <v>101</v>
      </c>
      <c r="C462" t="s">
        <v>10</v>
      </c>
    </row>
    <row r="463" spans="1:3" ht="15" customHeight="1" x14ac:dyDescent="0.25">
      <c r="A463" t="s">
        <v>891</v>
      </c>
      <c r="B463" t="s">
        <v>101</v>
      </c>
      <c r="C463" t="s">
        <v>10</v>
      </c>
    </row>
    <row r="464" spans="1:3" ht="15" customHeight="1" x14ac:dyDescent="0.25">
      <c r="A464" t="s">
        <v>892</v>
      </c>
      <c r="B464" t="s">
        <v>101</v>
      </c>
      <c r="C464" t="s">
        <v>439</v>
      </c>
    </row>
    <row r="465" spans="1:3" ht="15" customHeight="1" x14ac:dyDescent="0.25">
      <c r="A465" t="s">
        <v>893</v>
      </c>
      <c r="B465" t="s">
        <v>101</v>
      </c>
      <c r="C465" t="s">
        <v>10</v>
      </c>
    </row>
    <row r="466" spans="1:3" ht="15" customHeight="1" x14ac:dyDescent="0.25">
      <c r="A466" t="s">
        <v>894</v>
      </c>
      <c r="B466" t="s">
        <v>101</v>
      </c>
      <c r="C466" t="s">
        <v>10</v>
      </c>
    </row>
    <row r="467" spans="1:3" ht="15" customHeight="1" x14ac:dyDescent="0.25">
      <c r="A467" t="s">
        <v>895</v>
      </c>
      <c r="B467" t="s">
        <v>101</v>
      </c>
      <c r="C467" t="s">
        <v>439</v>
      </c>
    </row>
    <row r="468" spans="1:3" ht="15" customHeight="1" x14ac:dyDescent="0.25">
      <c r="A468" t="s">
        <v>896</v>
      </c>
      <c r="B468" t="s">
        <v>101</v>
      </c>
      <c r="C468" t="s">
        <v>10</v>
      </c>
    </row>
    <row r="469" spans="1:3" ht="15" customHeight="1" x14ac:dyDescent="0.25">
      <c r="A469" t="s">
        <v>897</v>
      </c>
      <c r="B469" t="s">
        <v>101</v>
      </c>
      <c r="C469" t="s">
        <v>10</v>
      </c>
    </row>
    <row r="470" spans="1:3" ht="15" customHeight="1" x14ac:dyDescent="0.25">
      <c r="A470" t="s">
        <v>898</v>
      </c>
      <c r="B470" t="s">
        <v>101</v>
      </c>
      <c r="C470" t="s">
        <v>439</v>
      </c>
    </row>
    <row r="471" spans="1:3" ht="15" customHeight="1" x14ac:dyDescent="0.25">
      <c r="A471" t="s">
        <v>899</v>
      </c>
      <c r="B471" t="s">
        <v>120</v>
      </c>
      <c r="C471" t="s">
        <v>431</v>
      </c>
    </row>
    <row r="472" spans="1:3" ht="15" customHeight="1" x14ac:dyDescent="0.25">
      <c r="A472" t="s">
        <v>900</v>
      </c>
      <c r="B472" t="s">
        <v>120</v>
      </c>
      <c r="C472" t="s">
        <v>439</v>
      </c>
    </row>
    <row r="473" spans="1:3" ht="15" customHeight="1" x14ac:dyDescent="0.25">
      <c r="A473" t="s">
        <v>901</v>
      </c>
      <c r="B473" t="s">
        <v>120</v>
      </c>
      <c r="C473" t="s">
        <v>431</v>
      </c>
    </row>
    <row r="474" spans="1:3" ht="15" customHeight="1" x14ac:dyDescent="0.25">
      <c r="A474" t="s">
        <v>902</v>
      </c>
      <c r="B474" t="s">
        <v>120</v>
      </c>
      <c r="C474" t="s">
        <v>10</v>
      </c>
    </row>
    <row r="475" spans="1:3" ht="15" customHeight="1" x14ac:dyDescent="0.25">
      <c r="A475" t="s">
        <v>903</v>
      </c>
      <c r="B475" t="s">
        <v>120</v>
      </c>
      <c r="C475" t="s">
        <v>10</v>
      </c>
    </row>
    <row r="476" spans="1:3" ht="15" customHeight="1" x14ac:dyDescent="0.25">
      <c r="A476" t="s">
        <v>904</v>
      </c>
      <c r="B476" t="s">
        <v>120</v>
      </c>
      <c r="C476" t="s">
        <v>439</v>
      </c>
    </row>
    <row r="477" spans="1:3" ht="15" customHeight="1" x14ac:dyDescent="0.25">
      <c r="A477" t="s">
        <v>905</v>
      </c>
      <c r="B477" t="s">
        <v>120</v>
      </c>
      <c r="C477" t="s">
        <v>10</v>
      </c>
    </row>
    <row r="478" spans="1:3" ht="15" customHeight="1" x14ac:dyDescent="0.25">
      <c r="A478" t="s">
        <v>906</v>
      </c>
      <c r="B478" t="s">
        <v>120</v>
      </c>
      <c r="C478" t="s">
        <v>10</v>
      </c>
    </row>
    <row r="479" spans="1:3" ht="15" customHeight="1" x14ac:dyDescent="0.25">
      <c r="A479" t="s">
        <v>907</v>
      </c>
      <c r="B479" t="s">
        <v>120</v>
      </c>
      <c r="C479" t="s">
        <v>439</v>
      </c>
    </row>
    <row r="480" spans="1:3" ht="15" customHeight="1" x14ac:dyDescent="0.25">
      <c r="A480" t="s">
        <v>908</v>
      </c>
      <c r="B480" t="s">
        <v>120</v>
      </c>
      <c r="C480" t="s">
        <v>10</v>
      </c>
    </row>
    <row r="481" spans="1:3" ht="15" customHeight="1" x14ac:dyDescent="0.25">
      <c r="A481" t="s">
        <v>909</v>
      </c>
      <c r="B481" t="s">
        <v>120</v>
      </c>
      <c r="C481" t="s">
        <v>439</v>
      </c>
    </row>
    <row r="482" spans="1:3" ht="15" customHeight="1" x14ac:dyDescent="0.25">
      <c r="A482" t="s">
        <v>910</v>
      </c>
      <c r="B482" t="s">
        <v>120</v>
      </c>
      <c r="C482" t="s">
        <v>439</v>
      </c>
    </row>
    <row r="483" spans="1:3" ht="15" customHeight="1" x14ac:dyDescent="0.25">
      <c r="A483" t="s">
        <v>911</v>
      </c>
      <c r="B483" t="s">
        <v>120</v>
      </c>
      <c r="C483" t="s">
        <v>439</v>
      </c>
    </row>
    <row r="484" spans="1:3" ht="15" customHeight="1" x14ac:dyDescent="0.25">
      <c r="A484" t="s">
        <v>912</v>
      </c>
      <c r="B484" t="s">
        <v>120</v>
      </c>
      <c r="C484" t="s">
        <v>431</v>
      </c>
    </row>
    <row r="485" spans="1:3" ht="15" customHeight="1" x14ac:dyDescent="0.25">
      <c r="A485" t="s">
        <v>913</v>
      </c>
      <c r="B485" t="s">
        <v>120</v>
      </c>
      <c r="C485" t="s">
        <v>431</v>
      </c>
    </row>
    <row r="486" spans="1:3" ht="15" customHeight="1" x14ac:dyDescent="0.25">
      <c r="A486" t="s">
        <v>914</v>
      </c>
      <c r="B486" t="s">
        <v>120</v>
      </c>
      <c r="C486" t="s">
        <v>439</v>
      </c>
    </row>
    <row r="487" spans="1:3" ht="15" customHeight="1" x14ac:dyDescent="0.25">
      <c r="A487" t="s">
        <v>915</v>
      </c>
      <c r="B487" t="s">
        <v>120</v>
      </c>
      <c r="C487" t="s">
        <v>10</v>
      </c>
    </row>
    <row r="488" spans="1:3" ht="15" customHeight="1" x14ac:dyDescent="0.25">
      <c r="A488" t="s">
        <v>916</v>
      </c>
      <c r="B488" t="s">
        <v>120</v>
      </c>
      <c r="C488" t="s">
        <v>431</v>
      </c>
    </row>
    <row r="489" spans="1:3" ht="15" customHeight="1" x14ac:dyDescent="0.25">
      <c r="A489" t="s">
        <v>917</v>
      </c>
      <c r="B489" t="s">
        <v>120</v>
      </c>
      <c r="C489" t="s">
        <v>10</v>
      </c>
    </row>
    <row r="490" spans="1:3" ht="15" customHeight="1" x14ac:dyDescent="0.25">
      <c r="A490" t="s">
        <v>918</v>
      </c>
      <c r="B490" t="s">
        <v>120</v>
      </c>
      <c r="C490" t="s">
        <v>10</v>
      </c>
    </row>
    <row r="491" spans="1:3" ht="15" customHeight="1" x14ac:dyDescent="0.25">
      <c r="A491" t="s">
        <v>919</v>
      </c>
      <c r="B491" t="s">
        <v>103</v>
      </c>
      <c r="C491" t="s">
        <v>10</v>
      </c>
    </row>
    <row r="492" spans="1:3" ht="15" customHeight="1" x14ac:dyDescent="0.25">
      <c r="A492" t="s">
        <v>920</v>
      </c>
      <c r="B492" t="s">
        <v>103</v>
      </c>
      <c r="C492" t="s">
        <v>431</v>
      </c>
    </row>
    <row r="493" spans="1:3" ht="15" customHeight="1" x14ac:dyDescent="0.25">
      <c r="A493" t="s">
        <v>921</v>
      </c>
      <c r="B493" t="s">
        <v>103</v>
      </c>
      <c r="C493" t="s">
        <v>439</v>
      </c>
    </row>
    <row r="494" spans="1:3" ht="15" customHeight="1" x14ac:dyDescent="0.25">
      <c r="A494" t="s">
        <v>922</v>
      </c>
      <c r="B494" t="s">
        <v>103</v>
      </c>
      <c r="C494" t="s">
        <v>439</v>
      </c>
    </row>
    <row r="495" spans="1:3" ht="15" customHeight="1" x14ac:dyDescent="0.25">
      <c r="A495" t="s">
        <v>923</v>
      </c>
      <c r="B495" t="s">
        <v>103</v>
      </c>
      <c r="C495" t="s">
        <v>431</v>
      </c>
    </row>
    <row r="496" spans="1:3" ht="15" customHeight="1" x14ac:dyDescent="0.25">
      <c r="A496" t="s">
        <v>924</v>
      </c>
      <c r="B496" t="s">
        <v>103</v>
      </c>
      <c r="C496" t="s">
        <v>431</v>
      </c>
    </row>
    <row r="497" spans="1:3" ht="15" customHeight="1" x14ac:dyDescent="0.25">
      <c r="A497" t="s">
        <v>925</v>
      </c>
      <c r="B497" t="s">
        <v>103</v>
      </c>
      <c r="C497" t="s">
        <v>431</v>
      </c>
    </row>
    <row r="498" spans="1:3" ht="15" customHeight="1" x14ac:dyDescent="0.25">
      <c r="A498" t="s">
        <v>926</v>
      </c>
      <c r="B498" t="s">
        <v>103</v>
      </c>
      <c r="C498" t="s">
        <v>10</v>
      </c>
    </row>
    <row r="499" spans="1:3" ht="15" customHeight="1" x14ac:dyDescent="0.25">
      <c r="A499" t="s">
        <v>927</v>
      </c>
      <c r="B499" t="s">
        <v>103</v>
      </c>
      <c r="C499" t="s">
        <v>10</v>
      </c>
    </row>
    <row r="500" spans="1:3" ht="15" customHeight="1" x14ac:dyDescent="0.25">
      <c r="A500" t="s">
        <v>928</v>
      </c>
      <c r="B500" t="s">
        <v>103</v>
      </c>
      <c r="C500" t="s">
        <v>431</v>
      </c>
    </row>
    <row r="501" spans="1:3" ht="15" customHeight="1" x14ac:dyDescent="0.25">
      <c r="A501" t="s">
        <v>929</v>
      </c>
      <c r="B501" t="s">
        <v>103</v>
      </c>
      <c r="C501" t="s">
        <v>439</v>
      </c>
    </row>
    <row r="502" spans="1:3" ht="15" customHeight="1" x14ac:dyDescent="0.25">
      <c r="A502" t="s">
        <v>930</v>
      </c>
      <c r="B502" t="s">
        <v>103</v>
      </c>
      <c r="C502" t="s">
        <v>10</v>
      </c>
    </row>
    <row r="503" spans="1:3" ht="15" customHeight="1" x14ac:dyDescent="0.25">
      <c r="A503" t="s">
        <v>931</v>
      </c>
      <c r="B503" t="s">
        <v>103</v>
      </c>
      <c r="C503" t="s">
        <v>10</v>
      </c>
    </row>
    <row r="504" spans="1:3" ht="15" customHeight="1" x14ac:dyDescent="0.25">
      <c r="A504" t="s">
        <v>932</v>
      </c>
      <c r="B504" t="s">
        <v>103</v>
      </c>
      <c r="C504" t="s">
        <v>10</v>
      </c>
    </row>
    <row r="505" spans="1:3" ht="15" customHeight="1" x14ac:dyDescent="0.25">
      <c r="A505" t="s">
        <v>933</v>
      </c>
      <c r="B505" t="s">
        <v>103</v>
      </c>
      <c r="C505" t="s">
        <v>10</v>
      </c>
    </row>
    <row r="506" spans="1:3" ht="15" customHeight="1" x14ac:dyDescent="0.25">
      <c r="A506" t="s">
        <v>934</v>
      </c>
      <c r="B506" t="s">
        <v>103</v>
      </c>
      <c r="C506" t="s">
        <v>10</v>
      </c>
    </row>
    <row r="507" spans="1:3" ht="15" customHeight="1" x14ac:dyDescent="0.25">
      <c r="A507" t="s">
        <v>935</v>
      </c>
      <c r="B507" t="s">
        <v>103</v>
      </c>
      <c r="C507" t="s">
        <v>10</v>
      </c>
    </row>
    <row r="508" spans="1:3" ht="15" customHeight="1" x14ac:dyDescent="0.25">
      <c r="A508" t="s">
        <v>936</v>
      </c>
      <c r="B508" t="s">
        <v>103</v>
      </c>
      <c r="C508" t="s">
        <v>431</v>
      </c>
    </row>
    <row r="509" spans="1:3" ht="15" customHeight="1" x14ac:dyDescent="0.25">
      <c r="A509" t="s">
        <v>937</v>
      </c>
      <c r="B509" t="s">
        <v>103</v>
      </c>
      <c r="C509" t="s">
        <v>439</v>
      </c>
    </row>
    <row r="510" spans="1:3" ht="15" customHeight="1" x14ac:dyDescent="0.25">
      <c r="A510" t="s">
        <v>938</v>
      </c>
      <c r="B510" t="s">
        <v>103</v>
      </c>
      <c r="C510" t="s">
        <v>10</v>
      </c>
    </row>
    <row r="511" spans="1:3" ht="15" customHeight="1" x14ac:dyDescent="0.25">
      <c r="A511" t="s">
        <v>939</v>
      </c>
      <c r="B511" t="s">
        <v>140</v>
      </c>
      <c r="C511" t="s">
        <v>431</v>
      </c>
    </row>
    <row r="512" spans="1:3" ht="15" customHeight="1" x14ac:dyDescent="0.25">
      <c r="A512" t="s">
        <v>940</v>
      </c>
      <c r="B512" t="s">
        <v>140</v>
      </c>
      <c r="C512" t="s">
        <v>439</v>
      </c>
    </row>
    <row r="513" spans="1:3" ht="15" customHeight="1" x14ac:dyDescent="0.25">
      <c r="A513" t="s">
        <v>941</v>
      </c>
      <c r="B513" t="s">
        <v>140</v>
      </c>
      <c r="C513" t="s">
        <v>439</v>
      </c>
    </row>
    <row r="514" spans="1:3" ht="15" customHeight="1" x14ac:dyDescent="0.25">
      <c r="A514" t="s">
        <v>942</v>
      </c>
      <c r="B514" t="s">
        <v>140</v>
      </c>
      <c r="C514" t="s">
        <v>10</v>
      </c>
    </row>
    <row r="515" spans="1:3" ht="15" customHeight="1" x14ac:dyDescent="0.25">
      <c r="A515" t="s">
        <v>943</v>
      </c>
      <c r="B515" t="s">
        <v>140</v>
      </c>
      <c r="C515" t="s">
        <v>10</v>
      </c>
    </row>
    <row r="516" spans="1:3" ht="15" customHeight="1" x14ac:dyDescent="0.25">
      <c r="A516" t="s">
        <v>944</v>
      </c>
      <c r="B516" t="s">
        <v>140</v>
      </c>
      <c r="C516" t="s">
        <v>431</v>
      </c>
    </row>
    <row r="517" spans="1:3" ht="15" customHeight="1" x14ac:dyDescent="0.25">
      <c r="A517" t="s">
        <v>945</v>
      </c>
      <c r="B517" t="s">
        <v>140</v>
      </c>
      <c r="C517" t="s">
        <v>10</v>
      </c>
    </row>
    <row r="518" spans="1:3" ht="15" customHeight="1" x14ac:dyDescent="0.25">
      <c r="A518" t="s">
        <v>946</v>
      </c>
      <c r="B518" t="s">
        <v>140</v>
      </c>
      <c r="C518" t="s">
        <v>431</v>
      </c>
    </row>
    <row r="519" spans="1:3" ht="15" customHeight="1" x14ac:dyDescent="0.25">
      <c r="A519" t="s">
        <v>947</v>
      </c>
      <c r="B519" t="s">
        <v>140</v>
      </c>
      <c r="C519" t="s">
        <v>10</v>
      </c>
    </row>
    <row r="520" spans="1:3" ht="15" customHeight="1" x14ac:dyDescent="0.25">
      <c r="A520" t="s">
        <v>948</v>
      </c>
      <c r="B520" t="s">
        <v>140</v>
      </c>
      <c r="C520" t="s">
        <v>431</v>
      </c>
    </row>
    <row r="521" spans="1:3" ht="15" customHeight="1" x14ac:dyDescent="0.25">
      <c r="A521" t="s">
        <v>949</v>
      </c>
      <c r="B521" t="s">
        <v>140</v>
      </c>
      <c r="C521" t="s">
        <v>439</v>
      </c>
    </row>
    <row r="522" spans="1:3" ht="15" customHeight="1" x14ac:dyDescent="0.25">
      <c r="A522" t="s">
        <v>950</v>
      </c>
      <c r="B522" t="s">
        <v>140</v>
      </c>
      <c r="C522" t="s">
        <v>10</v>
      </c>
    </row>
    <row r="523" spans="1:3" ht="15" customHeight="1" x14ac:dyDescent="0.25">
      <c r="A523" t="s">
        <v>951</v>
      </c>
      <c r="B523" t="s">
        <v>140</v>
      </c>
      <c r="C523" t="s">
        <v>431</v>
      </c>
    </row>
    <row r="524" spans="1:3" ht="15" customHeight="1" x14ac:dyDescent="0.25">
      <c r="A524" t="s">
        <v>952</v>
      </c>
      <c r="B524" t="s">
        <v>140</v>
      </c>
      <c r="C524" t="s">
        <v>439</v>
      </c>
    </row>
    <row r="525" spans="1:3" ht="15" customHeight="1" x14ac:dyDescent="0.25">
      <c r="A525" t="s">
        <v>953</v>
      </c>
      <c r="B525" t="s">
        <v>140</v>
      </c>
      <c r="C525" t="s">
        <v>10</v>
      </c>
    </row>
    <row r="526" spans="1:3" ht="15" customHeight="1" x14ac:dyDescent="0.25">
      <c r="A526" t="s">
        <v>954</v>
      </c>
      <c r="B526" t="s">
        <v>140</v>
      </c>
      <c r="C526" t="s">
        <v>10</v>
      </c>
    </row>
    <row r="527" spans="1:3" ht="15" customHeight="1" x14ac:dyDescent="0.25">
      <c r="A527" t="s">
        <v>955</v>
      </c>
      <c r="B527" t="s">
        <v>140</v>
      </c>
      <c r="C527" t="s">
        <v>10</v>
      </c>
    </row>
    <row r="528" spans="1:3" ht="15" customHeight="1" x14ac:dyDescent="0.25">
      <c r="A528" t="s">
        <v>956</v>
      </c>
      <c r="B528" t="s">
        <v>140</v>
      </c>
      <c r="C528" t="s">
        <v>10</v>
      </c>
    </row>
    <row r="529" spans="1:3" ht="15" customHeight="1" x14ac:dyDescent="0.25">
      <c r="A529" t="s">
        <v>957</v>
      </c>
      <c r="B529" t="s">
        <v>140</v>
      </c>
      <c r="C529" t="s">
        <v>431</v>
      </c>
    </row>
    <row r="530" spans="1:3" ht="15" customHeight="1" x14ac:dyDescent="0.25">
      <c r="A530" t="s">
        <v>958</v>
      </c>
      <c r="B530" t="s">
        <v>140</v>
      </c>
      <c r="C530" t="s">
        <v>431</v>
      </c>
    </row>
    <row r="531" spans="1:3" ht="15" customHeight="1" x14ac:dyDescent="0.25">
      <c r="A531" t="s">
        <v>959</v>
      </c>
      <c r="B531" t="s">
        <v>141</v>
      </c>
      <c r="C531" t="s">
        <v>10</v>
      </c>
    </row>
    <row r="532" spans="1:3" ht="15" customHeight="1" x14ac:dyDescent="0.25">
      <c r="A532" t="s">
        <v>960</v>
      </c>
      <c r="B532" t="s">
        <v>141</v>
      </c>
      <c r="C532" t="s">
        <v>10</v>
      </c>
    </row>
    <row r="533" spans="1:3" ht="15" customHeight="1" x14ac:dyDescent="0.25">
      <c r="A533" t="s">
        <v>961</v>
      </c>
      <c r="B533" t="s">
        <v>141</v>
      </c>
      <c r="C533" t="s">
        <v>10</v>
      </c>
    </row>
    <row r="534" spans="1:3" ht="15" customHeight="1" x14ac:dyDescent="0.25">
      <c r="A534" t="s">
        <v>962</v>
      </c>
      <c r="B534" t="s">
        <v>141</v>
      </c>
      <c r="C534" t="s">
        <v>10</v>
      </c>
    </row>
    <row r="535" spans="1:3" ht="15" customHeight="1" x14ac:dyDescent="0.25">
      <c r="A535" t="s">
        <v>963</v>
      </c>
      <c r="B535" t="s">
        <v>141</v>
      </c>
      <c r="C535" t="s">
        <v>10</v>
      </c>
    </row>
    <row r="536" spans="1:3" ht="15" customHeight="1" x14ac:dyDescent="0.25">
      <c r="A536" t="s">
        <v>964</v>
      </c>
      <c r="B536" t="s">
        <v>141</v>
      </c>
      <c r="C536" t="s">
        <v>439</v>
      </c>
    </row>
    <row r="537" spans="1:3" ht="15" customHeight="1" x14ac:dyDescent="0.25">
      <c r="A537" t="s">
        <v>965</v>
      </c>
      <c r="B537" t="s">
        <v>141</v>
      </c>
      <c r="C537" t="s">
        <v>431</v>
      </c>
    </row>
    <row r="538" spans="1:3" ht="15" customHeight="1" x14ac:dyDescent="0.25">
      <c r="A538" t="s">
        <v>966</v>
      </c>
      <c r="B538" t="s">
        <v>141</v>
      </c>
      <c r="C538" t="s">
        <v>431</v>
      </c>
    </row>
    <row r="539" spans="1:3" ht="15" customHeight="1" x14ac:dyDescent="0.25">
      <c r="A539" t="s">
        <v>967</v>
      </c>
      <c r="B539" t="s">
        <v>141</v>
      </c>
      <c r="C539" t="s">
        <v>10</v>
      </c>
    </row>
    <row r="540" spans="1:3" ht="15" customHeight="1" x14ac:dyDescent="0.25">
      <c r="A540" t="s">
        <v>968</v>
      </c>
      <c r="B540" t="s">
        <v>141</v>
      </c>
      <c r="C540" t="s">
        <v>10</v>
      </c>
    </row>
    <row r="541" spans="1:3" ht="15" customHeight="1" x14ac:dyDescent="0.25">
      <c r="A541" t="s">
        <v>969</v>
      </c>
      <c r="B541" t="s">
        <v>141</v>
      </c>
      <c r="C541" t="s">
        <v>439</v>
      </c>
    </row>
    <row r="542" spans="1:3" ht="15" customHeight="1" x14ac:dyDescent="0.25">
      <c r="A542" t="s">
        <v>970</v>
      </c>
      <c r="B542" t="s">
        <v>141</v>
      </c>
      <c r="C542" t="s">
        <v>431</v>
      </c>
    </row>
    <row r="543" spans="1:3" ht="15" customHeight="1" x14ac:dyDescent="0.25">
      <c r="A543" t="s">
        <v>971</v>
      </c>
      <c r="B543" t="s">
        <v>141</v>
      </c>
      <c r="C543" t="s">
        <v>10</v>
      </c>
    </row>
    <row r="544" spans="1:3" ht="15" customHeight="1" x14ac:dyDescent="0.25">
      <c r="A544" t="s">
        <v>972</v>
      </c>
      <c r="B544" t="s">
        <v>141</v>
      </c>
      <c r="C544" t="s">
        <v>10</v>
      </c>
    </row>
    <row r="545" spans="1:3" ht="15" customHeight="1" x14ac:dyDescent="0.25">
      <c r="A545" t="s">
        <v>973</v>
      </c>
      <c r="B545" t="s">
        <v>141</v>
      </c>
      <c r="C545" t="s">
        <v>439</v>
      </c>
    </row>
    <row r="546" spans="1:3" ht="15" customHeight="1" x14ac:dyDescent="0.25">
      <c r="A546" t="s">
        <v>974</v>
      </c>
      <c r="B546" t="s">
        <v>141</v>
      </c>
      <c r="C546" t="s">
        <v>10</v>
      </c>
    </row>
    <row r="547" spans="1:3" ht="15" customHeight="1" x14ac:dyDescent="0.25">
      <c r="A547" t="s">
        <v>975</v>
      </c>
      <c r="B547" t="s">
        <v>141</v>
      </c>
      <c r="C547" t="s">
        <v>431</v>
      </c>
    </row>
    <row r="548" spans="1:3" ht="15" customHeight="1" x14ac:dyDescent="0.25">
      <c r="A548" t="s">
        <v>976</v>
      </c>
      <c r="B548" t="s">
        <v>141</v>
      </c>
      <c r="C548" t="s">
        <v>439</v>
      </c>
    </row>
    <row r="549" spans="1:3" ht="15" customHeight="1" x14ac:dyDescent="0.25">
      <c r="A549" t="s">
        <v>977</v>
      </c>
      <c r="B549" t="s">
        <v>141</v>
      </c>
      <c r="C549" t="s">
        <v>10</v>
      </c>
    </row>
    <row r="550" spans="1:3" ht="15" customHeight="1" x14ac:dyDescent="0.25">
      <c r="A550" t="s">
        <v>978</v>
      </c>
      <c r="B550" t="s">
        <v>141</v>
      </c>
      <c r="C550" t="s">
        <v>10</v>
      </c>
    </row>
    <row r="551" spans="1:3" ht="15" customHeight="1" x14ac:dyDescent="0.25">
      <c r="A551" t="s">
        <v>979</v>
      </c>
      <c r="B551" t="s">
        <v>141</v>
      </c>
      <c r="C551" t="s">
        <v>439</v>
      </c>
    </row>
    <row r="552" spans="1:3" ht="15" customHeight="1" x14ac:dyDescent="0.25">
      <c r="A552" t="s">
        <v>980</v>
      </c>
      <c r="B552" t="s">
        <v>126</v>
      </c>
      <c r="C552" t="s">
        <v>439</v>
      </c>
    </row>
    <row r="553" spans="1:3" ht="15" customHeight="1" x14ac:dyDescent="0.25">
      <c r="A553" t="s">
        <v>981</v>
      </c>
      <c r="B553" t="s">
        <v>126</v>
      </c>
      <c r="C553" t="s">
        <v>439</v>
      </c>
    </row>
    <row r="554" spans="1:3" ht="15" customHeight="1" x14ac:dyDescent="0.25">
      <c r="A554" t="s">
        <v>982</v>
      </c>
      <c r="B554" t="s">
        <v>126</v>
      </c>
      <c r="C554" t="s">
        <v>10</v>
      </c>
    </row>
    <row r="555" spans="1:3" ht="15" customHeight="1" x14ac:dyDescent="0.25">
      <c r="A555" t="s">
        <v>983</v>
      </c>
      <c r="B555" t="s">
        <v>126</v>
      </c>
      <c r="C555" t="s">
        <v>431</v>
      </c>
    </row>
    <row r="556" spans="1:3" ht="15" customHeight="1" x14ac:dyDescent="0.25">
      <c r="A556" t="s">
        <v>984</v>
      </c>
      <c r="B556" t="s">
        <v>126</v>
      </c>
      <c r="C556" t="s">
        <v>10</v>
      </c>
    </row>
    <row r="557" spans="1:3" ht="15" customHeight="1" x14ac:dyDescent="0.25">
      <c r="A557" t="s">
        <v>985</v>
      </c>
      <c r="B557" t="s">
        <v>126</v>
      </c>
      <c r="C557" t="s">
        <v>10</v>
      </c>
    </row>
    <row r="558" spans="1:3" ht="15" customHeight="1" x14ac:dyDescent="0.25">
      <c r="A558" t="s">
        <v>986</v>
      </c>
      <c r="B558" t="s">
        <v>126</v>
      </c>
      <c r="C558" t="s">
        <v>10</v>
      </c>
    </row>
    <row r="559" spans="1:3" ht="15" customHeight="1" x14ac:dyDescent="0.25">
      <c r="A559" t="s">
        <v>987</v>
      </c>
      <c r="B559" t="s">
        <v>126</v>
      </c>
      <c r="C559" t="s">
        <v>431</v>
      </c>
    </row>
    <row r="560" spans="1:3" ht="15" customHeight="1" x14ac:dyDescent="0.25">
      <c r="A560" t="s">
        <v>988</v>
      </c>
      <c r="B560" t="s">
        <v>126</v>
      </c>
      <c r="C560" t="s">
        <v>10</v>
      </c>
    </row>
    <row r="561" spans="1:3" ht="15" customHeight="1" x14ac:dyDescent="0.25">
      <c r="A561" t="s">
        <v>989</v>
      </c>
      <c r="B561" t="s">
        <v>126</v>
      </c>
      <c r="C561" t="s">
        <v>10</v>
      </c>
    </row>
    <row r="562" spans="1:3" ht="15" customHeight="1" x14ac:dyDescent="0.25">
      <c r="A562" t="s">
        <v>990</v>
      </c>
      <c r="B562" t="s">
        <v>126</v>
      </c>
      <c r="C562" t="s">
        <v>439</v>
      </c>
    </row>
    <row r="563" spans="1:3" ht="15" customHeight="1" x14ac:dyDescent="0.25">
      <c r="A563" t="s">
        <v>991</v>
      </c>
      <c r="B563" t="s">
        <v>126</v>
      </c>
      <c r="C563" t="s">
        <v>10</v>
      </c>
    </row>
    <row r="564" spans="1:3" ht="15" customHeight="1" x14ac:dyDescent="0.25">
      <c r="A564" t="s">
        <v>992</v>
      </c>
      <c r="B564" t="s">
        <v>126</v>
      </c>
      <c r="C564" t="s">
        <v>439</v>
      </c>
    </row>
    <row r="565" spans="1:3" ht="15" customHeight="1" x14ac:dyDescent="0.25">
      <c r="A565" t="s">
        <v>993</v>
      </c>
      <c r="B565" t="s">
        <v>126</v>
      </c>
      <c r="C565" t="s">
        <v>10</v>
      </c>
    </row>
    <row r="566" spans="1:3" ht="15" customHeight="1" x14ac:dyDescent="0.25">
      <c r="A566" t="s">
        <v>994</v>
      </c>
      <c r="B566" t="s">
        <v>126</v>
      </c>
      <c r="C566" t="s">
        <v>10</v>
      </c>
    </row>
    <row r="567" spans="1:3" ht="15" customHeight="1" x14ac:dyDescent="0.25">
      <c r="A567" t="s">
        <v>995</v>
      </c>
      <c r="B567" t="s">
        <v>126</v>
      </c>
      <c r="C567" t="s">
        <v>431</v>
      </c>
    </row>
    <row r="568" spans="1:3" ht="15" customHeight="1" x14ac:dyDescent="0.25">
      <c r="A568" t="s">
        <v>996</v>
      </c>
      <c r="B568" t="s">
        <v>126</v>
      </c>
      <c r="C568" t="s">
        <v>431</v>
      </c>
    </row>
    <row r="569" spans="1:3" ht="15" customHeight="1" x14ac:dyDescent="0.25">
      <c r="A569" t="s">
        <v>997</v>
      </c>
      <c r="B569" t="s">
        <v>126</v>
      </c>
      <c r="C569" t="s">
        <v>431</v>
      </c>
    </row>
    <row r="570" spans="1:3" ht="15" customHeight="1" x14ac:dyDescent="0.25">
      <c r="A570" t="s">
        <v>998</v>
      </c>
      <c r="B570" t="s">
        <v>126</v>
      </c>
      <c r="C570" t="s">
        <v>431</v>
      </c>
    </row>
    <row r="571" spans="1:3" ht="15" customHeight="1" x14ac:dyDescent="0.25">
      <c r="A571" t="s">
        <v>999</v>
      </c>
      <c r="B571" t="s">
        <v>142</v>
      </c>
      <c r="C571" t="s">
        <v>10</v>
      </c>
    </row>
    <row r="572" spans="1:3" ht="15" customHeight="1" x14ac:dyDescent="0.25">
      <c r="A572" t="s">
        <v>1000</v>
      </c>
      <c r="B572" t="s">
        <v>142</v>
      </c>
      <c r="C572" t="s">
        <v>439</v>
      </c>
    </row>
    <row r="573" spans="1:3" ht="15" customHeight="1" x14ac:dyDescent="0.25">
      <c r="A573" t="s">
        <v>1001</v>
      </c>
      <c r="B573" t="s">
        <v>142</v>
      </c>
      <c r="C573" t="s">
        <v>431</v>
      </c>
    </row>
    <row r="574" spans="1:3" ht="15" customHeight="1" x14ac:dyDescent="0.25">
      <c r="A574" t="s">
        <v>1002</v>
      </c>
      <c r="B574" t="s">
        <v>142</v>
      </c>
      <c r="C574" t="s">
        <v>10</v>
      </c>
    </row>
    <row r="575" spans="1:3" ht="15" customHeight="1" x14ac:dyDescent="0.25">
      <c r="A575" t="s">
        <v>1003</v>
      </c>
      <c r="B575" t="s">
        <v>142</v>
      </c>
      <c r="C575" t="s">
        <v>439</v>
      </c>
    </row>
    <row r="576" spans="1:3" ht="15" customHeight="1" x14ac:dyDescent="0.25">
      <c r="A576" t="s">
        <v>1004</v>
      </c>
      <c r="B576" t="s">
        <v>142</v>
      </c>
      <c r="C576" t="s">
        <v>439</v>
      </c>
    </row>
    <row r="577" spans="1:3" ht="15" customHeight="1" x14ac:dyDescent="0.25">
      <c r="A577" t="s">
        <v>1005</v>
      </c>
      <c r="B577" t="s">
        <v>142</v>
      </c>
      <c r="C577" t="s">
        <v>10</v>
      </c>
    </row>
    <row r="578" spans="1:3" ht="15" customHeight="1" x14ac:dyDescent="0.25">
      <c r="A578" t="s">
        <v>1006</v>
      </c>
      <c r="B578" t="s">
        <v>142</v>
      </c>
      <c r="C578" t="s">
        <v>439</v>
      </c>
    </row>
    <row r="579" spans="1:3" ht="15" customHeight="1" x14ac:dyDescent="0.25">
      <c r="A579" t="s">
        <v>1007</v>
      </c>
      <c r="B579" t="s">
        <v>142</v>
      </c>
      <c r="C579" t="s">
        <v>431</v>
      </c>
    </row>
    <row r="580" spans="1:3" ht="15" customHeight="1" x14ac:dyDescent="0.25">
      <c r="A580" t="s">
        <v>1008</v>
      </c>
      <c r="B580" t="s">
        <v>142</v>
      </c>
      <c r="C580" t="s">
        <v>10</v>
      </c>
    </row>
    <row r="581" spans="1:3" ht="15" customHeight="1" x14ac:dyDescent="0.25">
      <c r="A581" t="s">
        <v>1009</v>
      </c>
      <c r="B581" t="s">
        <v>142</v>
      </c>
      <c r="C581" t="s">
        <v>431</v>
      </c>
    </row>
    <row r="582" spans="1:3" ht="15" customHeight="1" x14ac:dyDescent="0.25">
      <c r="A582" t="s">
        <v>1010</v>
      </c>
      <c r="B582" t="s">
        <v>142</v>
      </c>
      <c r="C582" t="s">
        <v>10</v>
      </c>
    </row>
    <row r="583" spans="1:3" ht="15" customHeight="1" x14ac:dyDescent="0.25">
      <c r="A583" t="s">
        <v>1011</v>
      </c>
      <c r="B583" t="s">
        <v>142</v>
      </c>
      <c r="C583" t="s">
        <v>10</v>
      </c>
    </row>
    <row r="584" spans="1:3" ht="15" customHeight="1" x14ac:dyDescent="0.25">
      <c r="A584" t="s">
        <v>1012</v>
      </c>
      <c r="B584" t="s">
        <v>142</v>
      </c>
      <c r="C584" t="s">
        <v>10</v>
      </c>
    </row>
    <row r="585" spans="1:3" ht="15" customHeight="1" x14ac:dyDescent="0.25">
      <c r="A585" t="s">
        <v>1013</v>
      </c>
      <c r="B585" t="s">
        <v>142</v>
      </c>
      <c r="C585" t="s">
        <v>10</v>
      </c>
    </row>
    <row r="586" spans="1:3" ht="15" customHeight="1" x14ac:dyDescent="0.25">
      <c r="A586" t="s">
        <v>1014</v>
      </c>
      <c r="B586" t="s">
        <v>142</v>
      </c>
      <c r="C586" t="s">
        <v>10</v>
      </c>
    </row>
    <row r="587" spans="1:3" ht="15" customHeight="1" x14ac:dyDescent="0.25">
      <c r="A587" t="s">
        <v>1015</v>
      </c>
      <c r="B587" t="s">
        <v>142</v>
      </c>
      <c r="C587" t="s">
        <v>431</v>
      </c>
    </row>
    <row r="588" spans="1:3" ht="15" customHeight="1" x14ac:dyDescent="0.25">
      <c r="A588" t="s">
        <v>1016</v>
      </c>
      <c r="B588" t="s">
        <v>142</v>
      </c>
      <c r="C588" t="s">
        <v>431</v>
      </c>
    </row>
    <row r="589" spans="1:3" ht="15" customHeight="1" x14ac:dyDescent="0.25">
      <c r="A589" t="s">
        <v>1017</v>
      </c>
      <c r="B589" t="s">
        <v>142</v>
      </c>
      <c r="C589" t="s">
        <v>439</v>
      </c>
    </row>
    <row r="590" spans="1:3" ht="15" customHeight="1" x14ac:dyDescent="0.25">
      <c r="A590" t="s">
        <v>1018</v>
      </c>
      <c r="B590" t="s">
        <v>143</v>
      </c>
      <c r="C590" t="s">
        <v>439</v>
      </c>
    </row>
    <row r="591" spans="1:3" ht="15" customHeight="1" x14ac:dyDescent="0.25">
      <c r="A591" t="s">
        <v>1019</v>
      </c>
      <c r="B591" t="s">
        <v>143</v>
      </c>
      <c r="C591" t="s">
        <v>10</v>
      </c>
    </row>
    <row r="592" spans="1:3" ht="15" customHeight="1" x14ac:dyDescent="0.25">
      <c r="A592" t="s">
        <v>1020</v>
      </c>
      <c r="B592" t="s">
        <v>143</v>
      </c>
      <c r="C592" t="s">
        <v>10</v>
      </c>
    </row>
    <row r="593" spans="1:3" ht="15" customHeight="1" x14ac:dyDescent="0.25">
      <c r="A593" t="s">
        <v>1021</v>
      </c>
      <c r="B593" t="s">
        <v>143</v>
      </c>
      <c r="C593" t="s">
        <v>10</v>
      </c>
    </row>
    <row r="594" spans="1:3" ht="15" customHeight="1" x14ac:dyDescent="0.25">
      <c r="A594" t="s">
        <v>1022</v>
      </c>
      <c r="B594" t="s">
        <v>143</v>
      </c>
      <c r="C594" t="s">
        <v>10</v>
      </c>
    </row>
    <row r="595" spans="1:3" ht="15" customHeight="1" x14ac:dyDescent="0.25">
      <c r="A595" t="s">
        <v>1023</v>
      </c>
      <c r="B595" t="s">
        <v>143</v>
      </c>
      <c r="C595" t="s">
        <v>439</v>
      </c>
    </row>
    <row r="596" spans="1:3" ht="15" customHeight="1" x14ac:dyDescent="0.25">
      <c r="A596" t="s">
        <v>1024</v>
      </c>
      <c r="B596" t="s">
        <v>143</v>
      </c>
      <c r="C596" t="s">
        <v>431</v>
      </c>
    </row>
    <row r="597" spans="1:3" ht="15" customHeight="1" x14ac:dyDescent="0.25">
      <c r="A597" t="s">
        <v>1025</v>
      </c>
      <c r="B597" t="s">
        <v>143</v>
      </c>
      <c r="C597" t="s">
        <v>431</v>
      </c>
    </row>
    <row r="598" spans="1:3" ht="15" customHeight="1" x14ac:dyDescent="0.25">
      <c r="A598" t="s">
        <v>1026</v>
      </c>
      <c r="B598" t="s">
        <v>143</v>
      </c>
      <c r="C598" t="s">
        <v>431</v>
      </c>
    </row>
    <row r="599" spans="1:3" ht="15" customHeight="1" x14ac:dyDescent="0.25">
      <c r="A599" t="s">
        <v>1027</v>
      </c>
      <c r="B599" t="s">
        <v>143</v>
      </c>
      <c r="C599" t="s">
        <v>439</v>
      </c>
    </row>
    <row r="600" spans="1:3" ht="15" customHeight="1" x14ac:dyDescent="0.25">
      <c r="A600" t="s">
        <v>1028</v>
      </c>
      <c r="B600" t="s">
        <v>143</v>
      </c>
      <c r="C600" t="s">
        <v>431</v>
      </c>
    </row>
    <row r="601" spans="1:3" ht="15" customHeight="1" x14ac:dyDescent="0.25">
      <c r="A601" t="s">
        <v>1029</v>
      </c>
      <c r="B601" t="s">
        <v>143</v>
      </c>
      <c r="C601" t="s">
        <v>439</v>
      </c>
    </row>
    <row r="602" spans="1:3" ht="15" customHeight="1" x14ac:dyDescent="0.25">
      <c r="A602" t="s">
        <v>1030</v>
      </c>
      <c r="B602" t="s">
        <v>143</v>
      </c>
      <c r="C602" t="s">
        <v>10</v>
      </c>
    </row>
    <row r="603" spans="1:3" ht="15" customHeight="1" x14ac:dyDescent="0.25">
      <c r="A603" t="s">
        <v>1031</v>
      </c>
      <c r="B603" t="s">
        <v>143</v>
      </c>
      <c r="C603" t="s">
        <v>10</v>
      </c>
    </row>
    <row r="604" spans="1:3" ht="15" customHeight="1" x14ac:dyDescent="0.25">
      <c r="A604" t="s">
        <v>1032</v>
      </c>
      <c r="B604" t="s">
        <v>143</v>
      </c>
      <c r="C604" t="s">
        <v>10</v>
      </c>
    </row>
    <row r="605" spans="1:3" ht="15" customHeight="1" x14ac:dyDescent="0.25">
      <c r="A605" t="s">
        <v>1033</v>
      </c>
      <c r="B605" t="s">
        <v>143</v>
      </c>
      <c r="C605" t="s">
        <v>10</v>
      </c>
    </row>
    <row r="606" spans="1:3" ht="15" customHeight="1" x14ac:dyDescent="0.25">
      <c r="A606" t="s">
        <v>1034</v>
      </c>
      <c r="B606" t="s">
        <v>143</v>
      </c>
      <c r="C606" t="s">
        <v>10</v>
      </c>
    </row>
    <row r="607" spans="1:3" ht="15" customHeight="1" x14ac:dyDescent="0.25">
      <c r="A607" t="s">
        <v>1035</v>
      </c>
      <c r="B607" t="s">
        <v>143</v>
      </c>
      <c r="C607" t="s">
        <v>431</v>
      </c>
    </row>
    <row r="608" spans="1:3" ht="15" customHeight="1" x14ac:dyDescent="0.25">
      <c r="A608" t="s">
        <v>1036</v>
      </c>
      <c r="B608" t="s">
        <v>143</v>
      </c>
      <c r="C608" t="s">
        <v>10</v>
      </c>
    </row>
    <row r="609" spans="1:3" ht="15" customHeight="1" x14ac:dyDescent="0.25">
      <c r="A609" t="s">
        <v>1037</v>
      </c>
      <c r="B609" t="s">
        <v>143</v>
      </c>
      <c r="C609" t="s">
        <v>10</v>
      </c>
    </row>
    <row r="610" spans="1:3" ht="15" customHeight="1" x14ac:dyDescent="0.25">
      <c r="A610" t="s">
        <v>1038</v>
      </c>
      <c r="B610" t="s">
        <v>143</v>
      </c>
      <c r="C610" t="s">
        <v>439</v>
      </c>
    </row>
    <row r="611" spans="1:3" ht="15" customHeight="1" x14ac:dyDescent="0.25">
      <c r="A611" t="s">
        <v>1039</v>
      </c>
      <c r="B611" t="s">
        <v>143</v>
      </c>
      <c r="C611" t="s">
        <v>10</v>
      </c>
    </row>
    <row r="612" spans="1:3" ht="15" customHeight="1" x14ac:dyDescent="0.25">
      <c r="A612" t="s">
        <v>1040</v>
      </c>
      <c r="B612" t="s">
        <v>143</v>
      </c>
      <c r="C612" t="s">
        <v>439</v>
      </c>
    </row>
    <row r="613" spans="1:3" ht="15" customHeight="1" x14ac:dyDescent="0.25">
      <c r="A613" t="s">
        <v>1041</v>
      </c>
      <c r="B613" t="s">
        <v>143</v>
      </c>
      <c r="C613" t="s">
        <v>431</v>
      </c>
    </row>
    <row r="614" spans="1:3" ht="15" customHeight="1" x14ac:dyDescent="0.25">
      <c r="A614" t="s">
        <v>1042</v>
      </c>
      <c r="B614" t="s">
        <v>143</v>
      </c>
      <c r="C614" t="s">
        <v>439</v>
      </c>
    </row>
  </sheetData>
  <mergeCells count="2">
    <mergeCell ref="A1:C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8"/>
  <sheetViews>
    <sheetView zoomScaleNormal="100" workbookViewId="0">
      <selection activeCell="A5" sqref="A5"/>
    </sheetView>
  </sheetViews>
  <sheetFormatPr defaultColWidth="8.7109375" defaultRowHeight="15" x14ac:dyDescent="0.25"/>
  <cols>
    <col min="1" max="1" width="120" customWidth="1"/>
    <col min="2" max="2" width="20" customWidth="1"/>
  </cols>
  <sheetData>
    <row r="1" spans="1:2" ht="27.75" customHeight="1" x14ac:dyDescent="0.25">
      <c r="A1" s="4" t="s">
        <v>8724</v>
      </c>
      <c r="B1" s="4"/>
    </row>
    <row r="2" spans="1:2" ht="30" customHeight="1" x14ac:dyDescent="0.25">
      <c r="A2" s="3" t="s">
        <v>8725</v>
      </c>
      <c r="B2" s="3"/>
    </row>
    <row r="3" spans="1:2" ht="19.5" customHeight="1" x14ac:dyDescent="0.25">
      <c r="A3" s="2" t="s">
        <v>8726</v>
      </c>
      <c r="B3" s="2"/>
    </row>
    <row r="4" spans="1:2" ht="27.75" customHeight="1" x14ac:dyDescent="0.25">
      <c r="A4" s="3" t="s">
        <v>8727</v>
      </c>
      <c r="B4" s="3"/>
    </row>
    <row r="5" spans="1:2" ht="15" customHeight="1" x14ac:dyDescent="0.25">
      <c r="A5" s="442" t="s">
        <v>8728</v>
      </c>
    </row>
    <row r="6" spans="1:2" ht="15" customHeight="1" x14ac:dyDescent="0.25">
      <c r="A6" s="442" t="s">
        <v>8729</v>
      </c>
    </row>
    <row r="7" spans="1:2" ht="15" customHeight="1" x14ac:dyDescent="0.25">
      <c r="A7" s="442" t="s">
        <v>8730</v>
      </c>
    </row>
    <row r="8" spans="1:2" ht="15" customHeight="1" x14ac:dyDescent="0.25">
      <c r="A8" s="442" t="s">
        <v>8731</v>
      </c>
    </row>
    <row r="9" spans="1:2" ht="15" customHeight="1" x14ac:dyDescent="0.25">
      <c r="A9" s="442" t="s">
        <v>8732</v>
      </c>
    </row>
    <row r="10" spans="1:2" ht="15" customHeight="1" x14ac:dyDescent="0.25">
      <c r="A10" s="442" t="s">
        <v>8733</v>
      </c>
    </row>
    <row r="11" spans="1:2" ht="15" customHeight="1" x14ac:dyDescent="0.25">
      <c r="A11" s="442" t="s">
        <v>8734</v>
      </c>
    </row>
    <row r="12" spans="1:2" ht="15" customHeight="1" x14ac:dyDescent="0.25">
      <c r="A12" s="442" t="s">
        <v>8735</v>
      </c>
    </row>
    <row r="13" spans="1:2" ht="15" customHeight="1" x14ac:dyDescent="0.25">
      <c r="A13" s="442" t="s">
        <v>8736</v>
      </c>
    </row>
    <row r="14" spans="1:2" ht="15" customHeight="1" x14ac:dyDescent="0.25">
      <c r="A14" s="442" t="s">
        <v>8737</v>
      </c>
    </row>
    <row r="15" spans="1:2" ht="15" customHeight="1" x14ac:dyDescent="0.25">
      <c r="A15" s="442" t="s">
        <v>8738</v>
      </c>
    </row>
    <row r="16" spans="1:2" ht="15" customHeight="1" x14ac:dyDescent="0.25">
      <c r="A16" s="442" t="s">
        <v>8739</v>
      </c>
    </row>
    <row r="17" spans="1:1" ht="15" customHeight="1" x14ac:dyDescent="0.25">
      <c r="A17" s="442" t="s">
        <v>8740</v>
      </c>
    </row>
    <row r="18" spans="1:1" ht="15" customHeight="1" x14ac:dyDescent="0.25">
      <c r="A18" s="442" t="s">
        <v>8741</v>
      </c>
    </row>
    <row r="19" spans="1:1" ht="15" customHeight="1" x14ac:dyDescent="0.25">
      <c r="A19" s="442" t="s">
        <v>8742</v>
      </c>
    </row>
    <row r="20" spans="1:1" ht="15" customHeight="1" x14ac:dyDescent="0.25">
      <c r="A20" s="442" t="s">
        <v>8743</v>
      </c>
    </row>
    <row r="21" spans="1:1" ht="15" customHeight="1" x14ac:dyDescent="0.25">
      <c r="A21" s="442" t="s">
        <v>8744</v>
      </c>
    </row>
    <row r="22" spans="1:1" ht="15" customHeight="1" x14ac:dyDescent="0.25">
      <c r="A22" s="442" t="s">
        <v>8745</v>
      </c>
    </row>
    <row r="23" spans="1:1" ht="15" customHeight="1" x14ac:dyDescent="0.25">
      <c r="A23" s="442" t="s">
        <v>8746</v>
      </c>
    </row>
    <row r="24" spans="1:1" ht="15" customHeight="1" x14ac:dyDescent="0.25">
      <c r="A24" s="442" t="s">
        <v>8747</v>
      </c>
    </row>
    <row r="25" spans="1:1" ht="15" customHeight="1" x14ac:dyDescent="0.25">
      <c r="A25" s="442" t="s">
        <v>8748</v>
      </c>
    </row>
    <row r="26" spans="1:1" ht="15" customHeight="1" x14ac:dyDescent="0.25">
      <c r="A26" s="442" t="s">
        <v>8749</v>
      </c>
    </row>
    <row r="27" spans="1:1" ht="15" customHeight="1" x14ac:dyDescent="0.25">
      <c r="A27" s="442" t="s">
        <v>8740</v>
      </c>
    </row>
    <row r="28" spans="1:1" ht="15" customHeight="1" x14ac:dyDescent="0.25">
      <c r="A28" s="442" t="s">
        <v>8750</v>
      </c>
    </row>
    <row r="29" spans="1:1" ht="15" customHeight="1" x14ac:dyDescent="0.25">
      <c r="A29" s="442" t="s">
        <v>8751</v>
      </c>
    </row>
    <row r="30" spans="1:1" ht="15" customHeight="1" x14ac:dyDescent="0.25">
      <c r="A30" s="442" t="s">
        <v>8752</v>
      </c>
    </row>
    <row r="31" spans="1:1" ht="15" customHeight="1" x14ac:dyDescent="0.25">
      <c r="A31" s="442" t="s">
        <v>8753</v>
      </c>
    </row>
    <row r="33" spans="1:2" ht="19.5" customHeight="1" x14ac:dyDescent="0.25">
      <c r="A33" s="2" t="s">
        <v>8754</v>
      </c>
      <c r="B33" s="2"/>
    </row>
    <row r="34" spans="1:2" ht="27.75" customHeight="1" x14ac:dyDescent="0.25">
      <c r="A34" s="3" t="s">
        <v>8755</v>
      </c>
      <c r="B34" s="3"/>
    </row>
    <row r="35" spans="1:2" ht="15" customHeight="1" x14ac:dyDescent="0.25">
      <c r="A35" s="442" t="s">
        <v>8728</v>
      </c>
    </row>
    <row r="36" spans="1:2" ht="15" customHeight="1" x14ac:dyDescent="0.25">
      <c r="A36" s="442" t="s">
        <v>8729</v>
      </c>
    </row>
    <row r="37" spans="1:2" ht="15" customHeight="1" x14ac:dyDescent="0.25">
      <c r="A37" s="442" t="s">
        <v>8756</v>
      </c>
    </row>
    <row r="38" spans="1:2" ht="15" customHeight="1" x14ac:dyDescent="0.25">
      <c r="A38" s="442" t="s">
        <v>8757</v>
      </c>
    </row>
    <row r="39" spans="1:2" ht="15" customHeight="1" x14ac:dyDescent="0.25">
      <c r="A39" s="442" t="s">
        <v>8732</v>
      </c>
    </row>
    <row r="40" spans="1:2" ht="15" customHeight="1" x14ac:dyDescent="0.25">
      <c r="A40" s="442" t="s">
        <v>8733</v>
      </c>
    </row>
    <row r="41" spans="1:2" ht="15" customHeight="1" x14ac:dyDescent="0.25">
      <c r="A41" s="442" t="s">
        <v>8734</v>
      </c>
    </row>
    <row r="42" spans="1:2" ht="15" customHeight="1" x14ac:dyDescent="0.25">
      <c r="A42" s="442" t="s">
        <v>8758</v>
      </c>
    </row>
    <row r="43" spans="1:2" ht="15" customHeight="1" x14ac:dyDescent="0.25">
      <c r="A43" s="442" t="s">
        <v>8759</v>
      </c>
    </row>
    <row r="44" spans="1:2" ht="15" customHeight="1" x14ac:dyDescent="0.25">
      <c r="A44" s="442" t="s">
        <v>8740</v>
      </c>
    </row>
    <row r="45" spans="1:2" ht="15" customHeight="1" x14ac:dyDescent="0.25">
      <c r="A45" s="442" t="s">
        <v>8760</v>
      </c>
    </row>
    <row r="46" spans="1:2" ht="15" customHeight="1" x14ac:dyDescent="0.25">
      <c r="A46" s="442" t="s">
        <v>8743</v>
      </c>
    </row>
    <row r="47" spans="1:2" ht="15" customHeight="1" x14ac:dyDescent="0.25">
      <c r="A47" s="442" t="s">
        <v>8761</v>
      </c>
    </row>
    <row r="48" spans="1:2" ht="15" customHeight="1" x14ac:dyDescent="0.25">
      <c r="A48" s="442" t="s">
        <v>8762</v>
      </c>
    </row>
    <row r="49" spans="1:2" ht="15" customHeight="1" x14ac:dyDescent="0.25">
      <c r="A49" s="442" t="s">
        <v>8763</v>
      </c>
    </row>
    <row r="50" spans="1:2" ht="15" customHeight="1" x14ac:dyDescent="0.25">
      <c r="A50" s="442" t="s">
        <v>8764</v>
      </c>
    </row>
    <row r="51" spans="1:2" ht="15" customHeight="1" x14ac:dyDescent="0.25">
      <c r="A51" s="442" t="s">
        <v>8765</v>
      </c>
    </row>
    <row r="52" spans="1:2" ht="15" customHeight="1" x14ac:dyDescent="0.25">
      <c r="A52" s="442" t="s">
        <v>8740</v>
      </c>
    </row>
    <row r="53" spans="1:2" ht="15" customHeight="1" x14ac:dyDescent="0.25">
      <c r="A53" s="442" t="s">
        <v>8766</v>
      </c>
    </row>
    <row r="54" spans="1:2" ht="15" customHeight="1" x14ac:dyDescent="0.25">
      <c r="A54" s="442" t="s">
        <v>8767</v>
      </c>
    </row>
    <row r="55" spans="1:2" ht="15" customHeight="1" x14ac:dyDescent="0.25">
      <c r="A55" s="442" t="s">
        <v>8752</v>
      </c>
    </row>
    <row r="56" spans="1:2" ht="15" customHeight="1" x14ac:dyDescent="0.25">
      <c r="A56" s="442" t="s">
        <v>8768</v>
      </c>
    </row>
    <row r="58" spans="1:2" ht="19.5" customHeight="1" x14ac:dyDescent="0.25">
      <c r="A58" s="2" t="s">
        <v>8769</v>
      </c>
      <c r="B58" s="2"/>
    </row>
    <row r="59" spans="1:2" ht="27.75" customHeight="1" x14ac:dyDescent="0.25">
      <c r="A59" s="3" t="s">
        <v>8770</v>
      </c>
      <c r="B59" s="3"/>
    </row>
    <row r="60" spans="1:2" ht="15" customHeight="1" x14ac:dyDescent="0.25">
      <c r="A60" s="442" t="s">
        <v>8728</v>
      </c>
    </row>
    <row r="61" spans="1:2" ht="15" customHeight="1" x14ac:dyDescent="0.25">
      <c r="A61" s="442" t="s">
        <v>8771</v>
      </c>
    </row>
    <row r="62" spans="1:2" ht="15" customHeight="1" x14ac:dyDescent="0.25">
      <c r="A62" s="442" t="s">
        <v>8772</v>
      </c>
    </row>
    <row r="63" spans="1:2" ht="15" customHeight="1" x14ac:dyDescent="0.25">
      <c r="A63" s="442"/>
    </row>
    <row r="64" spans="1:2" ht="15" customHeight="1" x14ac:dyDescent="0.25">
      <c r="A64" s="442" t="s">
        <v>8773</v>
      </c>
    </row>
    <row r="65" spans="1:1" ht="15" customHeight="1" x14ac:dyDescent="0.25">
      <c r="A65" s="442" t="s">
        <v>8774</v>
      </c>
    </row>
    <row r="66" spans="1:1" ht="15" customHeight="1" x14ac:dyDescent="0.25">
      <c r="A66" s="442" t="s">
        <v>8775</v>
      </c>
    </row>
    <row r="67" spans="1:1" ht="15" customHeight="1" x14ac:dyDescent="0.25">
      <c r="A67" s="442" t="s">
        <v>8776</v>
      </c>
    </row>
    <row r="68" spans="1:1" ht="15" customHeight="1" x14ac:dyDescent="0.25">
      <c r="A68" s="442" t="s">
        <v>8732</v>
      </c>
    </row>
    <row r="69" spans="1:1" ht="15" customHeight="1" x14ac:dyDescent="0.25">
      <c r="A69" s="442" t="s">
        <v>8777</v>
      </c>
    </row>
    <row r="70" spans="1:1" ht="15" customHeight="1" x14ac:dyDescent="0.25">
      <c r="A70" s="442" t="s">
        <v>8778</v>
      </c>
    </row>
    <row r="71" spans="1:1" ht="15" customHeight="1" x14ac:dyDescent="0.25">
      <c r="A71" s="442"/>
    </row>
    <row r="72" spans="1:1" ht="15" customHeight="1" x14ac:dyDescent="0.25">
      <c r="A72" s="442" t="s">
        <v>8779</v>
      </c>
    </row>
    <row r="73" spans="1:1" ht="15" customHeight="1" x14ac:dyDescent="0.25">
      <c r="A73" s="442" t="s">
        <v>8780</v>
      </c>
    </row>
    <row r="74" spans="1:1" ht="15" customHeight="1" x14ac:dyDescent="0.25">
      <c r="A74" s="442" t="s">
        <v>8781</v>
      </c>
    </row>
    <row r="75" spans="1:1" ht="15" customHeight="1" x14ac:dyDescent="0.25">
      <c r="A75" s="442" t="s">
        <v>8782</v>
      </c>
    </row>
    <row r="76" spans="1:1" ht="15" customHeight="1" x14ac:dyDescent="0.25">
      <c r="A76" s="442" t="s">
        <v>8783</v>
      </c>
    </row>
    <row r="77" spans="1:1" ht="15" customHeight="1" x14ac:dyDescent="0.25">
      <c r="A77" s="442"/>
    </row>
    <row r="78" spans="1:1" ht="15" customHeight="1" x14ac:dyDescent="0.25">
      <c r="A78" s="442" t="s">
        <v>8784</v>
      </c>
    </row>
    <row r="79" spans="1:1" ht="15" customHeight="1" x14ac:dyDescent="0.25">
      <c r="A79" s="442" t="s">
        <v>8785</v>
      </c>
    </row>
    <row r="80" spans="1:1" ht="15" customHeight="1" x14ac:dyDescent="0.25">
      <c r="A80" s="442" t="s">
        <v>8786</v>
      </c>
    </row>
    <row r="81" spans="1:1" ht="15" customHeight="1" x14ac:dyDescent="0.25">
      <c r="A81" s="442"/>
    </row>
    <row r="82" spans="1:1" ht="15" customHeight="1" x14ac:dyDescent="0.25">
      <c r="A82" s="442" t="s">
        <v>8787</v>
      </c>
    </row>
    <row r="83" spans="1:1" ht="15" customHeight="1" x14ac:dyDescent="0.25">
      <c r="A83" s="442" t="s">
        <v>8788</v>
      </c>
    </row>
    <row r="84" spans="1:1" ht="15" customHeight="1" x14ac:dyDescent="0.25">
      <c r="A84" s="442" t="s">
        <v>8789</v>
      </c>
    </row>
    <row r="85" spans="1:1" ht="15" customHeight="1" x14ac:dyDescent="0.25">
      <c r="A85" s="442" t="s">
        <v>8790</v>
      </c>
    </row>
    <row r="86" spans="1:1" ht="15" customHeight="1" x14ac:dyDescent="0.25">
      <c r="A86" s="442" t="s">
        <v>8740</v>
      </c>
    </row>
    <row r="87" spans="1:1" ht="15" customHeight="1" x14ac:dyDescent="0.25">
      <c r="A87" s="442"/>
    </row>
    <row r="88" spans="1:1" ht="15" customHeight="1" x14ac:dyDescent="0.25">
      <c r="A88" s="442" t="s">
        <v>8791</v>
      </c>
    </row>
    <row r="89" spans="1:1" ht="15" customHeight="1" x14ac:dyDescent="0.25">
      <c r="A89" s="442" t="s">
        <v>8792</v>
      </c>
    </row>
    <row r="90" spans="1:1" ht="15" customHeight="1" x14ac:dyDescent="0.25">
      <c r="A90" s="442" t="s">
        <v>8793</v>
      </c>
    </row>
    <row r="91" spans="1:1" ht="15" customHeight="1" x14ac:dyDescent="0.25">
      <c r="A91" s="442" t="s">
        <v>8794</v>
      </c>
    </row>
    <row r="92" spans="1:1" ht="15" customHeight="1" x14ac:dyDescent="0.25">
      <c r="A92" s="442" t="s">
        <v>8740</v>
      </c>
    </row>
    <row r="93" spans="1:1" ht="15" customHeight="1" x14ac:dyDescent="0.25">
      <c r="A93" s="442" t="s">
        <v>8795</v>
      </c>
    </row>
    <row r="94" spans="1:1" ht="15" customHeight="1" x14ac:dyDescent="0.25">
      <c r="A94" s="442" t="s">
        <v>8796</v>
      </c>
    </row>
    <row r="95" spans="1:1" ht="15" customHeight="1" x14ac:dyDescent="0.25">
      <c r="A95" s="442" t="s">
        <v>8794</v>
      </c>
    </row>
    <row r="96" spans="1:1" ht="15" customHeight="1" x14ac:dyDescent="0.25">
      <c r="A96" s="442" t="s">
        <v>8740</v>
      </c>
    </row>
    <row r="97" spans="1:1" ht="15" customHeight="1" x14ac:dyDescent="0.25">
      <c r="A97" s="442"/>
    </row>
    <row r="98" spans="1:1" ht="15" customHeight="1" x14ac:dyDescent="0.25">
      <c r="A98" s="442" t="s">
        <v>8797</v>
      </c>
    </row>
    <row r="99" spans="1:1" ht="15" customHeight="1" x14ac:dyDescent="0.25">
      <c r="A99" s="442" t="s">
        <v>8798</v>
      </c>
    </row>
    <row r="100" spans="1:1" ht="15" customHeight="1" x14ac:dyDescent="0.25">
      <c r="A100" s="442" t="s">
        <v>8799</v>
      </c>
    </row>
    <row r="101" spans="1:1" ht="15" customHeight="1" x14ac:dyDescent="0.25">
      <c r="A101" s="442" t="s">
        <v>8800</v>
      </c>
    </row>
    <row r="102" spans="1:1" ht="15" customHeight="1" x14ac:dyDescent="0.25">
      <c r="A102" s="442" t="s">
        <v>8801</v>
      </c>
    </row>
    <row r="103" spans="1:1" ht="15" customHeight="1" x14ac:dyDescent="0.25">
      <c r="A103" s="442" t="s">
        <v>8802</v>
      </c>
    </row>
    <row r="104" spans="1:1" ht="15" customHeight="1" x14ac:dyDescent="0.25">
      <c r="A104" s="442" t="s">
        <v>8803</v>
      </c>
    </row>
    <row r="105" spans="1:1" ht="15" customHeight="1" x14ac:dyDescent="0.25">
      <c r="A105" s="442" t="s">
        <v>8802</v>
      </c>
    </row>
    <row r="106" spans="1:1" ht="15" customHeight="1" x14ac:dyDescent="0.25">
      <c r="A106" s="442"/>
    </row>
    <row r="107" spans="1:1" ht="15" customHeight="1" x14ac:dyDescent="0.25">
      <c r="A107" s="442" t="s">
        <v>8804</v>
      </c>
    </row>
    <row r="108" spans="1:1" ht="15" customHeight="1" x14ac:dyDescent="0.25">
      <c r="A108" s="442" t="s">
        <v>8805</v>
      </c>
    </row>
    <row r="109" spans="1:1" ht="15" customHeight="1" x14ac:dyDescent="0.25">
      <c r="A109" s="442" t="s">
        <v>8806</v>
      </c>
    </row>
    <row r="110" spans="1:1" ht="15" customHeight="1" x14ac:dyDescent="0.25">
      <c r="A110" s="442" t="s">
        <v>8807</v>
      </c>
    </row>
    <row r="111" spans="1:1" ht="15" customHeight="1" x14ac:dyDescent="0.25">
      <c r="A111" s="442" t="s">
        <v>8808</v>
      </c>
    </row>
    <row r="112" spans="1:1" ht="15" customHeight="1" x14ac:dyDescent="0.25">
      <c r="A112" s="442" t="s">
        <v>8809</v>
      </c>
    </row>
    <row r="113" spans="1:1" ht="15" customHeight="1" x14ac:dyDescent="0.25">
      <c r="A113" s="442" t="s">
        <v>8810</v>
      </c>
    </row>
    <row r="114" spans="1:1" ht="15" customHeight="1" x14ac:dyDescent="0.25">
      <c r="A114" s="442" t="s">
        <v>8811</v>
      </c>
    </row>
    <row r="115" spans="1:1" ht="15" customHeight="1" x14ac:dyDescent="0.25">
      <c r="A115" s="442" t="s">
        <v>8812</v>
      </c>
    </row>
    <row r="116" spans="1:1" ht="15" customHeight="1" x14ac:dyDescent="0.25">
      <c r="A116" s="442" t="s">
        <v>8813</v>
      </c>
    </row>
    <row r="117" spans="1:1" ht="15" customHeight="1" x14ac:dyDescent="0.25">
      <c r="A117" s="442"/>
    </row>
    <row r="118" spans="1:1" ht="15" customHeight="1" x14ac:dyDescent="0.25">
      <c r="A118" s="442" t="s">
        <v>8814</v>
      </c>
    </row>
    <row r="119" spans="1:1" ht="15" customHeight="1" x14ac:dyDescent="0.25">
      <c r="A119" s="442" t="s">
        <v>8815</v>
      </c>
    </row>
    <row r="120" spans="1:1" ht="15" customHeight="1" x14ac:dyDescent="0.25">
      <c r="A120" s="442" t="s">
        <v>8816</v>
      </c>
    </row>
    <row r="121" spans="1:1" ht="15" customHeight="1" x14ac:dyDescent="0.25">
      <c r="A121" s="442" t="s">
        <v>8817</v>
      </c>
    </row>
    <row r="122" spans="1:1" ht="15" customHeight="1" x14ac:dyDescent="0.25">
      <c r="A122" s="442" t="s">
        <v>8818</v>
      </c>
    </row>
    <row r="123" spans="1:1" ht="15" customHeight="1" x14ac:dyDescent="0.25">
      <c r="A123" s="442" t="s">
        <v>8819</v>
      </c>
    </row>
    <row r="124" spans="1:1" ht="15" customHeight="1" x14ac:dyDescent="0.25">
      <c r="A124" s="442" t="s">
        <v>8820</v>
      </c>
    </row>
    <row r="125" spans="1:1" ht="15" customHeight="1" x14ac:dyDescent="0.25">
      <c r="A125" s="442" t="s">
        <v>8821</v>
      </c>
    </row>
    <row r="126" spans="1:1" ht="15" customHeight="1" x14ac:dyDescent="0.25">
      <c r="A126" s="442" t="s">
        <v>8812</v>
      </c>
    </row>
    <row r="127" spans="1:1" ht="15" customHeight="1" x14ac:dyDescent="0.25">
      <c r="A127" s="442" t="s">
        <v>8813</v>
      </c>
    </row>
    <row r="128" spans="1:1" ht="15" customHeight="1" x14ac:dyDescent="0.25">
      <c r="A128" s="442"/>
    </row>
    <row r="129" spans="1:1" ht="15" customHeight="1" x14ac:dyDescent="0.25">
      <c r="A129" s="442" t="s">
        <v>8822</v>
      </c>
    </row>
    <row r="130" spans="1:1" ht="15" customHeight="1" x14ac:dyDescent="0.25">
      <c r="A130" s="442" t="s">
        <v>8823</v>
      </c>
    </row>
    <row r="131" spans="1:1" ht="15" customHeight="1" x14ac:dyDescent="0.25">
      <c r="A131" s="442" t="s">
        <v>8824</v>
      </c>
    </row>
    <row r="132" spans="1:1" ht="15" customHeight="1" x14ac:dyDescent="0.25">
      <c r="A132" s="442" t="s">
        <v>8817</v>
      </c>
    </row>
    <row r="133" spans="1:1" ht="15" customHeight="1" x14ac:dyDescent="0.25">
      <c r="A133" s="442" t="s">
        <v>8825</v>
      </c>
    </row>
    <row r="134" spans="1:1" ht="15" customHeight="1" x14ac:dyDescent="0.25">
      <c r="A134" s="442" t="s">
        <v>8826</v>
      </c>
    </row>
    <row r="135" spans="1:1" ht="15" customHeight="1" x14ac:dyDescent="0.25">
      <c r="A135" s="442" t="s">
        <v>8827</v>
      </c>
    </row>
    <row r="136" spans="1:1" ht="15" customHeight="1" x14ac:dyDescent="0.25">
      <c r="A136" s="442" t="s">
        <v>8828</v>
      </c>
    </row>
    <row r="137" spans="1:1" ht="15" customHeight="1" x14ac:dyDescent="0.25">
      <c r="A137" s="442" t="s">
        <v>8812</v>
      </c>
    </row>
    <row r="138" spans="1:1" ht="15" customHeight="1" x14ac:dyDescent="0.25">
      <c r="A138" s="442" t="s">
        <v>8813</v>
      </c>
    </row>
    <row r="139" spans="1:1" ht="15" customHeight="1" x14ac:dyDescent="0.25">
      <c r="A139" s="442"/>
    </row>
    <row r="140" spans="1:1" ht="15" customHeight="1" x14ac:dyDescent="0.25">
      <c r="A140" s="442" t="s">
        <v>8829</v>
      </c>
    </row>
    <row r="141" spans="1:1" ht="15" customHeight="1" x14ac:dyDescent="0.25">
      <c r="A141" s="442" t="s">
        <v>8830</v>
      </c>
    </row>
    <row r="142" spans="1:1" ht="15" customHeight="1" x14ac:dyDescent="0.25">
      <c r="A142" s="442" t="s">
        <v>8831</v>
      </c>
    </row>
    <row r="143" spans="1:1" ht="15" customHeight="1" x14ac:dyDescent="0.25">
      <c r="A143" s="442" t="s">
        <v>8832</v>
      </c>
    </row>
    <row r="144" spans="1:1" ht="15" customHeight="1" x14ac:dyDescent="0.25">
      <c r="A144" s="442" t="s">
        <v>8833</v>
      </c>
    </row>
    <row r="145" spans="1:1" ht="15" customHeight="1" x14ac:dyDescent="0.25">
      <c r="A145" s="442"/>
    </row>
    <row r="146" spans="1:1" ht="15" customHeight="1" x14ac:dyDescent="0.25">
      <c r="A146" s="442" t="s">
        <v>8834</v>
      </c>
    </row>
    <row r="147" spans="1:1" ht="15" customHeight="1" x14ac:dyDescent="0.25">
      <c r="A147" s="442" t="s">
        <v>8835</v>
      </c>
    </row>
    <row r="148" spans="1:1" ht="15" customHeight="1" x14ac:dyDescent="0.25">
      <c r="A148" s="442" t="s">
        <v>8836</v>
      </c>
    </row>
    <row r="149" spans="1:1" ht="15" customHeight="1" x14ac:dyDescent="0.25">
      <c r="A149" s="442"/>
    </row>
    <row r="150" spans="1:1" ht="15" customHeight="1" x14ac:dyDescent="0.25">
      <c r="A150" s="442" t="s">
        <v>8837</v>
      </c>
    </row>
    <row r="151" spans="1:1" ht="15" customHeight="1" x14ac:dyDescent="0.25">
      <c r="A151" s="442" t="s">
        <v>8838</v>
      </c>
    </row>
    <row r="152" spans="1:1" ht="15" customHeight="1" x14ac:dyDescent="0.25">
      <c r="A152" s="442" t="s">
        <v>8839</v>
      </c>
    </row>
    <row r="153" spans="1:1" ht="15" customHeight="1" x14ac:dyDescent="0.25">
      <c r="A153" s="442"/>
    </row>
    <row r="154" spans="1:1" ht="15" customHeight="1" x14ac:dyDescent="0.25">
      <c r="A154" s="442" t="s">
        <v>8840</v>
      </c>
    </row>
    <row r="155" spans="1:1" ht="15" customHeight="1" x14ac:dyDescent="0.25">
      <c r="A155" s="442" t="s">
        <v>8841</v>
      </c>
    </row>
    <row r="156" spans="1:1" ht="15" customHeight="1" x14ac:dyDescent="0.25">
      <c r="A156" s="442" t="s">
        <v>8842</v>
      </c>
    </row>
    <row r="157" spans="1:1" ht="15" customHeight="1" x14ac:dyDescent="0.25">
      <c r="A157" s="442"/>
    </row>
    <row r="158" spans="1:1" ht="15" customHeight="1" x14ac:dyDescent="0.25">
      <c r="A158" s="442" t="s">
        <v>8843</v>
      </c>
    </row>
    <row r="159" spans="1:1" ht="15" customHeight="1" x14ac:dyDescent="0.25">
      <c r="A159" s="442" t="s">
        <v>8844</v>
      </c>
    </row>
    <row r="160" spans="1:1" ht="15" customHeight="1" x14ac:dyDescent="0.25">
      <c r="A160" s="442" t="s">
        <v>8752</v>
      </c>
    </row>
    <row r="161" spans="1:2" ht="15" customHeight="1" x14ac:dyDescent="0.25">
      <c r="A161" s="442" t="s">
        <v>8845</v>
      </c>
    </row>
    <row r="163" spans="1:2" ht="24" customHeight="1" x14ac:dyDescent="0.25">
      <c r="A163" s="4" t="s">
        <v>8846</v>
      </c>
      <c r="B163" s="4"/>
    </row>
    <row r="164" spans="1:2" ht="15.75" customHeight="1" x14ac:dyDescent="0.25">
      <c r="A164" s="1" t="s">
        <v>8847</v>
      </c>
      <c r="B164" s="1"/>
    </row>
    <row r="165" spans="1:2" ht="15.75" customHeight="1" x14ac:dyDescent="0.25">
      <c r="A165" s="1" t="s">
        <v>8848</v>
      </c>
      <c r="B165" s="1"/>
    </row>
    <row r="166" spans="1:2" ht="15.75" customHeight="1" x14ac:dyDescent="0.25">
      <c r="A166" s="1" t="s">
        <v>8849</v>
      </c>
      <c r="B166" s="1"/>
    </row>
    <row r="167" spans="1:2" ht="15.75" customHeight="1" x14ac:dyDescent="0.25">
      <c r="A167" s="1" t="s">
        <v>8850</v>
      </c>
      <c r="B167" s="1"/>
    </row>
    <row r="168" spans="1:2" ht="15.75" customHeight="1" x14ac:dyDescent="0.25">
      <c r="A168" s="1" t="s">
        <v>8851</v>
      </c>
      <c r="B168" s="1"/>
    </row>
    <row r="169" spans="1:2" ht="15.75" customHeight="1" x14ac:dyDescent="0.25">
      <c r="A169" s="1" t="s">
        <v>8852</v>
      </c>
      <c r="B169" s="1"/>
    </row>
    <row r="170" spans="1:2" ht="15.75" customHeight="1" x14ac:dyDescent="0.25">
      <c r="A170" s="1" t="s">
        <v>8853</v>
      </c>
      <c r="B170" s="1"/>
    </row>
    <row r="171" spans="1:2" ht="15.75" customHeight="1" x14ac:dyDescent="0.25">
      <c r="A171" s="1" t="s">
        <v>8854</v>
      </c>
      <c r="B171" s="1"/>
    </row>
    <row r="172" spans="1:2" ht="15.75" customHeight="1" x14ac:dyDescent="0.25">
      <c r="A172" s="1" t="s">
        <v>8855</v>
      </c>
      <c r="B172" s="1"/>
    </row>
    <row r="173" spans="1:2" ht="15.75" customHeight="1" x14ac:dyDescent="0.25">
      <c r="A173" s="1" t="s">
        <v>8856</v>
      </c>
      <c r="B173" s="1"/>
    </row>
    <row r="174" spans="1:2" ht="15.75" customHeight="1" x14ac:dyDescent="0.25">
      <c r="A174" s="1" t="s">
        <v>8857</v>
      </c>
      <c r="B174" s="1"/>
    </row>
    <row r="175" spans="1:2" ht="15.75" customHeight="1" x14ac:dyDescent="0.25">
      <c r="A175" s="1" t="s">
        <v>8858</v>
      </c>
      <c r="B175" s="1"/>
    </row>
    <row r="176" spans="1:2" ht="15.75" customHeight="1" x14ac:dyDescent="0.25">
      <c r="A176" s="1" t="s">
        <v>8859</v>
      </c>
      <c r="B176" s="1"/>
    </row>
    <row r="177" spans="1:2" ht="19.5" customHeight="1" x14ac:dyDescent="0.25">
      <c r="A177" s="3" t="s">
        <v>8860</v>
      </c>
      <c r="B177" s="3"/>
    </row>
    <row r="178" spans="1:2" ht="19.5" customHeight="1" x14ac:dyDescent="0.25">
      <c r="A178" s="3" t="s">
        <v>8861</v>
      </c>
      <c r="B178" s="3"/>
    </row>
  </sheetData>
  <mergeCells count="24">
    <mergeCell ref="A175:B175"/>
    <mergeCell ref="A176:B176"/>
    <mergeCell ref="A177:B177"/>
    <mergeCell ref="A178:B178"/>
    <mergeCell ref="A170:B170"/>
    <mergeCell ref="A171:B171"/>
    <mergeCell ref="A172:B172"/>
    <mergeCell ref="A173:B173"/>
    <mergeCell ref="A174:B174"/>
    <mergeCell ref="A165:B165"/>
    <mergeCell ref="A166:B166"/>
    <mergeCell ref="A167:B167"/>
    <mergeCell ref="A168:B168"/>
    <mergeCell ref="A169:B169"/>
    <mergeCell ref="A34:B34"/>
    <mergeCell ref="A58:B58"/>
    <mergeCell ref="A59:B59"/>
    <mergeCell ref="A163:B163"/>
    <mergeCell ref="A164:B164"/>
    <mergeCell ref="A1:B1"/>
    <mergeCell ref="A2:B2"/>
    <mergeCell ref="A3:B3"/>
    <mergeCell ref="A4:B4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League Draft Order</vt:lpstr>
      <vt:lpstr>QB Model Page</vt:lpstr>
      <vt:lpstr>RB Model Page</vt:lpstr>
      <vt:lpstr>WR Model Page</vt:lpstr>
      <vt:lpstr>TE Model Page</vt:lpstr>
      <vt:lpstr>Vacancy_Calculator</vt:lpstr>
      <vt:lpstr>2026_Rosters</vt:lpstr>
      <vt:lpstr>2025_PlayerStats</vt:lpstr>
      <vt:lpstr>Roster_Puller</vt:lpstr>
      <vt:lpstr>PQ_Setup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Snodgrass</dc:creator>
  <dc:description/>
  <cp:lastModifiedBy>Gary Snodgrass</cp:lastModifiedBy>
  <cp:revision>0</cp:revision>
  <dcterms:created xsi:type="dcterms:W3CDTF">2026-03-22T02:19:34Z</dcterms:created>
  <dcterms:modified xsi:type="dcterms:W3CDTF">2026-04-30T01:58:53Z</dcterms:modified>
  <dc:language>en-US</dc:language>
</cp:coreProperties>
</file>